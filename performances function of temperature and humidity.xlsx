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ad Syauqis Document\Paper - Nuclear DACSS\Code\"/>
    </mc:Choice>
  </mc:AlternateContent>
  <xr:revisionPtr revIDLastSave="0" documentId="13_ncr:9_{A1C2316B-1809-4AB5-86C7-0EF408143794}" xr6:coauthVersionLast="47" xr6:coauthVersionMax="47" xr10:uidLastSave="{00000000-0000-0000-0000-000000000000}"/>
  <bookViews>
    <workbookView xWindow="-120" yWindow="-120" windowWidth="29040" windowHeight="15840" activeTab="2" xr2:uid="{41917651-064F-4624-9F55-3D622B018255}"/>
  </bookViews>
  <sheets>
    <sheet name="productivity" sheetId="3" r:id="rId1"/>
    <sheet name="energy duty" sheetId="4" r:id="rId2"/>
    <sheet name="cost" sheetId="5" r:id="rId3"/>
  </sheets>
  <calcPr calcId="191029"/>
</workbook>
</file>

<file path=xl/calcChain.xml><?xml version="1.0" encoding="utf-8"?>
<calcChain xmlns="http://schemas.openxmlformats.org/spreadsheetml/2006/main">
  <c r="AC18" i="5" l="1"/>
  <c r="Y3" i="5"/>
  <c r="AH3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Y18" i="5"/>
  <c r="AC19" i="5"/>
  <c r="AC17" i="5"/>
  <c r="AC12" i="5"/>
  <c r="Y13" i="5"/>
  <c r="Y14" i="5" s="1"/>
  <c r="AD14" i="5"/>
  <c r="AD13" i="5" s="1"/>
  <c r="AC13" i="5" l="1"/>
  <c r="AC14" i="5"/>
</calcChain>
</file>

<file path=xl/sharedStrings.xml><?xml version="1.0" encoding="utf-8"?>
<sst xmlns="http://schemas.openxmlformats.org/spreadsheetml/2006/main" count="35" uniqueCount="28">
  <si>
    <t>capex</t>
  </si>
  <si>
    <t>nuclear</t>
  </si>
  <si>
    <t>dac</t>
  </si>
  <si>
    <t>$/kW</t>
  </si>
  <si>
    <t>opex</t>
  </si>
  <si>
    <t>fixed om</t>
  </si>
  <si>
    <t>DAC</t>
  </si>
  <si>
    <t>lifetime</t>
  </si>
  <si>
    <t>years</t>
  </si>
  <si>
    <t>cost of energy</t>
  </si>
  <si>
    <t>thermal</t>
  </si>
  <si>
    <t>electricity</t>
  </si>
  <si>
    <t>uranium needs</t>
  </si>
  <si>
    <t>kg/1GWh</t>
  </si>
  <si>
    <t>$/GWh</t>
  </si>
  <si>
    <t>$/kWh</t>
  </si>
  <si>
    <t>nuclear efficiency</t>
  </si>
  <si>
    <t>kWh/year</t>
  </si>
  <si>
    <t>/MJ thermal</t>
  </si>
  <si>
    <t>/MJ electricity</t>
  </si>
  <si>
    <t>$/ton CO2</t>
  </si>
  <si>
    <t>sorbent</t>
  </si>
  <si>
    <t>capacity</t>
  </si>
  <si>
    <t>kg Co2/kg sorbent</t>
  </si>
  <si>
    <t>cost</t>
  </si>
  <si>
    <t>$/kg sorbent</t>
  </si>
  <si>
    <t>energy from thermal</t>
  </si>
  <si>
    <t>energy from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</si>
</sst>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6" formatCode="0.000"/>
    <numFmt numFmtId="175" formatCode="_(&quot;$&quot;* #,##0.0000_);_(&quot;$&quot;* \(#,##0.00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8" fontId="0" fillId="0" borderId="0" xfId="0" applyNumberFormat="1"/>
    <xf numFmtId="166" fontId="0" fillId="0" borderId="0" xfId="0" applyNumberFormat="1"/>
    <xf numFmtId="2" fontId="0" fillId="0" borderId="0" xfId="0" applyNumberFormat="1"/>
    <xf numFmtId="9" fontId="0" fillId="0" borderId="0" xfId="0" applyNumberFormat="1"/>
    <xf numFmtId="17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3983-20AD-41E8-AEC3-9F8018A1A328}">
  <dimension ref="A1:R22"/>
  <sheetViews>
    <sheetView workbookViewId="0">
      <selection activeCell="B2" sqref="B2"/>
    </sheetView>
  </sheetViews>
  <sheetFormatPr defaultRowHeight="15" x14ac:dyDescent="0.25"/>
  <sheetData>
    <row r="1" spans="1:18" x14ac:dyDescent="0.25">
      <c r="B1">
        <v>0</v>
      </c>
      <c r="C1">
        <v>2.5</v>
      </c>
      <c r="D1">
        <v>5</v>
      </c>
      <c r="E1">
        <v>7.5</v>
      </c>
      <c r="F1">
        <v>10</v>
      </c>
      <c r="G1">
        <v>12.5</v>
      </c>
      <c r="H1">
        <v>15</v>
      </c>
      <c r="I1">
        <v>17.5</v>
      </c>
      <c r="J1">
        <v>20</v>
      </c>
      <c r="K1">
        <v>22.5</v>
      </c>
      <c r="L1">
        <v>25</v>
      </c>
      <c r="M1">
        <v>27.5</v>
      </c>
      <c r="N1">
        <v>30</v>
      </c>
      <c r="O1">
        <v>32.5</v>
      </c>
      <c r="P1">
        <v>35</v>
      </c>
      <c r="Q1">
        <v>37.5</v>
      </c>
      <c r="R1">
        <v>40</v>
      </c>
    </row>
    <row r="2" spans="1:18" x14ac:dyDescent="0.25">
      <c r="A2">
        <v>0</v>
      </c>
      <c r="B2">
        <v>0.40317729592583362</v>
      </c>
      <c r="C2">
        <v>0.39550778849024415</v>
      </c>
      <c r="D2">
        <v>0.41078095639499107</v>
      </c>
      <c r="E2">
        <v>0.42605412429973788</v>
      </c>
      <c r="F2">
        <v>0.44547705600337162</v>
      </c>
      <c r="G2">
        <v>0.46489998770700502</v>
      </c>
      <c r="H2">
        <v>0.48562597685404674</v>
      </c>
      <c r="I2">
        <v>0.50635196600108823</v>
      </c>
      <c r="J2">
        <v>0.5328855170960427</v>
      </c>
      <c r="K2">
        <v>0.55941906819099751</v>
      </c>
      <c r="L2">
        <v>0.56498779481235561</v>
      </c>
      <c r="M2">
        <v>0.57055652143371371</v>
      </c>
      <c r="N2">
        <v>0.57335581195230301</v>
      </c>
      <c r="O2">
        <v>0.57615510247089186</v>
      </c>
      <c r="P2">
        <v>0.55498305322866726</v>
      </c>
      <c r="Q2">
        <v>0.5338110039864421</v>
      </c>
      <c r="R2">
        <v>0.61026960126375307</v>
      </c>
    </row>
    <row r="3" spans="1:18" x14ac:dyDescent="0.25">
      <c r="A3">
        <v>0.05</v>
      </c>
      <c r="B3">
        <v>0.38348062348062284</v>
      </c>
      <c r="C3">
        <v>0.39379379379379298</v>
      </c>
      <c r="D3">
        <v>0.40720720720720649</v>
      </c>
      <c r="E3">
        <v>0.42062062062062</v>
      </c>
      <c r="F3">
        <v>0.43303303303303253</v>
      </c>
      <c r="G3">
        <v>0.44544544544544501</v>
      </c>
      <c r="H3">
        <v>0.44944944944944898</v>
      </c>
      <c r="I3">
        <v>0.453453453453453</v>
      </c>
      <c r="J3">
        <v>0.49869869869869848</v>
      </c>
      <c r="K3">
        <v>0.54394394394394396</v>
      </c>
      <c r="L3">
        <v>0.55095095095095048</v>
      </c>
      <c r="M3">
        <v>0.557957957957957</v>
      </c>
      <c r="N3">
        <v>0.56496496496496451</v>
      </c>
      <c r="O3">
        <v>0.57197197197197203</v>
      </c>
      <c r="P3">
        <v>0.55475475475475444</v>
      </c>
      <c r="Q3">
        <v>0.53753753753753697</v>
      </c>
      <c r="R3">
        <v>0.60102388102388071</v>
      </c>
    </row>
    <row r="4" spans="1:18" x14ac:dyDescent="0.25">
      <c r="A4">
        <v>0.1</v>
      </c>
      <c r="B4">
        <v>0.38607794240259935</v>
      </c>
      <c r="C4">
        <v>0.38758758758758699</v>
      </c>
      <c r="D4">
        <v>0.39899899899899849</v>
      </c>
      <c r="E4">
        <v>0.41041041041040999</v>
      </c>
      <c r="F4">
        <v>0.43033033033032997</v>
      </c>
      <c r="G4">
        <v>0.45025025025025001</v>
      </c>
      <c r="H4">
        <v>0.46356356356356326</v>
      </c>
      <c r="I4">
        <v>0.47687687687687652</v>
      </c>
      <c r="J4">
        <v>0.5139139139139135</v>
      </c>
      <c r="K4">
        <v>0.55095095095095048</v>
      </c>
      <c r="L4">
        <v>0.55835835835835779</v>
      </c>
      <c r="M4">
        <v>0.56576576576576498</v>
      </c>
      <c r="N4">
        <v>0.56886886886886856</v>
      </c>
      <c r="O4">
        <v>0.57197197197197203</v>
      </c>
      <c r="P4">
        <v>0.55245245245245223</v>
      </c>
      <c r="Q4">
        <v>0.53293293293293242</v>
      </c>
      <c r="R4">
        <v>0.60727203393870033</v>
      </c>
    </row>
    <row r="5" spans="1:18" x14ac:dyDescent="0.25">
      <c r="A5">
        <v>0.15</v>
      </c>
      <c r="B5">
        <v>0.38636961329125469</v>
      </c>
      <c r="C5">
        <v>0.381381381381381</v>
      </c>
      <c r="D5">
        <v>0.39079079079079049</v>
      </c>
      <c r="E5">
        <v>0.40020020020019997</v>
      </c>
      <c r="F5">
        <v>0.42762762762762752</v>
      </c>
      <c r="G5">
        <v>0.455055055055055</v>
      </c>
      <c r="H5">
        <v>0.47767767767767755</v>
      </c>
      <c r="I5">
        <v>0.50030030030030004</v>
      </c>
      <c r="J5">
        <v>0.52912912912912846</v>
      </c>
      <c r="K5">
        <v>0.557957957957957</v>
      </c>
      <c r="L5">
        <v>0.56576576576576498</v>
      </c>
      <c r="M5">
        <v>0.57357357357357297</v>
      </c>
      <c r="N5">
        <v>0.5727727727727725</v>
      </c>
      <c r="O5">
        <v>0.57197197197197203</v>
      </c>
      <c r="P5">
        <v>0.55015015015015001</v>
      </c>
      <c r="Q5">
        <v>0.52832832832832799</v>
      </c>
      <c r="R5">
        <v>0.61352018685351983</v>
      </c>
    </row>
    <row r="6" spans="1:18" x14ac:dyDescent="0.25">
      <c r="A6">
        <v>0.2</v>
      </c>
      <c r="B6">
        <v>0.38039662052241374</v>
      </c>
      <c r="C6">
        <v>0.37677677677677651</v>
      </c>
      <c r="D6">
        <v>0.38928928928928896</v>
      </c>
      <c r="E6">
        <v>0.40180180180180147</v>
      </c>
      <c r="F6">
        <v>0.427227227227227</v>
      </c>
      <c r="G6">
        <v>0.45265265265265253</v>
      </c>
      <c r="H6">
        <v>0.47487487487487451</v>
      </c>
      <c r="I6">
        <v>0.49709709709709649</v>
      </c>
      <c r="J6">
        <v>0.51781781781781722</v>
      </c>
      <c r="K6">
        <v>0.53853853853853795</v>
      </c>
      <c r="L6">
        <v>0.55295295295295244</v>
      </c>
      <c r="M6">
        <v>0.56736736736736693</v>
      </c>
      <c r="N6">
        <v>0.57167167167167143</v>
      </c>
      <c r="O6">
        <v>0.57597597597597594</v>
      </c>
      <c r="P6">
        <v>0.55685685685685671</v>
      </c>
      <c r="Q6">
        <v>0.53773773773773748</v>
      </c>
      <c r="R6">
        <v>0.61369560036226667</v>
      </c>
    </row>
    <row r="7" spans="1:18" x14ac:dyDescent="0.25">
      <c r="A7">
        <v>0.25</v>
      </c>
      <c r="B7">
        <v>0.37441049854040392</v>
      </c>
      <c r="C7">
        <v>0.37217217217217202</v>
      </c>
      <c r="D7">
        <v>0.38778778778778755</v>
      </c>
      <c r="E7">
        <v>0.40340340340340303</v>
      </c>
      <c r="F7">
        <v>0.42682682682682649</v>
      </c>
      <c r="G7">
        <v>0.45025025025025001</v>
      </c>
      <c r="H7">
        <v>0.47207207207207147</v>
      </c>
      <c r="I7">
        <v>0.49389389389389299</v>
      </c>
      <c r="J7">
        <v>0.50650650650650597</v>
      </c>
      <c r="K7">
        <v>0.51911911911911901</v>
      </c>
      <c r="L7">
        <v>0.54014014014014</v>
      </c>
      <c r="M7">
        <v>0.56116116116116099</v>
      </c>
      <c r="N7">
        <v>0.57057057057057048</v>
      </c>
      <c r="O7">
        <v>0.57997997997997996</v>
      </c>
      <c r="P7">
        <v>0.56356356356356341</v>
      </c>
      <c r="Q7">
        <v>0.54714714714714696</v>
      </c>
      <c r="R7">
        <v>0.6138710138710135</v>
      </c>
    </row>
    <row r="8" spans="1:18" x14ac:dyDescent="0.25">
      <c r="A8">
        <v>0.3</v>
      </c>
      <c r="B8">
        <v>0.36932955287677899</v>
      </c>
      <c r="C8">
        <v>0.371371371371371</v>
      </c>
      <c r="D8">
        <v>0.3877877877877875</v>
      </c>
      <c r="E8">
        <v>0.404204204204204</v>
      </c>
      <c r="F8">
        <v>0.42172172172172151</v>
      </c>
      <c r="G8">
        <v>0.43923923923923902</v>
      </c>
      <c r="H8">
        <v>0.46426426426426376</v>
      </c>
      <c r="I8">
        <v>0.4892892892892885</v>
      </c>
      <c r="J8">
        <v>0.51081081081081026</v>
      </c>
      <c r="K8">
        <v>0.53233233233233201</v>
      </c>
      <c r="L8">
        <v>0.54904904904904872</v>
      </c>
      <c r="M8">
        <v>0.56576576576576554</v>
      </c>
      <c r="N8">
        <v>0.57167167167167154</v>
      </c>
      <c r="O8">
        <v>0.57757757757757755</v>
      </c>
      <c r="P8">
        <v>0.56816816816816806</v>
      </c>
      <c r="Q8">
        <v>0.55875875875875847</v>
      </c>
      <c r="R8">
        <v>0.62135850135850101</v>
      </c>
    </row>
    <row r="9" spans="1:18" x14ac:dyDescent="0.25">
      <c r="A9">
        <v>0.35</v>
      </c>
      <c r="B9">
        <v>0.36424474083223801</v>
      </c>
      <c r="C9">
        <v>0.37057057057057002</v>
      </c>
      <c r="D9">
        <v>0.38778778778778755</v>
      </c>
      <c r="E9">
        <v>0.40500500500500503</v>
      </c>
      <c r="F9">
        <v>0.41661661661661653</v>
      </c>
      <c r="G9">
        <v>0.42822822822822798</v>
      </c>
      <c r="H9">
        <v>0.45645645645645599</v>
      </c>
      <c r="I9">
        <v>0.48468468468468401</v>
      </c>
      <c r="J9">
        <v>0.51511511511511454</v>
      </c>
      <c r="K9">
        <v>0.54554554554554502</v>
      </c>
      <c r="L9">
        <v>0.55795795795795744</v>
      </c>
      <c r="M9">
        <v>0.57037037037036997</v>
      </c>
      <c r="N9">
        <v>0.5727727727727725</v>
      </c>
      <c r="O9">
        <v>0.57517517517517502</v>
      </c>
      <c r="P9">
        <v>0.5727727727727725</v>
      </c>
      <c r="Q9">
        <v>0.57037037037036997</v>
      </c>
      <c r="R9">
        <v>0.62884598884598852</v>
      </c>
    </row>
    <row r="10" spans="1:18" x14ac:dyDescent="0.25">
      <c r="A10">
        <v>0.4</v>
      </c>
      <c r="B10">
        <v>0.36307818721120749</v>
      </c>
      <c r="C10">
        <v>0.371371371371371</v>
      </c>
      <c r="D10">
        <v>0.38858858858858825</v>
      </c>
      <c r="E10">
        <v>0.4058058058058055</v>
      </c>
      <c r="F10">
        <v>0.417417417417417</v>
      </c>
      <c r="G10">
        <v>0.42902902902902851</v>
      </c>
      <c r="H10">
        <v>0.45835835835835775</v>
      </c>
      <c r="I10">
        <v>0.487687687687687</v>
      </c>
      <c r="J10">
        <v>0.51031031031030971</v>
      </c>
      <c r="K10">
        <v>0.53293293293293253</v>
      </c>
      <c r="L10">
        <v>0.54974974974974922</v>
      </c>
      <c r="M10">
        <v>0.56656656656656601</v>
      </c>
      <c r="N10">
        <v>0.5767767767767763</v>
      </c>
      <c r="O10">
        <v>0.58698698698698659</v>
      </c>
      <c r="P10">
        <v>0.57867867867867828</v>
      </c>
      <c r="Q10">
        <v>0.57037037037036997</v>
      </c>
      <c r="R10">
        <v>0.63016159016158979</v>
      </c>
    </row>
    <row r="11" spans="1:18" x14ac:dyDescent="0.25">
      <c r="A11">
        <v>0.45</v>
      </c>
      <c r="B11">
        <v>0.36191097953295825</v>
      </c>
      <c r="C11">
        <v>0.37217217217217202</v>
      </c>
      <c r="D11">
        <v>0.38938938938938905</v>
      </c>
      <c r="E11">
        <v>0.40660660660660602</v>
      </c>
      <c r="F11">
        <v>0.41821821821821747</v>
      </c>
      <c r="G11">
        <v>0.42982982982982898</v>
      </c>
      <c r="H11">
        <v>0.46026026026025946</v>
      </c>
      <c r="I11">
        <v>0.49069069069068999</v>
      </c>
      <c r="J11">
        <v>0.50550550550550499</v>
      </c>
      <c r="K11">
        <v>0.52032032032032005</v>
      </c>
      <c r="L11">
        <v>0.54154154154154099</v>
      </c>
      <c r="M11">
        <v>0.56276276276276205</v>
      </c>
      <c r="N11">
        <v>0.5807807807807801</v>
      </c>
      <c r="O11">
        <v>0.59879879879879805</v>
      </c>
      <c r="P11">
        <v>0.58458458458458407</v>
      </c>
      <c r="Q11">
        <v>0.57037037037036997</v>
      </c>
      <c r="R11">
        <v>0.63147719147719061</v>
      </c>
    </row>
    <row r="12" spans="1:18" x14ac:dyDescent="0.25">
      <c r="A12">
        <v>0.5</v>
      </c>
      <c r="B12">
        <v>0.34879021714609132</v>
      </c>
      <c r="C12">
        <v>0.35495495495495455</v>
      </c>
      <c r="D12">
        <v>0.37757757757757704</v>
      </c>
      <c r="E12">
        <v>0.40020020020019953</v>
      </c>
      <c r="F12">
        <v>0.4131131131131125</v>
      </c>
      <c r="G12">
        <v>0.42602602602602546</v>
      </c>
      <c r="H12">
        <v>0.45295295295295246</v>
      </c>
      <c r="I12">
        <v>0.47987987987987946</v>
      </c>
      <c r="J12">
        <v>0.50170170170170125</v>
      </c>
      <c r="K12">
        <v>0.52352352352352305</v>
      </c>
      <c r="L12">
        <v>0.54544544544544504</v>
      </c>
      <c r="M12">
        <v>0.56736736736736704</v>
      </c>
      <c r="N12">
        <v>0.57757757757757711</v>
      </c>
      <c r="O12">
        <v>0.58778778778778706</v>
      </c>
      <c r="P12">
        <v>0.58578578578578533</v>
      </c>
      <c r="Q12">
        <v>0.58378378378378348</v>
      </c>
      <c r="R12">
        <v>0.63754516421183038</v>
      </c>
    </row>
    <row r="13" spans="1:18" x14ac:dyDescent="0.25">
      <c r="A13">
        <v>0.55000000000000004</v>
      </c>
      <c r="B13">
        <v>0.33566832065819091</v>
      </c>
      <c r="C13">
        <v>0.33773773773773702</v>
      </c>
      <c r="D13">
        <v>0.36576576576576503</v>
      </c>
      <c r="E13">
        <v>0.39379379379379298</v>
      </c>
      <c r="F13">
        <v>0.40800800800800752</v>
      </c>
      <c r="G13">
        <v>0.422222222222222</v>
      </c>
      <c r="H13">
        <v>0.44564564564564546</v>
      </c>
      <c r="I13">
        <v>0.46906906906906898</v>
      </c>
      <c r="J13">
        <v>0.49789789789789751</v>
      </c>
      <c r="K13">
        <v>0.52672672672672605</v>
      </c>
      <c r="L13">
        <v>0.54934934934934909</v>
      </c>
      <c r="M13">
        <v>0.57197197197197203</v>
      </c>
      <c r="N13">
        <v>0.574374374374374</v>
      </c>
      <c r="O13">
        <v>0.57677677677677597</v>
      </c>
      <c r="P13">
        <v>0.58698698698698648</v>
      </c>
      <c r="Q13">
        <v>0.59719719719719699</v>
      </c>
      <c r="R13">
        <v>0.64361313694646993</v>
      </c>
    </row>
    <row r="14" spans="1:18" x14ac:dyDescent="0.25">
      <c r="A14">
        <v>0.6</v>
      </c>
      <c r="B14">
        <v>0.33571055765635227</v>
      </c>
      <c r="C14">
        <v>0.34314314314314254</v>
      </c>
      <c r="D14">
        <v>0.36806806806806752</v>
      </c>
      <c r="E14">
        <v>0.39299299299299251</v>
      </c>
      <c r="F14">
        <v>0.40370370370370323</v>
      </c>
      <c r="G14">
        <v>0.41441441441441401</v>
      </c>
      <c r="H14">
        <v>0.44794794794794746</v>
      </c>
      <c r="I14">
        <v>0.48148148148148096</v>
      </c>
      <c r="J14">
        <v>0.50410410410410345</v>
      </c>
      <c r="K14">
        <v>0.52672672672672605</v>
      </c>
      <c r="L14">
        <v>0.54664664664664619</v>
      </c>
      <c r="M14">
        <v>0.56656656656656645</v>
      </c>
      <c r="N14">
        <v>0.57717717717717676</v>
      </c>
      <c r="O14">
        <v>0.58778778778778706</v>
      </c>
      <c r="P14">
        <v>0.59289289289289226</v>
      </c>
      <c r="Q14">
        <v>0.59799799799799747</v>
      </c>
      <c r="R14">
        <v>0.64725010725010668</v>
      </c>
    </row>
    <row r="15" spans="1:18" x14ac:dyDescent="0.25">
      <c r="A15">
        <v>0.65</v>
      </c>
      <c r="B15">
        <v>0.33575047407823538</v>
      </c>
      <c r="C15">
        <v>0.348548548548548</v>
      </c>
      <c r="D15">
        <v>0.37037037037037002</v>
      </c>
      <c r="E15">
        <v>0.39219219219219198</v>
      </c>
      <c r="F15">
        <v>0.399399399399399</v>
      </c>
      <c r="G15">
        <v>0.40660660660660602</v>
      </c>
      <c r="H15">
        <v>0.45025025025024951</v>
      </c>
      <c r="I15">
        <v>0.49389389389389299</v>
      </c>
      <c r="J15">
        <v>0.51031031031030949</v>
      </c>
      <c r="K15">
        <v>0.52672672672672605</v>
      </c>
      <c r="L15">
        <v>0.54394394394394352</v>
      </c>
      <c r="M15">
        <v>0.56116116116116099</v>
      </c>
      <c r="N15">
        <v>0.57997997997997952</v>
      </c>
      <c r="O15">
        <v>0.59879879879879805</v>
      </c>
      <c r="P15">
        <v>0.59879879879879805</v>
      </c>
      <c r="Q15">
        <v>0.59879879879879805</v>
      </c>
      <c r="R15">
        <v>0.65088707755374342</v>
      </c>
    </row>
    <row r="16" spans="1:18" x14ac:dyDescent="0.25">
      <c r="A16">
        <v>0.7</v>
      </c>
      <c r="B16">
        <v>0.3222068372018928</v>
      </c>
      <c r="C16">
        <v>0.34554554554554501</v>
      </c>
      <c r="D16">
        <v>0.36076076076076025</v>
      </c>
      <c r="E16">
        <v>0.37597597597597548</v>
      </c>
      <c r="F16">
        <v>0.39129129129129075</v>
      </c>
      <c r="G16">
        <v>0.40660660660660602</v>
      </c>
      <c r="H16">
        <v>0.43423423423423346</v>
      </c>
      <c r="I16">
        <v>0.46186186186186096</v>
      </c>
      <c r="J16">
        <v>0.49589589589589528</v>
      </c>
      <c r="K16">
        <v>0.5299299299299296</v>
      </c>
      <c r="L16">
        <v>0.54354354354354328</v>
      </c>
      <c r="M16">
        <v>0.55715715715715697</v>
      </c>
      <c r="N16">
        <v>0.57797797797797745</v>
      </c>
      <c r="O16">
        <v>0.59879879879879805</v>
      </c>
      <c r="P16">
        <v>0.59879879879879805</v>
      </c>
      <c r="Q16">
        <v>0.59879879879879805</v>
      </c>
      <c r="R16">
        <v>0.65086515086515018</v>
      </c>
    </row>
    <row r="17" spans="1:18" x14ac:dyDescent="0.25">
      <c r="A17">
        <v>0.75</v>
      </c>
      <c r="B17">
        <v>0.30866320910436934</v>
      </c>
      <c r="C17">
        <v>0.34254254254254202</v>
      </c>
      <c r="D17">
        <v>0.35115115115115048</v>
      </c>
      <c r="E17">
        <v>0.35975975975975899</v>
      </c>
      <c r="F17">
        <v>0.38318318318318251</v>
      </c>
      <c r="G17">
        <v>0.40660660660660602</v>
      </c>
      <c r="H17">
        <v>0.41821821821821747</v>
      </c>
      <c r="I17">
        <v>0.42982982982982898</v>
      </c>
      <c r="J17">
        <v>0.48148148148148101</v>
      </c>
      <c r="K17">
        <v>0.53313313313313304</v>
      </c>
      <c r="L17">
        <v>0.54314314314314305</v>
      </c>
      <c r="M17">
        <v>0.55315315315315305</v>
      </c>
      <c r="N17">
        <v>0.5759759759759755</v>
      </c>
      <c r="O17">
        <v>0.59879879879879805</v>
      </c>
      <c r="P17">
        <v>0.59879879879879805</v>
      </c>
      <c r="Q17">
        <v>0.59879879879879805</v>
      </c>
      <c r="R17">
        <v>0.65084322417655693</v>
      </c>
    </row>
    <row r="18" spans="1:18" x14ac:dyDescent="0.25">
      <c r="A18">
        <v>0.8</v>
      </c>
      <c r="B18">
        <v>0.29989518288728256</v>
      </c>
      <c r="C18">
        <v>0.32612612612612552</v>
      </c>
      <c r="D18">
        <v>0.34444444444444378</v>
      </c>
      <c r="E18">
        <v>0.36276276276276198</v>
      </c>
      <c r="F18">
        <v>0.37877877877877797</v>
      </c>
      <c r="G18">
        <v>0.39479479479479401</v>
      </c>
      <c r="H18">
        <v>0.41271271271271204</v>
      </c>
      <c r="I18">
        <v>0.43063063063063001</v>
      </c>
      <c r="J18">
        <v>0.47087087087087054</v>
      </c>
      <c r="K18">
        <v>0.51111111111111107</v>
      </c>
      <c r="L18">
        <v>0.53333333333333299</v>
      </c>
      <c r="M18">
        <v>0.55555555555555503</v>
      </c>
      <c r="N18">
        <v>0.57717717717717654</v>
      </c>
      <c r="O18">
        <v>0.59879879879879805</v>
      </c>
      <c r="P18">
        <v>0.59449449449449387</v>
      </c>
      <c r="Q18">
        <v>0.59019019019018959</v>
      </c>
      <c r="R18">
        <v>0.64716240049573337</v>
      </c>
    </row>
    <row r="19" spans="1:18" x14ac:dyDescent="0.25">
      <c r="A19">
        <v>0.85</v>
      </c>
      <c r="B19">
        <v>0.29112376357612774</v>
      </c>
      <c r="C19">
        <v>0.30970970970970901</v>
      </c>
      <c r="D19">
        <v>0.33773773773773702</v>
      </c>
      <c r="E19">
        <v>0.36576576576576503</v>
      </c>
      <c r="F19">
        <v>0.37437437437437349</v>
      </c>
      <c r="G19">
        <v>0.382982982982982</v>
      </c>
      <c r="H19">
        <v>0.40720720720720649</v>
      </c>
      <c r="I19">
        <v>0.43143143143143098</v>
      </c>
      <c r="J19">
        <v>0.46026026026026001</v>
      </c>
      <c r="K19">
        <v>0.48908908908908899</v>
      </c>
      <c r="L19">
        <v>0.52352352352352294</v>
      </c>
      <c r="M19">
        <v>0.557957957957957</v>
      </c>
      <c r="N19">
        <v>0.57837837837837758</v>
      </c>
      <c r="O19">
        <v>0.59879879879879805</v>
      </c>
      <c r="P19">
        <v>0.59019019019018959</v>
      </c>
      <c r="Q19">
        <v>0.58158158158158102</v>
      </c>
      <c r="R19">
        <v>0.64348157681490958</v>
      </c>
    </row>
    <row r="20" spans="1:18" x14ac:dyDescent="0.25">
      <c r="A20">
        <v>0.9</v>
      </c>
      <c r="B20">
        <v>0.2870273027550726</v>
      </c>
      <c r="C20">
        <v>0.32292292292292252</v>
      </c>
      <c r="D20">
        <v>0.33693693693693649</v>
      </c>
      <c r="E20">
        <v>0.35095095095095052</v>
      </c>
      <c r="F20">
        <v>0.36466466466466402</v>
      </c>
      <c r="G20">
        <v>0.37837837837837751</v>
      </c>
      <c r="H20">
        <v>0.39789789789789726</v>
      </c>
      <c r="I20">
        <v>0.417417417417417</v>
      </c>
      <c r="J20">
        <v>0.44474474474474451</v>
      </c>
      <c r="K20">
        <v>0.47207207207207202</v>
      </c>
      <c r="L20">
        <v>0.512312312312312</v>
      </c>
      <c r="M20">
        <v>0.55255255255255198</v>
      </c>
      <c r="N20">
        <v>0.56426426426426368</v>
      </c>
      <c r="O20">
        <v>0.5759759759759755</v>
      </c>
      <c r="P20">
        <v>0.5818818818818815</v>
      </c>
      <c r="Q20">
        <v>0.58778778778778751</v>
      </c>
      <c r="R20">
        <v>0.63033414366747653</v>
      </c>
    </row>
    <row r="21" spans="1:18" x14ac:dyDescent="0.25">
      <c r="A21">
        <v>0.95</v>
      </c>
      <c r="B21">
        <v>0.2829348456865165</v>
      </c>
      <c r="C21">
        <v>0.33613613613613602</v>
      </c>
      <c r="D21">
        <v>0.33613613613613602</v>
      </c>
      <c r="E21">
        <v>0.33613613613613602</v>
      </c>
      <c r="F21">
        <v>0.35495495495495455</v>
      </c>
      <c r="G21">
        <v>0.37377377377377302</v>
      </c>
      <c r="H21">
        <v>0.38858858858858802</v>
      </c>
      <c r="I21">
        <v>0.40340340340340303</v>
      </c>
      <c r="J21">
        <v>0.42922922922922901</v>
      </c>
      <c r="K21">
        <v>0.455055055055055</v>
      </c>
      <c r="L21">
        <v>0.50110110110110095</v>
      </c>
      <c r="M21">
        <v>0.54714714714714696</v>
      </c>
      <c r="N21">
        <v>0.55015015015015001</v>
      </c>
      <c r="O21">
        <v>0.55315315315315305</v>
      </c>
      <c r="P21">
        <v>0.57357357357357353</v>
      </c>
      <c r="Q21">
        <v>0.593993993993994</v>
      </c>
      <c r="R21">
        <v>0.6171867105200437</v>
      </c>
    </row>
    <row r="22" spans="1:18" x14ac:dyDescent="0.25">
      <c r="A22">
        <v>1</v>
      </c>
      <c r="B22">
        <v>0.28106094191318903</v>
      </c>
      <c r="C22">
        <v>0.31655163935865643</v>
      </c>
      <c r="D22">
        <v>0.33412184113938448</v>
      </c>
      <c r="E22">
        <v>0.35169204292011241</v>
      </c>
      <c r="F22">
        <v>0.36404825878510022</v>
      </c>
      <c r="G22">
        <v>0.37640447465008769</v>
      </c>
      <c r="H22">
        <v>0.40201956342307149</v>
      </c>
      <c r="I22">
        <v>0.42763465219605512</v>
      </c>
      <c r="J22">
        <v>0.45704125177809335</v>
      </c>
      <c r="K22">
        <v>0.48644785136013191</v>
      </c>
      <c r="L22">
        <v>0.52014997453593914</v>
      </c>
      <c r="M22">
        <v>0.55385209771174648</v>
      </c>
      <c r="N22">
        <v>0.57231617582494732</v>
      </c>
      <c r="O22">
        <v>0.5907802539381477</v>
      </c>
      <c r="P22">
        <v>0.60124686089598323</v>
      </c>
      <c r="Q22">
        <v>0.61171346785381819</v>
      </c>
      <c r="R22">
        <v>0.65082457561989671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7373-5F9E-44D2-AC86-87631789F3DD}">
  <dimension ref="A1:R22"/>
  <sheetViews>
    <sheetView topLeftCell="H1" workbookViewId="0">
      <selection activeCell="AJ1" sqref="AJ1"/>
    </sheetView>
  </sheetViews>
  <sheetFormatPr defaultRowHeight="15" x14ac:dyDescent="0.25"/>
  <sheetData>
    <row r="1" spans="1:18" x14ac:dyDescent="0.25">
      <c r="B1">
        <v>0</v>
      </c>
      <c r="C1">
        <v>2.5</v>
      </c>
      <c r="D1">
        <v>5</v>
      </c>
      <c r="E1">
        <v>7.5</v>
      </c>
      <c r="F1">
        <v>10</v>
      </c>
      <c r="G1">
        <v>12.5</v>
      </c>
      <c r="H1">
        <v>15</v>
      </c>
      <c r="I1">
        <v>17.5</v>
      </c>
      <c r="J1">
        <v>20</v>
      </c>
      <c r="K1">
        <v>22.5</v>
      </c>
      <c r="L1">
        <v>25</v>
      </c>
      <c r="M1">
        <v>27.5</v>
      </c>
      <c r="N1">
        <v>30</v>
      </c>
      <c r="O1">
        <v>32.5</v>
      </c>
      <c r="P1">
        <v>35</v>
      </c>
      <c r="Q1">
        <v>37.5</v>
      </c>
      <c r="R1">
        <v>40</v>
      </c>
    </row>
    <row r="2" spans="1:18" x14ac:dyDescent="0.25">
      <c r="A2">
        <v>0</v>
      </c>
      <c r="B2">
        <v>29.55580141545051</v>
      </c>
      <c r="C2">
        <v>27.922835115817545</v>
      </c>
      <c r="D2">
        <v>27.830286426777619</v>
      </c>
      <c r="E2">
        <v>27.737737737737696</v>
      </c>
      <c r="F2">
        <v>27.905624923168752</v>
      </c>
      <c r="G2">
        <v>28.073512108599807</v>
      </c>
      <c r="H2">
        <v>26.843510176843477</v>
      </c>
      <c r="I2">
        <v>25.613508245087161</v>
      </c>
      <c r="J2">
        <v>24.927032295453323</v>
      </c>
      <c r="K2">
        <v>24.240556345819464</v>
      </c>
      <c r="L2">
        <v>23.334211404386807</v>
      </c>
      <c r="M2">
        <v>22.427866462954146</v>
      </c>
      <c r="N2">
        <v>22.159176720580199</v>
      </c>
      <c r="O2">
        <v>21.890486978206255</v>
      </c>
      <c r="P2">
        <v>21.523804506260614</v>
      </c>
      <c r="Q2">
        <v>21.157122034314963</v>
      </c>
      <c r="R2">
        <v>20.255834782150536</v>
      </c>
    </row>
    <row r="3" spans="1:18" x14ac:dyDescent="0.25">
      <c r="A3">
        <v>0.05</v>
      </c>
      <c r="B3">
        <v>31.686257686257655</v>
      </c>
      <c r="C3">
        <v>32.2222222222222</v>
      </c>
      <c r="D3">
        <v>31.441441441441398</v>
      </c>
      <c r="E3">
        <v>30.6606606606606</v>
      </c>
      <c r="F3">
        <v>29.479479479479451</v>
      </c>
      <c r="G3">
        <v>28.298298298298299</v>
      </c>
      <c r="H3">
        <v>26.4164164164164</v>
      </c>
      <c r="I3">
        <v>24.534534534534501</v>
      </c>
      <c r="J3">
        <v>25.095095095095051</v>
      </c>
      <c r="K3">
        <v>25.6556556556556</v>
      </c>
      <c r="L3">
        <v>24.634634634634601</v>
      </c>
      <c r="M3">
        <v>23.613613613613602</v>
      </c>
      <c r="N3">
        <v>23.773773773773751</v>
      </c>
      <c r="O3">
        <v>23.933933933933901</v>
      </c>
      <c r="P3">
        <v>23.5335335335335</v>
      </c>
      <c r="Q3">
        <v>23.1331331331331</v>
      </c>
      <c r="R3">
        <v>21.170599170599143</v>
      </c>
    </row>
    <row r="4" spans="1:18" x14ac:dyDescent="0.25">
      <c r="A4">
        <v>0.1</v>
      </c>
      <c r="B4">
        <v>31.916297249630549</v>
      </c>
      <c r="C4">
        <v>32.062062062062054</v>
      </c>
      <c r="D4">
        <v>30.930930930930902</v>
      </c>
      <c r="E4">
        <v>29.79979979979975</v>
      </c>
      <c r="F4">
        <v>29.319319319319277</v>
      </c>
      <c r="G4">
        <v>28.8388388388388</v>
      </c>
      <c r="H4">
        <v>27.357357357357323</v>
      </c>
      <c r="I4">
        <v>25.875875875875849</v>
      </c>
      <c r="J4">
        <v>25.955955955955925</v>
      </c>
      <c r="K4">
        <v>26.036036036036002</v>
      </c>
      <c r="L4">
        <v>24.984984984984951</v>
      </c>
      <c r="M4">
        <v>23.933933933933901</v>
      </c>
      <c r="N4">
        <v>23.653653653653627</v>
      </c>
      <c r="O4">
        <v>23.373373373373351</v>
      </c>
      <c r="P4">
        <v>22.902902902902873</v>
      </c>
      <c r="Q4">
        <v>22.4324324324324</v>
      </c>
      <c r="R4">
        <v>21.078030411363716</v>
      </c>
    </row>
    <row r="5" spans="1:18" x14ac:dyDescent="0.25">
      <c r="A5">
        <v>0.15</v>
      </c>
      <c r="B5">
        <v>32.146336813003444</v>
      </c>
      <c r="C5">
        <v>31.901901901901901</v>
      </c>
      <c r="D5">
        <v>30.420420420420399</v>
      </c>
      <c r="E5">
        <v>28.9389389389389</v>
      </c>
      <c r="F5">
        <v>29.159159159159103</v>
      </c>
      <c r="G5">
        <v>29.379379379379301</v>
      </c>
      <c r="H5">
        <v>28.298298298298249</v>
      </c>
      <c r="I5">
        <v>27.2172172172172</v>
      </c>
      <c r="J5">
        <v>26.8168168168168</v>
      </c>
      <c r="K5">
        <v>26.4164164164164</v>
      </c>
      <c r="L5">
        <v>25.335335335335301</v>
      </c>
      <c r="M5">
        <v>24.254254254254199</v>
      </c>
      <c r="N5">
        <v>23.5335335335335</v>
      </c>
      <c r="O5">
        <v>22.812812812812801</v>
      </c>
      <c r="P5">
        <v>22.27227227227225</v>
      </c>
      <c r="Q5">
        <v>21.731731731731699</v>
      </c>
      <c r="R5">
        <v>20.985461652128294</v>
      </c>
    </row>
    <row r="6" spans="1:18" x14ac:dyDescent="0.25">
      <c r="A6">
        <v>0.2</v>
      </c>
      <c r="B6">
        <v>32.481910481910433</v>
      </c>
      <c r="C6">
        <v>31.981981981981949</v>
      </c>
      <c r="D6">
        <v>30.770770770770724</v>
      </c>
      <c r="E6">
        <v>29.559559559559499</v>
      </c>
      <c r="F6">
        <v>29.589589589589522</v>
      </c>
      <c r="G6">
        <v>29.619619619619549</v>
      </c>
      <c r="H6">
        <v>28.528528528528476</v>
      </c>
      <c r="I6">
        <v>27.437437437437403</v>
      </c>
      <c r="J6">
        <v>26.306306306306276</v>
      </c>
      <c r="K6">
        <v>25.175175175175148</v>
      </c>
      <c r="L6">
        <v>24.434434434434401</v>
      </c>
      <c r="M6">
        <v>23.69369369369365</v>
      </c>
      <c r="N6">
        <v>23.293293293293253</v>
      </c>
      <c r="O6">
        <v>22.892892892892853</v>
      </c>
      <c r="P6">
        <v>22.272272272272225</v>
      </c>
      <c r="Q6">
        <v>21.651651651651598</v>
      </c>
      <c r="R6">
        <v>20.479050479050446</v>
      </c>
    </row>
    <row r="7" spans="1:18" x14ac:dyDescent="0.25">
      <c r="A7">
        <v>0.25</v>
      </c>
      <c r="B7">
        <v>32.817484150817421</v>
      </c>
      <c r="C7">
        <v>32.062062062061997</v>
      </c>
      <c r="D7">
        <v>31.12112112112105</v>
      </c>
      <c r="E7">
        <v>30.180180180180098</v>
      </c>
      <c r="F7">
        <v>30.020020020019949</v>
      </c>
      <c r="G7">
        <v>29.8598598598598</v>
      </c>
      <c r="H7">
        <v>28.758758758758702</v>
      </c>
      <c r="I7">
        <v>27.657657657657602</v>
      </c>
      <c r="J7">
        <v>25.795795795795751</v>
      </c>
      <c r="K7">
        <v>23.933933933933901</v>
      </c>
      <c r="L7">
        <v>23.5335335335335</v>
      </c>
      <c r="M7">
        <v>23.1331331331331</v>
      </c>
      <c r="N7">
        <v>23.053053053052999</v>
      </c>
      <c r="O7">
        <v>22.972972972972901</v>
      </c>
      <c r="P7">
        <v>22.2722722722722</v>
      </c>
      <c r="Q7">
        <v>21.5715715715715</v>
      </c>
      <c r="R7">
        <v>19.972639305972592</v>
      </c>
    </row>
    <row r="8" spans="1:18" x14ac:dyDescent="0.25">
      <c r="A8">
        <v>0.3</v>
      </c>
      <c r="B8">
        <v>33.051146384479694</v>
      </c>
      <c r="C8">
        <v>32.282282282282253</v>
      </c>
      <c r="D8">
        <v>31.461461461461425</v>
      </c>
      <c r="E8">
        <v>30.640640640640598</v>
      </c>
      <c r="F8">
        <v>30.060060060060025</v>
      </c>
      <c r="G8">
        <v>29.479479479479451</v>
      </c>
      <c r="H8">
        <v>28.5385385385385</v>
      </c>
      <c r="I8">
        <v>27.597597597597549</v>
      </c>
      <c r="J8">
        <v>26.386386386386349</v>
      </c>
      <c r="K8">
        <v>25.175175175175148</v>
      </c>
      <c r="L8">
        <v>24.354354354354324</v>
      </c>
      <c r="M8">
        <v>23.5335335335335</v>
      </c>
      <c r="N8">
        <v>23.143143143143099</v>
      </c>
      <c r="O8">
        <v>22.752752752752698</v>
      </c>
      <c r="P8">
        <v>22.242242242242174</v>
      </c>
      <c r="Q8">
        <v>21.731731731731649</v>
      </c>
      <c r="R8">
        <v>20.199437532770812</v>
      </c>
    </row>
    <row r="9" spans="1:18" x14ac:dyDescent="0.25">
      <c r="A9">
        <v>0.35</v>
      </c>
      <c r="B9">
        <v>33.284808618141966</v>
      </c>
      <c r="C9">
        <v>32.502502502502502</v>
      </c>
      <c r="D9">
        <v>31.801801801801801</v>
      </c>
      <c r="E9">
        <v>31.101101101101101</v>
      </c>
      <c r="F9">
        <v>30.1001001001001</v>
      </c>
      <c r="G9">
        <v>29.099099099099099</v>
      </c>
      <c r="H9">
        <v>28.318318318318298</v>
      </c>
      <c r="I9">
        <v>27.537537537537499</v>
      </c>
      <c r="J9">
        <v>26.97697697697695</v>
      </c>
      <c r="K9">
        <v>26.4164164164164</v>
      </c>
      <c r="L9">
        <v>25.175175175175148</v>
      </c>
      <c r="M9">
        <v>23.933933933933901</v>
      </c>
      <c r="N9">
        <v>23.2332332332332</v>
      </c>
      <c r="O9">
        <v>22.5325325325325</v>
      </c>
      <c r="P9">
        <v>22.212212212212151</v>
      </c>
      <c r="Q9">
        <v>21.891891891891799</v>
      </c>
      <c r="R9">
        <v>20.426235759569032</v>
      </c>
    </row>
    <row r="10" spans="1:18" x14ac:dyDescent="0.25">
      <c r="A10">
        <v>0.4</v>
      </c>
      <c r="B10">
        <v>33.972639305972606</v>
      </c>
      <c r="C10">
        <v>33.4434434434434</v>
      </c>
      <c r="D10">
        <v>32.512512512512473</v>
      </c>
      <c r="E10">
        <v>31.581581581581549</v>
      </c>
      <c r="F10">
        <v>30.570570570570549</v>
      </c>
      <c r="G10">
        <v>29.559559559559549</v>
      </c>
      <c r="H10">
        <v>28.818818818818798</v>
      </c>
      <c r="I10">
        <v>28.07807807807805</v>
      </c>
      <c r="J10">
        <v>26.936936936936899</v>
      </c>
      <c r="K10">
        <v>25.795795795795748</v>
      </c>
      <c r="L10">
        <v>24.824824824824773</v>
      </c>
      <c r="M10">
        <v>23.853853853853799</v>
      </c>
      <c r="N10">
        <v>23.3433433433433</v>
      </c>
      <c r="O10">
        <v>22.8328328328328</v>
      </c>
      <c r="P10">
        <v>22.442442442442399</v>
      </c>
      <c r="Q10">
        <v>22.052052052051998</v>
      </c>
      <c r="R10">
        <v>20.246913580246861</v>
      </c>
    </row>
    <row r="11" spans="1:18" x14ac:dyDescent="0.25">
      <c r="A11">
        <v>0.45</v>
      </c>
      <c r="B11">
        <v>34.660469993803261</v>
      </c>
      <c r="C11">
        <v>34.384384384384298</v>
      </c>
      <c r="D11">
        <v>33.223223223223144</v>
      </c>
      <c r="E11">
        <v>32.062062062061997</v>
      </c>
      <c r="F11">
        <v>31.041041041040998</v>
      </c>
      <c r="G11">
        <v>30.020020020019999</v>
      </c>
      <c r="H11">
        <v>29.319319319319298</v>
      </c>
      <c r="I11">
        <v>28.618618618618601</v>
      </c>
      <c r="J11">
        <v>26.896896896896848</v>
      </c>
      <c r="K11">
        <v>25.175175175175099</v>
      </c>
      <c r="L11">
        <v>24.474474474474398</v>
      </c>
      <c r="M11">
        <v>23.773773773773701</v>
      </c>
      <c r="N11">
        <v>23.453453453453399</v>
      </c>
      <c r="O11">
        <v>23.1331331331331</v>
      </c>
      <c r="P11">
        <v>22.67267267267265</v>
      </c>
      <c r="Q11">
        <v>22.212212212212201</v>
      </c>
      <c r="R11">
        <v>20.067591400924712</v>
      </c>
    </row>
    <row r="12" spans="1:18" x14ac:dyDescent="0.25">
      <c r="A12">
        <v>0.5</v>
      </c>
      <c r="B12">
        <v>34.505362505362442</v>
      </c>
      <c r="C12">
        <v>33.683683683683597</v>
      </c>
      <c r="D12">
        <v>32.832832832832771</v>
      </c>
      <c r="E12">
        <v>31.981981981981949</v>
      </c>
      <c r="F12">
        <v>31.081081081081052</v>
      </c>
      <c r="G12">
        <v>30.180180180180152</v>
      </c>
      <c r="H12">
        <v>29.399399399399378</v>
      </c>
      <c r="I12">
        <v>28.618618618618601</v>
      </c>
      <c r="J12">
        <v>27.247247247247202</v>
      </c>
      <c r="K12">
        <v>25.875875875875799</v>
      </c>
      <c r="L12">
        <v>25.135135135135073</v>
      </c>
      <c r="M12">
        <v>24.39439439439435</v>
      </c>
      <c r="N12">
        <v>23.5335335335335</v>
      </c>
      <c r="O12">
        <v>22.67267267267265</v>
      </c>
      <c r="P12">
        <v>22.442442442442427</v>
      </c>
      <c r="Q12">
        <v>22.212212212212201</v>
      </c>
      <c r="R12">
        <v>20.333476333476312</v>
      </c>
    </row>
    <row r="13" spans="1:18" x14ac:dyDescent="0.25">
      <c r="A13">
        <v>0.55000000000000004</v>
      </c>
      <c r="B13">
        <v>34.350255016921636</v>
      </c>
      <c r="C13">
        <v>32.982982982982897</v>
      </c>
      <c r="D13">
        <v>32.442442442442399</v>
      </c>
      <c r="E13">
        <v>31.901901901901901</v>
      </c>
      <c r="F13">
        <v>31.121121121121099</v>
      </c>
      <c r="G13">
        <v>30.340340340340301</v>
      </c>
      <c r="H13">
        <v>29.479479479479451</v>
      </c>
      <c r="I13">
        <v>28.618618618618601</v>
      </c>
      <c r="J13">
        <v>27.597597597597549</v>
      </c>
      <c r="K13">
        <v>26.5765765765765</v>
      </c>
      <c r="L13">
        <v>25.795795795795748</v>
      </c>
      <c r="M13">
        <v>25.015015015014999</v>
      </c>
      <c r="N13">
        <v>23.613613613613602</v>
      </c>
      <c r="O13">
        <v>22.212212212212201</v>
      </c>
      <c r="P13">
        <v>22.212212212212201</v>
      </c>
      <c r="Q13">
        <v>22.212212212212201</v>
      </c>
      <c r="R13">
        <v>20.599361266027927</v>
      </c>
    </row>
    <row r="14" spans="1:18" x14ac:dyDescent="0.25">
      <c r="A14">
        <v>0.6</v>
      </c>
      <c r="B14">
        <v>35.384908718241995</v>
      </c>
      <c r="C14">
        <v>35.245245245245201</v>
      </c>
      <c r="D14">
        <v>33.8438438438438</v>
      </c>
      <c r="E14">
        <v>32.442442442442399</v>
      </c>
      <c r="F14">
        <v>31.151151151151101</v>
      </c>
      <c r="G14">
        <v>29.859859859859803</v>
      </c>
      <c r="H14">
        <v>29.669669669669627</v>
      </c>
      <c r="I14">
        <v>29.479479479479451</v>
      </c>
      <c r="J14">
        <v>28.108108108108048</v>
      </c>
      <c r="K14">
        <v>26.736736736736649</v>
      </c>
      <c r="L14">
        <v>25.605605605605547</v>
      </c>
      <c r="M14">
        <v>24.474474474474448</v>
      </c>
      <c r="N14">
        <v>23.573573573573547</v>
      </c>
      <c r="O14">
        <v>22.67267267267265</v>
      </c>
      <c r="P14">
        <v>22.562562562562526</v>
      </c>
      <c r="Q14">
        <v>22.452452452452398</v>
      </c>
      <c r="R14">
        <v>20.332141665474957</v>
      </c>
    </row>
    <row r="15" spans="1:18" x14ac:dyDescent="0.25">
      <c r="A15">
        <v>0.65</v>
      </c>
      <c r="B15">
        <v>36.419562419562368</v>
      </c>
      <c r="C15">
        <v>37.507507507507498</v>
      </c>
      <c r="D15">
        <v>35.245245245245201</v>
      </c>
      <c r="E15">
        <v>32.982982982982897</v>
      </c>
      <c r="F15">
        <v>31.181181181181099</v>
      </c>
      <c r="G15">
        <v>29.379379379379301</v>
      </c>
      <c r="H15">
        <v>29.859859859859803</v>
      </c>
      <c r="I15">
        <v>30.340340340340301</v>
      </c>
      <c r="J15">
        <v>28.618618618618548</v>
      </c>
      <c r="K15">
        <v>26.896896896896799</v>
      </c>
      <c r="L15">
        <v>25.41541541541535</v>
      </c>
      <c r="M15">
        <v>23.933933933933901</v>
      </c>
      <c r="N15">
        <v>23.5335335335335</v>
      </c>
      <c r="O15">
        <v>23.1331331331331</v>
      </c>
      <c r="P15">
        <v>22.912912912912851</v>
      </c>
      <c r="Q15">
        <v>22.692692692692599</v>
      </c>
      <c r="R15">
        <v>20.064922064922005</v>
      </c>
    </row>
    <row r="16" spans="1:18" x14ac:dyDescent="0.25">
      <c r="A16">
        <v>0.7</v>
      </c>
      <c r="B16">
        <v>37.465560798894082</v>
      </c>
      <c r="C16">
        <v>40.170170170170152</v>
      </c>
      <c r="D16">
        <v>36.496496496496448</v>
      </c>
      <c r="E16">
        <v>32.822822822822744</v>
      </c>
      <c r="F16">
        <v>31.571571571571496</v>
      </c>
      <c r="G16">
        <v>30.320320320320249</v>
      </c>
      <c r="H16">
        <v>30.05005005005</v>
      </c>
      <c r="I16">
        <v>29.779779779779751</v>
      </c>
      <c r="J16">
        <v>28.728728728728676</v>
      </c>
      <c r="K16">
        <v>27.6776776776776</v>
      </c>
      <c r="L16">
        <v>26.076076076076024</v>
      </c>
      <c r="M16">
        <v>24.474474474474448</v>
      </c>
      <c r="N16">
        <v>24.154154154154124</v>
      </c>
      <c r="O16">
        <v>23.8338338338338</v>
      </c>
      <c r="P16">
        <v>23.333333333333275</v>
      </c>
      <c r="Q16">
        <v>22.83283283283275</v>
      </c>
      <c r="R16">
        <v>20.177415510748798</v>
      </c>
    </row>
    <row r="17" spans="1:18" x14ac:dyDescent="0.25">
      <c r="A17">
        <v>0.75</v>
      </c>
      <c r="B17">
        <v>38.511559178225795</v>
      </c>
      <c r="C17">
        <v>42.8328328328328</v>
      </c>
      <c r="D17">
        <v>37.747747747747695</v>
      </c>
      <c r="E17">
        <v>32.662662662662598</v>
      </c>
      <c r="F17">
        <v>31.961961961961897</v>
      </c>
      <c r="G17">
        <v>31.2612612612612</v>
      </c>
      <c r="H17">
        <v>30.240240240240201</v>
      </c>
      <c r="I17">
        <v>29.219219219219202</v>
      </c>
      <c r="J17">
        <v>28.8388388388388</v>
      </c>
      <c r="K17">
        <v>28.458458458458399</v>
      </c>
      <c r="L17">
        <v>26.736736736736699</v>
      </c>
      <c r="M17">
        <v>25.015015015014999</v>
      </c>
      <c r="N17">
        <v>24.774774774774748</v>
      </c>
      <c r="O17">
        <v>24.534534534534501</v>
      </c>
      <c r="P17">
        <v>23.753753753753699</v>
      </c>
      <c r="Q17">
        <v>22.972972972972901</v>
      </c>
      <c r="R17">
        <v>20.289908956575587</v>
      </c>
    </row>
    <row r="18" spans="1:18" x14ac:dyDescent="0.25">
      <c r="A18">
        <v>0.8</v>
      </c>
      <c r="B18">
        <v>39.329996663329958</v>
      </c>
      <c r="C18">
        <v>41.731731731731699</v>
      </c>
      <c r="D18">
        <v>38.68868868868865</v>
      </c>
      <c r="E18">
        <v>35.645645645645601</v>
      </c>
      <c r="F18">
        <v>33.653653653653599</v>
      </c>
      <c r="G18">
        <v>31.661661661661597</v>
      </c>
      <c r="H18">
        <v>30.870870870870824</v>
      </c>
      <c r="I18">
        <v>30.080080080080052</v>
      </c>
      <c r="J18">
        <v>29.389389389389351</v>
      </c>
      <c r="K18">
        <v>28.698698698698649</v>
      </c>
      <c r="L18">
        <v>27.407407407407376</v>
      </c>
      <c r="M18">
        <v>26.1161161161161</v>
      </c>
      <c r="N18">
        <v>25.915915915915875</v>
      </c>
      <c r="O18">
        <v>25.71571571571565</v>
      </c>
      <c r="P18">
        <v>24.584584584584526</v>
      </c>
      <c r="Q18">
        <v>23.453453453453399</v>
      </c>
      <c r="R18">
        <v>21.151818485151768</v>
      </c>
    </row>
    <row r="19" spans="1:18" x14ac:dyDescent="0.25">
      <c r="A19">
        <v>0.85</v>
      </c>
      <c r="B19">
        <v>40.148434148434106</v>
      </c>
      <c r="C19">
        <v>40.630630630630598</v>
      </c>
      <c r="D19">
        <v>39.629629629629598</v>
      </c>
      <c r="E19">
        <v>38.628628628628597</v>
      </c>
      <c r="F19">
        <v>35.345345345345294</v>
      </c>
      <c r="G19">
        <v>32.062062062061997</v>
      </c>
      <c r="H19">
        <v>31.501501501501451</v>
      </c>
      <c r="I19">
        <v>30.940940940940902</v>
      </c>
      <c r="J19">
        <v>29.939939939939901</v>
      </c>
      <c r="K19">
        <v>28.9389389389389</v>
      </c>
      <c r="L19">
        <v>28.07807807807805</v>
      </c>
      <c r="M19">
        <v>27.2172172172172</v>
      </c>
      <c r="N19">
        <v>27.057057057057001</v>
      </c>
      <c r="O19">
        <v>26.896896896896799</v>
      </c>
      <c r="P19">
        <v>25.41541541541535</v>
      </c>
      <c r="Q19">
        <v>23.933933933933901</v>
      </c>
      <c r="R19">
        <v>22.013728013727953</v>
      </c>
    </row>
    <row r="20" spans="1:18" x14ac:dyDescent="0.25">
      <c r="A20">
        <v>0.9</v>
      </c>
      <c r="B20">
        <v>42.233280899947495</v>
      </c>
      <c r="C20">
        <v>45.2552552552552</v>
      </c>
      <c r="D20">
        <v>42.132132132132071</v>
      </c>
      <c r="E20">
        <v>39.009009009008949</v>
      </c>
      <c r="F20">
        <v>36.036036036035973</v>
      </c>
      <c r="G20">
        <v>33.063063063062998</v>
      </c>
      <c r="H20">
        <v>32.082082082082024</v>
      </c>
      <c r="I20">
        <v>31.101101101101051</v>
      </c>
      <c r="J20">
        <v>30.370370370370324</v>
      </c>
      <c r="K20">
        <v>29.639639639639601</v>
      </c>
      <c r="L20">
        <v>28.968968968968923</v>
      </c>
      <c r="M20">
        <v>28.298298298298249</v>
      </c>
      <c r="N20">
        <v>27.517517517517447</v>
      </c>
      <c r="O20">
        <v>26.736736736736649</v>
      </c>
      <c r="P20">
        <v>25.955955955955901</v>
      </c>
      <c r="Q20">
        <v>25.175175175175148</v>
      </c>
      <c r="R20">
        <v>21.94556461223123</v>
      </c>
    </row>
    <row r="21" spans="1:18" x14ac:dyDescent="0.25">
      <c r="A21">
        <v>0.95</v>
      </c>
      <c r="B21">
        <v>44.318127651460884</v>
      </c>
      <c r="C21">
        <v>49.879879879879802</v>
      </c>
      <c r="D21">
        <v>44.634634634634551</v>
      </c>
      <c r="E21">
        <v>39.389389389389301</v>
      </c>
      <c r="F21">
        <v>36.726726726726653</v>
      </c>
      <c r="G21">
        <v>34.064064064063999</v>
      </c>
      <c r="H21">
        <v>32.662662662662598</v>
      </c>
      <c r="I21">
        <v>31.2612612612612</v>
      </c>
      <c r="J21">
        <v>30.800800800800751</v>
      </c>
      <c r="K21">
        <v>30.340340340340301</v>
      </c>
      <c r="L21">
        <v>29.859859859859803</v>
      </c>
      <c r="M21">
        <v>29.379379379379301</v>
      </c>
      <c r="N21">
        <v>27.977977977977901</v>
      </c>
      <c r="O21">
        <v>26.5765765765765</v>
      </c>
      <c r="P21">
        <v>26.496496496496448</v>
      </c>
      <c r="Q21">
        <v>26.4164164164164</v>
      </c>
      <c r="R21">
        <v>21.877401210734497</v>
      </c>
    </row>
    <row r="22" spans="1:18" x14ac:dyDescent="0.25">
      <c r="A22">
        <v>1</v>
      </c>
      <c r="B22">
        <v>41.884661603959778</v>
      </c>
      <c r="C22">
        <v>44.999560964473183</v>
      </c>
      <c r="D22">
        <v>41.367332244525159</v>
      </c>
      <c r="E22">
        <v>37.735103524577148</v>
      </c>
      <c r="F22">
        <v>35.164813936743698</v>
      </c>
      <c r="G22">
        <v>32.594524348910255</v>
      </c>
      <c r="H22">
        <v>32.121770893700663</v>
      </c>
      <c r="I22">
        <v>31.649017438491082</v>
      </c>
      <c r="J22">
        <v>30.526315789473639</v>
      </c>
      <c r="K22">
        <v>29.403614140456174</v>
      </c>
      <c r="L22">
        <v>28.332191840963716</v>
      </c>
      <c r="M22">
        <v>27.260769541471259</v>
      </c>
      <c r="N22">
        <v>26.486310872275727</v>
      </c>
      <c r="O22">
        <v>25.711852203080205</v>
      </c>
      <c r="P22">
        <v>25.054352598212194</v>
      </c>
      <c r="Q22">
        <v>24.396852993344172</v>
      </c>
      <c r="R22">
        <v>21.155922840133311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8B50-1087-467C-9667-5DFE804DBDAE}">
  <dimension ref="A1:AH25"/>
  <sheetViews>
    <sheetView tabSelected="1" topLeftCell="G1" workbookViewId="0">
      <selection activeCell="T4" sqref="T4"/>
    </sheetView>
  </sheetViews>
  <sheetFormatPr defaultRowHeight="15" x14ac:dyDescent="0.25"/>
  <cols>
    <col min="24" max="24" width="13.7109375" bestFit="1" customWidth="1"/>
    <col min="28" max="28" width="13.140625" bestFit="1" customWidth="1"/>
    <col min="29" max="29" width="9.85546875" bestFit="1" customWidth="1"/>
  </cols>
  <sheetData>
    <row r="1" spans="1:34" x14ac:dyDescent="0.25">
      <c r="B1">
        <v>0</v>
      </c>
      <c r="C1">
        <v>2.5</v>
      </c>
      <c r="D1">
        <v>5</v>
      </c>
      <c r="E1">
        <v>7.5</v>
      </c>
      <c r="F1">
        <v>10</v>
      </c>
      <c r="G1">
        <v>12.5</v>
      </c>
      <c r="H1">
        <v>15</v>
      </c>
      <c r="I1">
        <v>17.5</v>
      </c>
      <c r="J1">
        <v>20</v>
      </c>
      <c r="K1">
        <v>22.5</v>
      </c>
      <c r="L1">
        <v>25</v>
      </c>
      <c r="M1">
        <v>27.5</v>
      </c>
      <c r="N1">
        <v>30</v>
      </c>
      <c r="O1">
        <v>32.5</v>
      </c>
      <c r="P1">
        <v>35</v>
      </c>
      <c r="Q1">
        <v>37.5</v>
      </c>
      <c r="R1">
        <v>40</v>
      </c>
    </row>
    <row r="2" spans="1:34" x14ac:dyDescent="0.25">
      <c r="A2">
        <v>0</v>
      </c>
      <c r="B2" s="2">
        <f>-PMT(10%,2,$Y$3*1.085,,0)+$Y$3*($Y$8+0.06)+('energy duty'!B2*($AC$21*$AC$18+$AC$22*$AC$19))*1000</f>
        <v>399.27449594097283</v>
      </c>
      <c r="C2" s="2">
        <f>-PMT(10%,2,$Y$3*1.085,,0)+$Y$3*($Y$8+0.06)+('energy duty'!C2*($AC$21*$AC$18+$AC$22*$AC$19))*1000</f>
        <v>386.51435272478921</v>
      </c>
      <c r="D2" s="2">
        <f>-PMT(10%,2,$Y$3*1.085,,0)+$Y$3*($Y$8+0.06)+('energy duty'!D2*($AC$21*$AC$18+$AC$22*$AC$19))*1000</f>
        <v>385.79116907618305</v>
      </c>
      <c r="E2" s="2">
        <f>-PMT(10%,2,$Y$3*1.085,,0)+$Y$3*($Y$8+0.06)+('energy duty'!E2*($AC$21*$AC$18+$AC$22*$AC$19))*1000</f>
        <v>385.0679854275769</v>
      </c>
      <c r="F2" s="2">
        <f>-PMT(10%,2,$Y$3*1.085,,0)+$Y$3*($Y$8+0.06)+('energy duty'!F2*($AC$21*$AC$18+$AC$22*$AC$19))*1000</f>
        <v>386.37987075597823</v>
      </c>
      <c r="G2" s="2">
        <f>-PMT(10%,2,$Y$3*1.085,,0)+$Y$3*($Y$8+0.06)+('energy duty'!G2*($AC$21*$AC$18+$AC$22*$AC$19))*1000</f>
        <v>387.69175608437945</v>
      </c>
      <c r="H2" s="2">
        <f>-PMT(10%,2,$Y$3*1.085,,0)+$Y$3*($Y$8+0.06)+('energy duty'!H2*($AC$21*$AC$18+$AC$22*$AC$19))*1000</f>
        <v>378.0804121093563</v>
      </c>
      <c r="I2" s="2">
        <f>-PMT(10%,2,$Y$3*1.085,,0)+$Y$3*($Y$8+0.06)+('energy duty'!I2*($AC$21*$AC$18+$AC$22*$AC$19))*1000</f>
        <v>368.46906813433321</v>
      </c>
      <c r="J2" s="2">
        <f>-PMT(10%,2,$Y$3*1.085,,0)+$Y$3*($Y$8+0.06)+('energy duty'!J2*($AC$21*$AC$18+$AC$22*$AC$19))*1000</f>
        <v>363.10488429675968</v>
      </c>
      <c r="K2" s="2">
        <f>-PMT(10%,2,$Y$3*1.085,,0)+$Y$3*($Y$8+0.06)+('energy duty'!K2*($AC$21*$AC$18+$AC$22*$AC$19))*1000</f>
        <v>357.74070045918597</v>
      </c>
      <c r="L2" s="2">
        <f>-PMT(10%,2,$Y$3*1.085,,0)+$Y$3*($Y$8+0.06)+('energy duty'!L2*($AC$21*$AC$18+$AC$22*$AC$19))*1000</f>
        <v>350.65844085680249</v>
      </c>
      <c r="M2" s="2">
        <f>-PMT(10%,2,$Y$3*1.085,,0)+$Y$3*($Y$8+0.06)+('energy duty'!M2*($AC$21*$AC$18+$AC$22*$AC$19))*1000</f>
        <v>343.576181254419</v>
      </c>
      <c r="N2" s="2">
        <f>-PMT(10%,2,$Y$3*1.085,,0)+$Y$3*($Y$8+0.06)+('energy duty'!N2*($AC$21*$AC$18+$AC$22*$AC$19))*1000</f>
        <v>341.47661582298196</v>
      </c>
      <c r="O2" s="2">
        <f>-PMT(10%,2,$Y$3*1.085,,0)+$Y$3*($Y$8+0.06)+('energy duty'!O2*($AC$21*$AC$18+$AC$22*$AC$19))*1000</f>
        <v>339.37705039154491</v>
      </c>
      <c r="P2" s="2">
        <f>-PMT(10%,2,$Y$3*1.085,,0)+$Y$3*($Y$8+0.06)+('energy duty'!P2*($AC$21*$AC$18+$AC$22*$AC$19))*1000</f>
        <v>336.51176109687776</v>
      </c>
      <c r="Q2" s="2">
        <f>-PMT(10%,2,$Y$3*1.085,,0)+$Y$3*($Y$8+0.06)+('energy duty'!Q2*($AC$21*$AC$18+$AC$22*$AC$19))*1000</f>
        <v>333.6464718022105</v>
      </c>
      <c r="R2" s="2">
        <f>-PMT(10%,2,$Y$3*1.085,,0)+$Y$3*($Y$8+0.06)+('energy duty'!R2*($AC$21*$AC$18+$AC$22*$AC$19))*1000</f>
        <v>326.60373343147774</v>
      </c>
      <c r="X2" t="s">
        <v>0</v>
      </c>
      <c r="AB2" t="s">
        <v>7</v>
      </c>
    </row>
    <row r="3" spans="1:34" x14ac:dyDescent="0.25">
      <c r="A3">
        <v>0.05</v>
      </c>
      <c r="B3" s="2">
        <f>-PMT(10%,2,$Y$3*1.085,,0)+$Y$3*($Y$8+0.06)+('energy duty'!B3*($AC$21*$AC$18+$AC$22*$AC$19))*1000</f>
        <v>415.92206982992923</v>
      </c>
      <c r="C3" s="2">
        <f>-PMT(10%,2,$Y$3*1.085,,0)+$Y$3*($Y$8+0.06)+('energy duty'!C3*($AC$21*$AC$18+$AC$22*$AC$19))*1000</f>
        <v>420.11014415775833</v>
      </c>
      <c r="D3" s="2">
        <f>-PMT(10%,2,$Y$3*1.085,,0)+$Y$3*($Y$8+0.06)+('energy duty'!D3*($AC$21*$AC$18+$AC$22*$AC$19))*1000</f>
        <v>414.00905402169985</v>
      </c>
      <c r="E3" s="2">
        <f>-PMT(10%,2,$Y$3*1.085,,0)+$Y$3*($Y$8+0.06)+('energy duty'!E3*($AC$21*$AC$18+$AC$22*$AC$19))*1000</f>
        <v>407.90796388564138</v>
      </c>
      <c r="F3" s="2">
        <f>-PMT(10%,2,$Y$3*1.085,,0)+$Y$3*($Y$8+0.06)+('energy duty'!F3*($AC$21*$AC$18+$AC$22*$AC$19))*1000</f>
        <v>398.67810957724566</v>
      </c>
      <c r="G3" s="2">
        <f>-PMT(10%,2,$Y$3*1.085,,0)+$Y$3*($Y$8+0.06)+('energy duty'!G3*($AC$21*$AC$18+$AC$22*$AC$19))*1000</f>
        <v>389.44825526884989</v>
      </c>
      <c r="H3" s="2">
        <f>-PMT(10%,2,$Y$3*1.085,,0)+$Y$3*($Y$8+0.06)+('energy duty'!H3*($AC$21*$AC$18+$AC$22*$AC$19))*1000</f>
        <v>374.74306365886298</v>
      </c>
      <c r="I3" s="2">
        <f>-PMT(10%,2,$Y$3*1.085,,0)+$Y$3*($Y$8+0.06)+('energy duty'!I3*($AC$21*$AC$18+$AC$22*$AC$19))*1000</f>
        <v>360.03787204887601</v>
      </c>
      <c r="J3" s="2">
        <f>-PMT(10%,2,$Y$3*1.085,,0)+$Y$3*($Y$8+0.06)+('energy duty'!J3*($AC$21*$AC$18+$AC$22*$AC$19))*1000</f>
        <v>364.4181418901486</v>
      </c>
      <c r="K3" s="2">
        <f>-PMT(10%,2,$Y$3*1.085,,0)+$Y$3*($Y$8+0.06)+('energy duty'!K3*($AC$21*$AC$18+$AC$22*$AC$19))*1000</f>
        <v>368.7984117314212</v>
      </c>
      <c r="L3" s="2">
        <f>-PMT(10%,2,$Y$3*1.085,,0)+$Y$3*($Y$8+0.06)+('energy duty'!L3*($AC$21*$AC$18+$AC$22*$AC$19))*1000</f>
        <v>360.82006309196044</v>
      </c>
      <c r="M3" s="2">
        <f>-PMT(10%,2,$Y$3*1.085,,0)+$Y$3*($Y$8+0.06)+('energy duty'!M3*($AC$21*$AC$18+$AC$22*$AC$19))*1000</f>
        <v>352.84171445249967</v>
      </c>
      <c r="N3" s="2">
        <f>-PMT(10%,2,$Y$3*1.085,,0)+$Y$3*($Y$8+0.06)+('energy duty'!N3*($AC$21*$AC$18+$AC$22*$AC$19))*1000</f>
        <v>354.09322012143468</v>
      </c>
      <c r="O3" s="2">
        <f>-PMT(10%,2,$Y$3*1.085,,0)+$Y$3*($Y$8+0.06)+('energy duty'!O3*($AC$21*$AC$18+$AC$22*$AC$19))*1000</f>
        <v>355.34472579036958</v>
      </c>
      <c r="P3" s="2">
        <f>-PMT(10%,2,$Y$3*1.085,,0)+$Y$3*($Y$8+0.06)+('energy duty'!P3*($AC$21*$AC$18+$AC$22*$AC$19))*1000</f>
        <v>352.215961618032</v>
      </c>
      <c r="Q3" s="2">
        <f>-PMT(10%,2,$Y$3*1.085,,0)+$Y$3*($Y$8+0.06)+('energy duty'!Q3*($AC$21*$AC$18+$AC$22*$AC$19))*1000</f>
        <v>349.08719744569441</v>
      </c>
      <c r="R3" s="2">
        <f>-PMT(10%,2,$Y$3*1.085,,0)+$Y$3*($Y$8+0.06)+('energy duty'!R3*($AC$21*$AC$18+$AC$22*$AC$19))*1000</f>
        <v>333.75178333813676</v>
      </c>
      <c r="X3" t="s">
        <v>2</v>
      </c>
      <c r="Y3" s="4">
        <f>(167993+186630+1933269+509072)/12000</f>
        <v>233.08033333333333</v>
      </c>
      <c r="Z3" t="s">
        <v>20</v>
      </c>
      <c r="AB3" t="s">
        <v>2</v>
      </c>
      <c r="AC3">
        <v>2</v>
      </c>
      <c r="AD3" t="s">
        <v>8</v>
      </c>
      <c r="AH3">
        <f>25000*(0.5/4000)^0.6</f>
        <v>113.78526268913004</v>
      </c>
    </row>
    <row r="4" spans="1:34" x14ac:dyDescent="0.25">
      <c r="A4">
        <v>0.1</v>
      </c>
      <c r="B4" s="2">
        <f>-PMT(10%,2,$Y$3*1.085,,0)+$Y$3*($Y$8+0.06)+('energy duty'!B4*($AC$21*$AC$18+$AC$22*$AC$19))*1000</f>
        <v>417.71961934132219</v>
      </c>
      <c r="C4" s="2">
        <f>-PMT(10%,2,$Y$3*1.085,,0)+$Y$3*($Y$8+0.06)+('energy duty'!C4*($AC$21*$AC$18+$AC$22*$AC$19))*1000</f>
        <v>418.85863848882343</v>
      </c>
      <c r="D4" s="2">
        <f>-PMT(10%,2,$Y$3*1.085,,0)+$Y$3*($Y$8+0.06)+('energy duty'!D4*($AC$21*$AC$18+$AC$22*$AC$19))*1000</f>
        <v>410.0198797019695</v>
      </c>
      <c r="E4" s="2">
        <f>-PMT(10%,2,$Y$3*1.085,,0)+$Y$3*($Y$8+0.06)+('energy duty'!E4*($AC$21*$AC$18+$AC$22*$AC$19))*1000</f>
        <v>401.18112091511557</v>
      </c>
      <c r="F4" s="2">
        <f>-PMT(10%,2,$Y$3*1.085,,0)+$Y$3*($Y$8+0.06)+('energy duty'!F4*($AC$21*$AC$18+$AC$22*$AC$19))*1000</f>
        <v>397.42660390831048</v>
      </c>
      <c r="G4" s="2">
        <f>-PMT(10%,2,$Y$3*1.085,,0)+$Y$3*($Y$8+0.06)+('energy duty'!G4*($AC$21*$AC$18+$AC$22*$AC$19))*1000</f>
        <v>393.67208690150539</v>
      </c>
      <c r="H4" s="2">
        <f>-PMT(10%,2,$Y$3*1.085,,0)+$Y$3*($Y$8+0.06)+('energy duty'!H4*($AC$21*$AC$18+$AC$22*$AC$19))*1000</f>
        <v>382.09565946385624</v>
      </c>
      <c r="I4" s="2">
        <f>-PMT(10%,2,$Y$3*1.085,,0)+$Y$3*($Y$8+0.06)+('energy duty'!I4*($AC$21*$AC$18+$AC$22*$AC$19))*1000</f>
        <v>370.51923202620708</v>
      </c>
      <c r="J4" s="2">
        <f>-PMT(10%,2,$Y$3*1.085,,0)+$Y$3*($Y$8+0.06)+('energy duty'!J4*($AC$21*$AC$18+$AC$22*$AC$19))*1000</f>
        <v>371.14498486067464</v>
      </c>
      <c r="K4" s="2">
        <f>-PMT(10%,2,$Y$3*1.085,,0)+$Y$3*($Y$8+0.06)+('energy duty'!K4*($AC$21*$AC$18+$AC$22*$AC$19))*1000</f>
        <v>371.77073769514209</v>
      </c>
      <c r="L4" s="2">
        <f>-PMT(10%,2,$Y$3*1.085,,0)+$Y$3*($Y$8+0.06)+('energy duty'!L4*($AC$21*$AC$18+$AC$22*$AC$19))*1000</f>
        <v>363.55773174275589</v>
      </c>
      <c r="M4" s="2">
        <f>-PMT(10%,2,$Y$3*1.085,,0)+$Y$3*($Y$8+0.06)+('energy duty'!M4*($AC$21*$AC$18+$AC$22*$AC$19))*1000</f>
        <v>355.34472579036958</v>
      </c>
      <c r="N4" s="2">
        <f>-PMT(10%,2,$Y$3*1.085,,0)+$Y$3*($Y$8+0.06)+('energy duty'!N4*($AC$21*$AC$18+$AC$22*$AC$19))*1000</f>
        <v>353.15459086973334</v>
      </c>
      <c r="O4" s="2">
        <f>-PMT(10%,2,$Y$3*1.085,,0)+$Y$3*($Y$8+0.06)+('energy duty'!O4*($AC$21*$AC$18+$AC$22*$AC$19))*1000</f>
        <v>350.96445594909704</v>
      </c>
      <c r="P4" s="2">
        <f>-PMT(10%,2,$Y$3*1.085,,0)+$Y$3*($Y$8+0.06)+('energy duty'!P4*($AC$21*$AC$18+$AC$22*$AC$19))*1000</f>
        <v>347.2881580466003</v>
      </c>
      <c r="Q4" s="2">
        <f>-PMT(10%,2,$Y$3*1.085,,0)+$Y$3*($Y$8+0.06)+('energy duty'!Q4*($AC$21*$AC$18+$AC$22*$AC$19))*1000</f>
        <v>343.61186014410356</v>
      </c>
      <c r="R4" s="2">
        <f>-PMT(10%,2,$Y$3*1.085,,0)+$Y$3*($Y$8+0.06)+('energy duty'!R4*($AC$21*$AC$18+$AC$22*$AC$19))*1000</f>
        <v>333.0284428592463</v>
      </c>
      <c r="X4" t="s">
        <v>1</v>
      </c>
      <c r="Y4">
        <v>4178</v>
      </c>
      <c r="Z4" t="s">
        <v>3</v>
      </c>
      <c r="AB4" t="s">
        <v>1</v>
      </c>
      <c r="AC4">
        <v>40</v>
      </c>
      <c r="AD4" t="s">
        <v>8</v>
      </c>
    </row>
    <row r="5" spans="1:34" x14ac:dyDescent="0.25">
      <c r="A5">
        <v>0.15</v>
      </c>
      <c r="B5" s="2">
        <f>-PMT(10%,2,$Y$3*1.085,,0)+$Y$3*($Y$8+0.06)+('energy duty'!B5*($AC$21*$AC$18+$AC$22*$AC$19))*1000</f>
        <v>419.5171688527152</v>
      </c>
      <c r="C5" s="2">
        <f>-PMT(10%,2,$Y$3*1.085,,0)+$Y$3*($Y$8+0.06)+('energy duty'!C5*($AC$21*$AC$18+$AC$22*$AC$19))*1000</f>
        <v>417.60713281988842</v>
      </c>
      <c r="D5" s="2">
        <f>-PMT(10%,2,$Y$3*1.085,,0)+$Y$3*($Y$8+0.06)+('energy duty'!D5*($AC$21*$AC$18+$AC$22*$AC$19))*1000</f>
        <v>406.03070538223909</v>
      </c>
      <c r="E5" s="2">
        <f>-PMT(10%,2,$Y$3*1.085,,0)+$Y$3*($Y$8+0.06)+('energy duty'!E5*($AC$21*$AC$18+$AC$22*$AC$19))*1000</f>
        <v>394.45427794458976</v>
      </c>
      <c r="F5" s="2">
        <f>-PMT(10%,2,$Y$3*1.085,,0)+$Y$3*($Y$8+0.06)+('energy duty'!F5*($AC$21*$AC$18+$AC$22*$AC$19))*1000</f>
        <v>396.1750982393753</v>
      </c>
      <c r="G5" s="2">
        <f>-PMT(10%,2,$Y$3*1.085,,0)+$Y$3*($Y$8+0.06)+('energy duty'!G5*($AC$21*$AC$18+$AC$22*$AC$19))*1000</f>
        <v>397.89591853416084</v>
      </c>
      <c r="H5" s="2">
        <f>-PMT(10%,2,$Y$3*1.085,,0)+$Y$3*($Y$8+0.06)+('energy duty'!H5*($AC$21*$AC$18+$AC$22*$AC$19))*1000</f>
        <v>389.44825526884949</v>
      </c>
      <c r="I5" s="2">
        <f>-PMT(10%,2,$Y$3*1.085,,0)+$Y$3*($Y$8+0.06)+('energy duty'!I5*($AC$21*$AC$18+$AC$22*$AC$19))*1000</f>
        <v>381.0005920035382</v>
      </c>
      <c r="J5" s="2">
        <f>-PMT(10%,2,$Y$3*1.085,,0)+$Y$3*($Y$8+0.06)+('energy duty'!J5*($AC$21*$AC$18+$AC$22*$AC$19))*1000</f>
        <v>377.87182783120056</v>
      </c>
      <c r="K5" s="2">
        <f>-PMT(10%,2,$Y$3*1.085,,0)+$Y$3*($Y$8+0.06)+('energy duty'!K5*($AC$21*$AC$18+$AC$22*$AC$19))*1000</f>
        <v>374.74306365886298</v>
      </c>
      <c r="L5" s="2">
        <f>-PMT(10%,2,$Y$3*1.085,,0)+$Y$3*($Y$8+0.06)+('energy duty'!L5*($AC$21*$AC$18+$AC$22*$AC$19))*1000</f>
        <v>366.29540039355129</v>
      </c>
      <c r="M5" s="2">
        <f>-PMT(10%,2,$Y$3*1.085,,0)+$Y$3*($Y$8+0.06)+('energy duty'!M5*($AC$21*$AC$18+$AC$22*$AC$19))*1000</f>
        <v>357.84773712823954</v>
      </c>
      <c r="N5" s="2">
        <f>-PMT(10%,2,$Y$3*1.085,,0)+$Y$3*($Y$8+0.06)+('energy duty'!N5*($AC$21*$AC$18+$AC$22*$AC$19))*1000</f>
        <v>352.215961618032</v>
      </c>
      <c r="O5" s="2">
        <f>-PMT(10%,2,$Y$3*1.085,,0)+$Y$3*($Y$8+0.06)+('energy duty'!O5*($AC$21*$AC$18+$AC$22*$AC$19))*1000</f>
        <v>346.58418610782451</v>
      </c>
      <c r="P5" s="2">
        <f>-PMT(10%,2,$Y$3*1.085,,0)+$Y$3*($Y$8+0.06)+('energy duty'!P5*($AC$21*$AC$18+$AC$22*$AC$19))*1000</f>
        <v>342.36035447516861</v>
      </c>
      <c r="Q5" s="2">
        <f>-PMT(10%,2,$Y$3*1.085,,0)+$Y$3*($Y$8+0.06)+('energy duty'!Q5*($AC$21*$AC$18+$AC$22*$AC$19))*1000</f>
        <v>338.1365228425127</v>
      </c>
      <c r="R5" s="2">
        <f>-PMT(10%,2,$Y$3*1.085,,0)+$Y$3*($Y$8+0.06)+('energy duty'!R5*($AC$21*$AC$18+$AC$22*$AC$19))*1000</f>
        <v>332.30510238035595</v>
      </c>
    </row>
    <row r="6" spans="1:34" x14ac:dyDescent="0.25">
      <c r="A6">
        <v>0.2</v>
      </c>
      <c r="B6" s="2">
        <f>-PMT(10%,2,$Y$3*1.085,,0)+$Y$3*($Y$8+0.06)+('energy duty'!B6*($AC$21*$AC$18+$AC$22*$AC$19))*1000</f>
        <v>422.13937120667424</v>
      </c>
      <c r="C6" s="2">
        <f>-PMT(10%,2,$Y$3*1.085,,0)+$Y$3*($Y$8+0.06)+('energy duty'!C6*($AC$21*$AC$18+$AC$22*$AC$19))*1000</f>
        <v>418.23288565435575</v>
      </c>
      <c r="D6" s="2">
        <f>-PMT(10%,2,$Y$3*1.085,,0)+$Y$3*($Y$8+0.06)+('energy duty'!D6*($AC$21*$AC$18+$AC$22*$AC$19))*1000</f>
        <v>408.76837403303432</v>
      </c>
      <c r="E6" s="2">
        <f>-PMT(10%,2,$Y$3*1.085,,0)+$Y$3*($Y$8+0.06)+('energy duty'!E6*($AC$21*$AC$18+$AC$22*$AC$19))*1000</f>
        <v>399.30386241171288</v>
      </c>
      <c r="F6" s="2">
        <f>-PMT(10%,2,$Y$3*1.085,,0)+$Y$3*($Y$8+0.06)+('energy duty'!F6*($AC$21*$AC$18+$AC$22*$AC$19))*1000</f>
        <v>399.53851972463815</v>
      </c>
      <c r="G6" s="2">
        <f>-PMT(10%,2,$Y$3*1.085,,0)+$Y$3*($Y$8+0.06)+('energy duty'!G6*($AC$21*$AC$18+$AC$22*$AC$19))*1000</f>
        <v>399.77317703756347</v>
      </c>
      <c r="H6" s="2">
        <f>-PMT(10%,2,$Y$3*1.085,,0)+$Y$3*($Y$8+0.06)+('energy duty'!H6*($AC$21*$AC$18+$AC$22*$AC$19))*1000</f>
        <v>391.24729466794361</v>
      </c>
      <c r="I6" s="2">
        <f>-PMT(10%,2,$Y$3*1.085,,0)+$Y$3*($Y$8+0.06)+('energy duty'!I6*($AC$21*$AC$18+$AC$22*$AC$19))*1000</f>
        <v>382.72141229832374</v>
      </c>
      <c r="J6" s="2">
        <f>-PMT(10%,2,$Y$3*1.085,,0)+$Y$3*($Y$8+0.06)+('energy duty'!J6*($AC$21*$AC$18+$AC$22*$AC$19))*1000</f>
        <v>373.88265351147004</v>
      </c>
      <c r="K6" s="2">
        <f>-PMT(10%,2,$Y$3*1.085,,0)+$Y$3*($Y$8+0.06)+('energy duty'!K6*($AC$21*$AC$18+$AC$22*$AC$19))*1000</f>
        <v>365.04389472461628</v>
      </c>
      <c r="L6" s="2">
        <f>-PMT(10%,2,$Y$3*1.085,,0)+$Y$3*($Y$8+0.06)+('energy duty'!L6*($AC$21*$AC$18+$AC$22*$AC$19))*1000</f>
        <v>359.25568100579164</v>
      </c>
      <c r="M6" s="2">
        <f>-PMT(10%,2,$Y$3*1.085,,0)+$Y$3*($Y$8+0.06)+('energy duty'!M6*($AC$21*$AC$18+$AC$22*$AC$19))*1000</f>
        <v>353.46746728696701</v>
      </c>
      <c r="N6" s="2">
        <f>-PMT(10%,2,$Y$3*1.085,,0)+$Y$3*($Y$8+0.06)+('energy duty'!N6*($AC$21*$AC$18+$AC$22*$AC$19))*1000</f>
        <v>350.33870311462937</v>
      </c>
      <c r="O6" s="2">
        <f>-PMT(10%,2,$Y$3*1.085,,0)+$Y$3*($Y$8+0.06)+('energy duty'!O6*($AC$21*$AC$18+$AC$22*$AC$19))*1000</f>
        <v>347.20993894229179</v>
      </c>
      <c r="P6" s="2">
        <f>-PMT(10%,2,$Y$3*1.085,,0)+$Y$3*($Y$8+0.06)+('energy duty'!P6*($AC$21*$AC$18+$AC$22*$AC$19))*1000</f>
        <v>342.36035447516844</v>
      </c>
      <c r="Q6" s="2">
        <f>-PMT(10%,2,$Y$3*1.085,,0)+$Y$3*($Y$8+0.06)+('energy duty'!Q6*($AC$21*$AC$18+$AC$22*$AC$19))*1000</f>
        <v>337.51077000804503</v>
      </c>
      <c r="R6" s="2">
        <f>-PMT(10%,2,$Y$3*1.085,,0)+$Y$3*($Y$8+0.06)+('energy duty'!R6*($AC$21*$AC$18+$AC$22*$AC$19))*1000</f>
        <v>328.34796064619934</v>
      </c>
      <c r="X6" t="s">
        <v>4</v>
      </c>
    </row>
    <row r="7" spans="1:34" x14ac:dyDescent="0.25">
      <c r="A7">
        <v>0.25</v>
      </c>
      <c r="B7" s="2">
        <f>-PMT(10%,2,$Y$3*1.085,,0)+$Y$3*($Y$8+0.06)+('energy duty'!B7*($AC$21*$AC$18+$AC$22*$AC$19))*1000</f>
        <v>424.76157356063334</v>
      </c>
      <c r="C7" s="2">
        <f>-PMT(10%,2,$Y$3*1.085,,0)+$Y$3*($Y$8+0.06)+('energy duty'!C7*($AC$21*$AC$18+$AC$22*$AC$19))*1000</f>
        <v>418.85863848882298</v>
      </c>
      <c r="D7" s="2">
        <f>-PMT(10%,2,$Y$3*1.085,,0)+$Y$3*($Y$8+0.06)+('energy duty'!D7*($AC$21*$AC$18+$AC$22*$AC$19))*1000</f>
        <v>411.50604268382949</v>
      </c>
      <c r="E7" s="2">
        <f>-PMT(10%,2,$Y$3*1.085,,0)+$Y$3*($Y$8+0.06)+('energy duty'!E7*($AC$21*$AC$18+$AC$22*$AC$19))*1000</f>
        <v>404.15344687883601</v>
      </c>
      <c r="F7" s="2">
        <f>-PMT(10%,2,$Y$3*1.085,,0)+$Y$3*($Y$8+0.06)+('energy duty'!F7*($AC$21*$AC$18+$AC$22*$AC$19))*1000</f>
        <v>402.90194120990111</v>
      </c>
      <c r="G7" s="2">
        <f>-PMT(10%,2,$Y$3*1.085,,0)+$Y$3*($Y$8+0.06)+('energy duty'!G7*($AC$21*$AC$18+$AC$22*$AC$19))*1000</f>
        <v>401.6504355409661</v>
      </c>
      <c r="H7" s="2">
        <f>-PMT(10%,2,$Y$3*1.085,,0)+$Y$3*($Y$8+0.06)+('energy duty'!H7*($AC$21*$AC$18+$AC$22*$AC$19))*1000</f>
        <v>393.04633406703772</v>
      </c>
      <c r="I7" s="2">
        <f>-PMT(10%,2,$Y$3*1.085,,0)+$Y$3*($Y$8+0.06)+('energy duty'!I7*($AC$21*$AC$18+$AC$22*$AC$19))*1000</f>
        <v>384.44223259310922</v>
      </c>
      <c r="J7" s="2">
        <f>-PMT(10%,2,$Y$3*1.085,,0)+$Y$3*($Y$8+0.06)+('energy duty'!J7*($AC$21*$AC$18+$AC$22*$AC$19))*1000</f>
        <v>369.8934791917394</v>
      </c>
      <c r="K7" s="2">
        <f>-PMT(10%,2,$Y$3*1.085,,0)+$Y$3*($Y$8+0.06)+('energy duty'!K7*($AC$21*$AC$18+$AC$22*$AC$19))*1000</f>
        <v>355.34472579036958</v>
      </c>
      <c r="L7" s="2">
        <f>-PMT(10%,2,$Y$3*1.085,,0)+$Y$3*($Y$8+0.06)+('energy duty'!L7*($AC$21*$AC$18+$AC$22*$AC$19))*1000</f>
        <v>352.215961618032</v>
      </c>
      <c r="M7" s="2">
        <f>-PMT(10%,2,$Y$3*1.085,,0)+$Y$3*($Y$8+0.06)+('energy duty'!M7*($AC$21*$AC$18+$AC$22*$AC$19))*1000</f>
        <v>349.08719744569441</v>
      </c>
      <c r="N7" s="2">
        <f>-PMT(10%,2,$Y$3*1.085,,0)+$Y$3*($Y$8+0.06)+('energy duty'!N7*($AC$21*$AC$18+$AC$22*$AC$19))*1000</f>
        <v>348.46144461122674</v>
      </c>
      <c r="O7" s="2">
        <f>-PMT(10%,2,$Y$3*1.085,,0)+$Y$3*($Y$8+0.06)+('energy duty'!O7*($AC$21*$AC$18+$AC$22*$AC$19))*1000</f>
        <v>347.83569177675906</v>
      </c>
      <c r="P7" s="2">
        <f>-PMT(10%,2,$Y$3*1.085,,0)+$Y$3*($Y$8+0.06)+('energy duty'!P7*($AC$21*$AC$18+$AC$22*$AC$19))*1000</f>
        <v>342.36035447516826</v>
      </c>
      <c r="Q7" s="2">
        <f>-PMT(10%,2,$Y$3*1.085,,0)+$Y$3*($Y$8+0.06)+('energy duty'!Q7*($AC$21*$AC$18+$AC$22*$AC$19))*1000</f>
        <v>336.88501717357735</v>
      </c>
      <c r="R7" s="2">
        <f>-PMT(10%,2,$Y$3*1.085,,0)+$Y$3*($Y$8+0.06)+('energy duty'!R7*($AC$21*$AC$18+$AC$22*$AC$19))*1000</f>
        <v>324.39081891204273</v>
      </c>
      <c r="X7" t="s">
        <v>5</v>
      </c>
    </row>
    <row r="8" spans="1:34" x14ac:dyDescent="0.25">
      <c r="A8">
        <v>0.3</v>
      </c>
      <c r="B8" s="2">
        <f>-PMT(10%,2,$Y$3*1.085,,0)+$Y$3*($Y$8+0.06)+('energy duty'!B8*($AC$21*$AC$18+$AC$22*$AC$19))*1000</f>
        <v>426.58743093834778</v>
      </c>
      <c r="C8" s="2">
        <f>-PMT(10%,2,$Y$3*1.085,,0)+$Y$3*($Y$8+0.06)+('energy duty'!C8*($AC$21*$AC$18+$AC$22*$AC$19))*1000</f>
        <v>420.57945878360897</v>
      </c>
      <c r="D8" s="2">
        <f>-PMT(10%,2,$Y$3*1.085,,0)+$Y$3*($Y$8+0.06)+('energy duty'!D8*($AC$21*$AC$18+$AC$22*$AC$19))*1000</f>
        <v>414.16549223031677</v>
      </c>
      <c r="E8" s="2">
        <f>-PMT(10%,2,$Y$3*1.085,,0)+$Y$3*($Y$8+0.06)+('energy duty'!E8*($AC$21*$AC$18+$AC$22*$AC$19))*1000</f>
        <v>407.75152567702463</v>
      </c>
      <c r="F8" s="2">
        <f>-PMT(10%,2,$Y$3*1.085,,0)+$Y$3*($Y$8+0.06)+('energy duty'!F8*($AC$21*$AC$18+$AC$22*$AC$19))*1000</f>
        <v>403.21481762713518</v>
      </c>
      <c r="G8" s="2">
        <f>-PMT(10%,2,$Y$3*1.085,,0)+$Y$3*($Y$8+0.06)+('energy duty'!G8*($AC$21*$AC$18+$AC$22*$AC$19))*1000</f>
        <v>398.67810957724566</v>
      </c>
      <c r="H8" s="2">
        <f>-PMT(10%,2,$Y$3*1.085,,0)+$Y$3*($Y$8+0.06)+('energy duty'!H8*($AC$21*$AC$18+$AC$22*$AC$19))*1000</f>
        <v>391.32551377225218</v>
      </c>
      <c r="I8" s="2">
        <f>-PMT(10%,2,$Y$3*1.085,,0)+$Y$3*($Y$8+0.06)+('energy duty'!I8*($AC$21*$AC$18+$AC$22*$AC$19))*1000</f>
        <v>383.9729179672587</v>
      </c>
      <c r="J8" s="2">
        <f>-PMT(10%,2,$Y$3*1.085,,0)+$Y$3*($Y$8+0.06)+('energy duty'!J8*($AC$21*$AC$18+$AC$22*$AC$19))*1000</f>
        <v>374.50840634593749</v>
      </c>
      <c r="K8" s="2">
        <f>-PMT(10%,2,$Y$3*1.085,,0)+$Y$3*($Y$8+0.06)+('energy duty'!K8*($AC$21*$AC$18+$AC$22*$AC$19))*1000</f>
        <v>365.04389472461628</v>
      </c>
      <c r="L8" s="2">
        <f>-PMT(10%,2,$Y$3*1.085,,0)+$Y$3*($Y$8+0.06)+('energy duty'!L8*($AC$21*$AC$18+$AC$22*$AC$19))*1000</f>
        <v>358.62992817132414</v>
      </c>
      <c r="M8" s="2">
        <f>-PMT(10%,2,$Y$3*1.085,,0)+$Y$3*($Y$8+0.06)+('energy duty'!M8*($AC$21*$AC$18+$AC$22*$AC$19))*1000</f>
        <v>352.215961618032</v>
      </c>
      <c r="N8" s="2">
        <f>-PMT(10%,2,$Y$3*1.085,,0)+$Y$3*($Y$8+0.06)+('energy duty'!N8*($AC$21*$AC$18+$AC$22*$AC$19))*1000</f>
        <v>349.16541655000276</v>
      </c>
      <c r="O8" s="2">
        <f>-PMT(10%,2,$Y$3*1.085,,0)+$Y$3*($Y$8+0.06)+('energy duty'!O8*($AC$21*$AC$18+$AC$22*$AC$19))*1000</f>
        <v>346.11487148197352</v>
      </c>
      <c r="P8" s="2">
        <f>-PMT(10%,2,$Y$3*1.085,,0)+$Y$3*($Y$8+0.06)+('energy duty'!P8*($AC$21*$AC$18+$AC$22*$AC$19))*1000</f>
        <v>342.12569716224294</v>
      </c>
      <c r="Q8" s="2">
        <f>-PMT(10%,2,$Y$3*1.085,,0)+$Y$3*($Y$8+0.06)+('energy duty'!Q8*($AC$21*$AC$18+$AC$22*$AC$19))*1000</f>
        <v>338.13652284251236</v>
      </c>
      <c r="R8" s="2">
        <f>-PMT(10%,2,$Y$3*1.085,,0)+$Y$3*($Y$8+0.06)+('energy duty'!R8*($AC$21*$AC$18+$AC$22*$AC$19))*1000</f>
        <v>326.16304033251674</v>
      </c>
      <c r="X8" t="s">
        <v>6</v>
      </c>
      <c r="Y8" s="1">
        <v>3.6999999999999998E-2</v>
      </c>
    </row>
    <row r="9" spans="1:34" x14ac:dyDescent="0.25">
      <c r="A9">
        <v>0.35</v>
      </c>
      <c r="B9" s="2">
        <f>-PMT(10%,2,$Y$3*1.085,,0)+$Y$3*($Y$8+0.06)+('energy duty'!B9*($AC$21*$AC$18+$AC$22*$AC$19))*1000</f>
        <v>428.41328831606222</v>
      </c>
      <c r="C9" s="2">
        <f>-PMT(10%,2,$Y$3*1.085,,0)+$Y$3*($Y$8+0.06)+('energy duty'!C9*($AC$21*$AC$18+$AC$22*$AC$19))*1000</f>
        <v>422.30027907839485</v>
      </c>
      <c r="D9" s="2">
        <f>-PMT(10%,2,$Y$3*1.085,,0)+$Y$3*($Y$8+0.06)+('energy duty'!D9*($AC$21*$AC$18+$AC$22*$AC$19))*1000</f>
        <v>416.82494177680405</v>
      </c>
      <c r="E9" s="2">
        <f>-PMT(10%,2,$Y$3*1.085,,0)+$Y$3*($Y$8+0.06)+('energy duty'!E9*($AC$21*$AC$18+$AC$22*$AC$19))*1000</f>
        <v>411.3496044752132</v>
      </c>
      <c r="F9" s="2">
        <f>-PMT(10%,2,$Y$3*1.085,,0)+$Y$3*($Y$8+0.06)+('energy duty'!F9*($AC$21*$AC$18+$AC$22*$AC$19))*1000</f>
        <v>403.52769404436918</v>
      </c>
      <c r="G9" s="2">
        <f>-PMT(10%,2,$Y$3*1.085,,0)+$Y$3*($Y$8+0.06)+('energy duty'!G9*($AC$21*$AC$18+$AC$22*$AC$19))*1000</f>
        <v>395.70578361352511</v>
      </c>
      <c r="H9" s="2">
        <f>-PMT(10%,2,$Y$3*1.085,,0)+$Y$3*($Y$8+0.06)+('energy duty'!H9*($AC$21*$AC$18+$AC$22*$AC$19))*1000</f>
        <v>389.60469347746664</v>
      </c>
      <c r="I9" s="2">
        <f>-PMT(10%,2,$Y$3*1.085,,0)+$Y$3*($Y$8+0.06)+('energy duty'!I9*($AC$21*$AC$18+$AC$22*$AC$19))*1000</f>
        <v>383.50360334140817</v>
      </c>
      <c r="J9" s="2">
        <f>-PMT(10%,2,$Y$3*1.085,,0)+$Y$3*($Y$8+0.06)+('energy duty'!J9*($AC$21*$AC$18+$AC$22*$AC$19))*1000</f>
        <v>379.12333350013557</v>
      </c>
      <c r="K9" s="2">
        <f>-PMT(10%,2,$Y$3*1.085,,0)+$Y$3*($Y$8+0.06)+('energy duty'!K9*($AC$21*$AC$18+$AC$22*$AC$19))*1000</f>
        <v>374.74306365886298</v>
      </c>
      <c r="L9" s="2">
        <f>-PMT(10%,2,$Y$3*1.085,,0)+$Y$3*($Y$8+0.06)+('energy duty'!L9*($AC$21*$AC$18+$AC$22*$AC$19))*1000</f>
        <v>365.04389472461628</v>
      </c>
      <c r="M9" s="2">
        <f>-PMT(10%,2,$Y$3*1.085,,0)+$Y$3*($Y$8+0.06)+('energy duty'!M9*($AC$21*$AC$18+$AC$22*$AC$19))*1000</f>
        <v>355.34472579036958</v>
      </c>
      <c r="N9" s="2">
        <f>-PMT(10%,2,$Y$3*1.085,,0)+$Y$3*($Y$8+0.06)+('energy duty'!N9*($AC$21*$AC$18+$AC$22*$AC$19))*1000</f>
        <v>349.86938848877878</v>
      </c>
      <c r="O9" s="2">
        <f>-PMT(10%,2,$Y$3*1.085,,0)+$Y$3*($Y$8+0.06)+('energy duty'!O9*($AC$21*$AC$18+$AC$22*$AC$19))*1000</f>
        <v>344.39405118718798</v>
      </c>
      <c r="P9" s="2">
        <f>-PMT(10%,2,$Y$3*1.085,,0)+$Y$3*($Y$8+0.06)+('energy duty'!P9*($AC$21*$AC$18+$AC$22*$AC$19))*1000</f>
        <v>341.89103984931762</v>
      </c>
      <c r="Q9" s="2">
        <f>-PMT(10%,2,$Y$3*1.085,,0)+$Y$3*($Y$8+0.06)+('energy duty'!Q9*($AC$21*$AC$18+$AC$22*$AC$19))*1000</f>
        <v>339.38802851144732</v>
      </c>
      <c r="R9" s="2">
        <f>-PMT(10%,2,$Y$3*1.085,,0)+$Y$3*($Y$8+0.06)+('energy duty'!R9*($AC$21*$AC$18+$AC$22*$AC$19))*1000</f>
        <v>327.93526175299075</v>
      </c>
      <c r="X9" t="s">
        <v>1</v>
      </c>
      <c r="Y9" s="1">
        <v>0.02</v>
      </c>
    </row>
    <row r="10" spans="1:34" x14ac:dyDescent="0.25">
      <c r="A10">
        <v>0.4</v>
      </c>
      <c r="B10" s="2">
        <f>-PMT(10%,2,$Y$3*1.085,,0)+$Y$3*($Y$8+0.06)+('energy duty'!B10*($AC$21*$AC$18+$AC$22*$AC$19))*1000</f>
        <v>433.78805819782758</v>
      </c>
      <c r="C10" s="2">
        <f>-PMT(10%,2,$Y$3*1.085,,0)+$Y$3*($Y$8+0.06)+('energy duty'!C10*($AC$21*$AC$18+$AC$22*$AC$19))*1000</f>
        <v>429.65287488338788</v>
      </c>
      <c r="D10" s="2">
        <f>-PMT(10%,2,$Y$3*1.085,,0)+$Y$3*($Y$8+0.06)+('energy duty'!D10*($AC$21*$AC$18+$AC$22*$AC$19))*1000</f>
        <v>422.37849818270297</v>
      </c>
      <c r="E10" s="2">
        <f>-PMT(10%,2,$Y$3*1.085,,0)+$Y$3*($Y$8+0.06)+('energy duty'!E10*($AC$21*$AC$18+$AC$22*$AC$19))*1000</f>
        <v>415.10412148201806</v>
      </c>
      <c r="F10" s="2">
        <f>-PMT(10%,2,$Y$3*1.085,,0)+$Y$3*($Y$8+0.06)+('energy duty'!F10*($AC$21*$AC$18+$AC$22*$AC$19))*1000</f>
        <v>407.2039919468657</v>
      </c>
      <c r="G10" s="2">
        <f>-PMT(10%,2,$Y$3*1.085,,0)+$Y$3*($Y$8+0.06)+('energy duty'!G10*($AC$21*$AC$18+$AC$22*$AC$19))*1000</f>
        <v>399.30386241171328</v>
      </c>
      <c r="H10" s="2">
        <f>-PMT(10%,2,$Y$3*1.085,,0)+$Y$3*($Y$8+0.06)+('energy duty'!H10*($AC$21*$AC$18+$AC$22*$AC$19))*1000</f>
        <v>393.51564869288865</v>
      </c>
      <c r="I10" s="2">
        <f>-PMT(10%,2,$Y$3*1.085,,0)+$Y$3*($Y$8+0.06)+('energy duty'!I10*($AC$21*$AC$18+$AC$22*$AC$19))*1000</f>
        <v>387.72743497406395</v>
      </c>
      <c r="J10" s="2">
        <f>-PMT(10%,2,$Y$3*1.085,,0)+$Y$3*($Y$8+0.06)+('energy duty'!J10*($AC$21*$AC$18+$AC$22*$AC$19))*1000</f>
        <v>378.81045708290173</v>
      </c>
      <c r="K10" s="2">
        <f>-PMT(10%,2,$Y$3*1.085,,0)+$Y$3*($Y$8+0.06)+('energy duty'!K10*($AC$21*$AC$18+$AC$22*$AC$19))*1000</f>
        <v>369.8934791917394</v>
      </c>
      <c r="L10" s="2">
        <f>-PMT(10%,2,$Y$3*1.085,,0)+$Y$3*($Y$8+0.06)+('energy duty'!L10*($AC$21*$AC$18+$AC$22*$AC$19))*1000</f>
        <v>362.30622607382065</v>
      </c>
      <c r="M10" s="2">
        <f>-PMT(10%,2,$Y$3*1.085,,0)+$Y$3*($Y$8+0.06)+('energy duty'!M10*($AC$21*$AC$18+$AC$22*$AC$19))*1000</f>
        <v>354.7189729559019</v>
      </c>
      <c r="N10" s="2">
        <f>-PMT(10%,2,$Y$3*1.085,,0)+$Y$3*($Y$8+0.06)+('energy duty'!N10*($AC$21*$AC$18+$AC$22*$AC$19))*1000</f>
        <v>350.72979863617155</v>
      </c>
      <c r="O10" s="2">
        <f>-PMT(10%,2,$Y$3*1.085,,0)+$Y$3*($Y$8+0.06)+('energy duty'!O10*($AC$21*$AC$18+$AC$22*$AC$19))*1000</f>
        <v>346.7406243164412</v>
      </c>
      <c r="P10" s="2">
        <f>-PMT(10%,2,$Y$3*1.085,,0)+$Y$3*($Y$8+0.06)+('energy duty'!P10*($AC$21*$AC$18+$AC$22*$AC$19))*1000</f>
        <v>343.69007924841196</v>
      </c>
      <c r="Q10" s="2">
        <f>-PMT(10%,2,$Y$3*1.085,,0)+$Y$3*($Y$8+0.06)+('energy duty'!Q10*($AC$21*$AC$18+$AC$22*$AC$19))*1000</f>
        <v>340.63953418038267</v>
      </c>
      <c r="R10" s="2">
        <f>-PMT(10%,2,$Y$3*1.085,,0)+$Y$3*($Y$8+0.06)+('energy duty'!R10*($AC$21*$AC$18+$AC$22*$AC$19))*1000</f>
        <v>326.53402237009391</v>
      </c>
    </row>
    <row r="11" spans="1:34" x14ac:dyDescent="0.25">
      <c r="A11">
        <v>0.45</v>
      </c>
      <c r="B11" s="2">
        <f>-PMT(10%,2,$Y$3*1.085,,0)+$Y$3*($Y$8+0.06)+('energy duty'!B11*($AC$21*$AC$18+$AC$22*$AC$19))*1000</f>
        <v>439.16282807959294</v>
      </c>
      <c r="C11" s="2">
        <f>-PMT(10%,2,$Y$3*1.085,,0)+$Y$3*($Y$8+0.06)+('energy duty'!C11*($AC$21*$AC$18+$AC$22*$AC$19))*1000</f>
        <v>437.00547068838091</v>
      </c>
      <c r="D11" s="2">
        <f>-PMT(10%,2,$Y$3*1.085,,0)+$Y$3*($Y$8+0.06)+('energy duty'!D11*($AC$21*$AC$18+$AC$22*$AC$19))*1000</f>
        <v>427.93205458860189</v>
      </c>
      <c r="E11" s="2">
        <f>-PMT(10%,2,$Y$3*1.085,,0)+$Y$3*($Y$8+0.06)+('energy duty'!E11*($AC$21*$AC$18+$AC$22*$AC$19))*1000</f>
        <v>418.85863848882298</v>
      </c>
      <c r="F11" s="2">
        <f>-PMT(10%,2,$Y$3*1.085,,0)+$Y$3*($Y$8+0.06)+('energy duty'!F11*($AC$21*$AC$18+$AC$22*$AC$19))*1000</f>
        <v>410.88028984936227</v>
      </c>
      <c r="G11" s="2">
        <f>-PMT(10%,2,$Y$3*1.085,,0)+$Y$3*($Y$8+0.06)+('energy duty'!G11*($AC$21*$AC$18+$AC$22*$AC$19))*1000</f>
        <v>402.90194120990145</v>
      </c>
      <c r="H11" s="2">
        <f>-PMT(10%,2,$Y$3*1.085,,0)+$Y$3*($Y$8+0.06)+('energy duty'!H11*($AC$21*$AC$18+$AC$22*$AC$19))*1000</f>
        <v>397.42660390831065</v>
      </c>
      <c r="I11" s="2">
        <f>-PMT(10%,2,$Y$3*1.085,,0)+$Y$3*($Y$8+0.06)+('energy duty'!I11*($AC$21*$AC$18+$AC$22*$AC$19))*1000</f>
        <v>391.95126660671986</v>
      </c>
      <c r="J11" s="2">
        <f>-PMT(10%,2,$Y$3*1.085,,0)+$Y$3*($Y$8+0.06)+('energy duty'!J11*($AC$21*$AC$18+$AC$22*$AC$19))*1000</f>
        <v>378.4975806656679</v>
      </c>
      <c r="K11" s="2">
        <f>-PMT(10%,2,$Y$3*1.085,,0)+$Y$3*($Y$8+0.06)+('energy duty'!K11*($AC$21*$AC$18+$AC$22*$AC$19))*1000</f>
        <v>365.04389472461588</v>
      </c>
      <c r="L11" s="2">
        <f>-PMT(10%,2,$Y$3*1.085,,0)+$Y$3*($Y$8+0.06)+('energy duty'!L11*($AC$21*$AC$18+$AC$22*$AC$19))*1000</f>
        <v>359.56855742302508</v>
      </c>
      <c r="M11" s="2">
        <f>-PMT(10%,2,$Y$3*1.085,,0)+$Y$3*($Y$8+0.06)+('energy duty'!M11*($AC$21*$AC$18+$AC$22*$AC$19))*1000</f>
        <v>354.09322012143429</v>
      </c>
      <c r="N11" s="2">
        <f>-PMT(10%,2,$Y$3*1.085,,0)+$Y$3*($Y$8+0.06)+('energy duty'!N11*($AC$21*$AC$18+$AC$22*$AC$19))*1000</f>
        <v>351.59020878356432</v>
      </c>
      <c r="O11" s="2">
        <f>-PMT(10%,2,$Y$3*1.085,,0)+$Y$3*($Y$8+0.06)+('energy duty'!O11*($AC$21*$AC$18+$AC$22*$AC$19))*1000</f>
        <v>349.08719744569441</v>
      </c>
      <c r="P11" s="2">
        <f>-PMT(10%,2,$Y$3*1.085,,0)+$Y$3*($Y$8+0.06)+('energy duty'!P11*($AC$21*$AC$18+$AC$22*$AC$19))*1000</f>
        <v>345.48911864750619</v>
      </c>
      <c r="Q11" s="2">
        <f>-PMT(10%,2,$Y$3*1.085,,0)+$Y$3*($Y$8+0.06)+('energy duty'!Q11*($AC$21*$AC$18+$AC$22*$AC$19))*1000</f>
        <v>341.89103984931808</v>
      </c>
      <c r="R11" s="2">
        <f>-PMT(10%,2,$Y$3*1.085,,0)+$Y$3*($Y$8+0.06)+('energy duty'!R11*($AC$21*$AC$18+$AC$22*$AC$19))*1000</f>
        <v>325.13278298719729</v>
      </c>
      <c r="AB11" t="s">
        <v>9</v>
      </c>
    </row>
    <row r="12" spans="1:34" x14ac:dyDescent="0.25">
      <c r="A12">
        <v>0.5</v>
      </c>
      <c r="B12" s="2">
        <f>-PMT(10%,2,$Y$3*1.085,,0)+$Y$3*($Y$8+0.06)+('energy duty'!B12*($AC$21*$AC$18+$AC$22*$AC$19))*1000</f>
        <v>437.95080443473751</v>
      </c>
      <c r="C12" s="2">
        <f>-PMT(10%,2,$Y$3*1.085,,0)+$Y$3*($Y$8+0.06)+('energy duty'!C12*($AC$21*$AC$18+$AC$22*$AC$19))*1000</f>
        <v>431.53013338679023</v>
      </c>
      <c r="D12" s="2">
        <f>-PMT(10%,2,$Y$3*1.085,,0)+$Y$3*($Y$8+0.06)+('energy duty'!D12*($AC$21*$AC$18+$AC$22*$AC$19))*1000</f>
        <v>424.88150952057288</v>
      </c>
      <c r="E12" s="2">
        <f>-PMT(10%,2,$Y$3*1.085,,0)+$Y$3*($Y$8+0.06)+('energy duty'!E12*($AC$21*$AC$18+$AC$22*$AC$19))*1000</f>
        <v>418.23288565435575</v>
      </c>
      <c r="F12" s="2">
        <f>-PMT(10%,2,$Y$3*1.085,,0)+$Y$3*($Y$8+0.06)+('energy duty'!F12*($AC$21*$AC$18+$AC$22*$AC$19))*1000</f>
        <v>411.19316626659611</v>
      </c>
      <c r="G12" s="2">
        <f>-PMT(10%,2,$Y$3*1.085,,0)+$Y$3*($Y$8+0.06)+('energy duty'!G12*($AC$21*$AC$18+$AC$22*$AC$19))*1000</f>
        <v>404.15344687883646</v>
      </c>
      <c r="H12" s="2">
        <f>-PMT(10%,2,$Y$3*1.085,,0)+$Y$3*($Y$8+0.06)+('energy duty'!H12*($AC$21*$AC$18+$AC$22*$AC$19))*1000</f>
        <v>398.05235674277822</v>
      </c>
      <c r="I12" s="2">
        <f>-PMT(10%,2,$Y$3*1.085,,0)+$Y$3*($Y$8+0.06)+('energy duty'!I12*($AC$21*$AC$18+$AC$22*$AC$19))*1000</f>
        <v>391.95126660671986</v>
      </c>
      <c r="J12" s="2">
        <f>-PMT(10%,2,$Y$3*1.085,,0)+$Y$3*($Y$8+0.06)+('energy duty'!J12*($AC$21*$AC$18+$AC$22*$AC$19))*1000</f>
        <v>381.2352493164633</v>
      </c>
      <c r="K12" s="2">
        <f>-PMT(10%,2,$Y$3*1.085,,0)+$Y$3*($Y$8+0.06)+('energy duty'!K12*($AC$21*$AC$18+$AC$22*$AC$19))*1000</f>
        <v>370.51923202620674</v>
      </c>
      <c r="L12" s="2">
        <f>-PMT(10%,2,$Y$3*1.085,,0)+$Y$3*($Y$8+0.06)+('energy duty'!L12*($AC$21*$AC$18+$AC$22*$AC$19))*1000</f>
        <v>364.73101830738227</v>
      </c>
      <c r="M12" s="2">
        <f>-PMT(10%,2,$Y$3*1.085,,0)+$Y$3*($Y$8+0.06)+('energy duty'!M12*($AC$21*$AC$18+$AC$22*$AC$19))*1000</f>
        <v>358.94280458855781</v>
      </c>
      <c r="N12" s="2">
        <f>-PMT(10%,2,$Y$3*1.085,,0)+$Y$3*($Y$8+0.06)+('energy duty'!N12*($AC$21*$AC$18+$AC$22*$AC$19))*1000</f>
        <v>352.215961618032</v>
      </c>
      <c r="O12" s="2">
        <f>-PMT(10%,2,$Y$3*1.085,,0)+$Y$3*($Y$8+0.06)+('energy duty'!O12*($AC$21*$AC$18+$AC$22*$AC$19))*1000</f>
        <v>345.48911864750619</v>
      </c>
      <c r="P12" s="2">
        <f>-PMT(10%,2,$Y$3*1.085,,0)+$Y$3*($Y$8+0.06)+('energy duty'!P12*($AC$21*$AC$18+$AC$22*$AC$19))*1000</f>
        <v>343.69007924841213</v>
      </c>
      <c r="Q12" s="2">
        <f>-PMT(10%,2,$Y$3*1.085,,0)+$Y$3*($Y$8+0.06)+('energy duty'!Q12*($AC$21*$AC$18+$AC$22*$AC$19))*1000</f>
        <v>341.89103984931808</v>
      </c>
      <c r="R12" s="2">
        <f>-PMT(10%,2,$Y$3*1.085,,0)+$Y$3*($Y$8+0.06)+('energy duty'!R12*($AC$21*$AC$18+$AC$22*$AC$19))*1000</f>
        <v>327.21043138639959</v>
      </c>
      <c r="X12" t="s">
        <v>12</v>
      </c>
      <c r="Y12">
        <v>30.8</v>
      </c>
      <c r="Z12" t="s">
        <v>13</v>
      </c>
      <c r="AC12">
        <f>(-PMT(10%,AC4,Y4,,0)+Y9*Y4)</f>
        <v>510.79983342323573</v>
      </c>
    </row>
    <row r="13" spans="1:34" x14ac:dyDescent="0.25">
      <c r="A13">
        <v>0.55000000000000004</v>
      </c>
      <c r="B13" s="2">
        <f>-PMT(10%,2,$Y$3*1.085,,0)+$Y$3*($Y$8+0.06)+('energy duty'!B13*($AC$21*$AC$18+$AC$22*$AC$19))*1000</f>
        <v>436.73878078988207</v>
      </c>
      <c r="C13" s="2">
        <f>-PMT(10%,2,$Y$3*1.085,,0)+$Y$3*($Y$8+0.06)+('energy duty'!C13*($AC$21*$AC$18+$AC$22*$AC$19))*1000</f>
        <v>426.05479608519931</v>
      </c>
      <c r="D13" s="2">
        <f>-PMT(10%,2,$Y$3*1.085,,0)+$Y$3*($Y$8+0.06)+('energy duty'!D13*($AC$21*$AC$18+$AC$22*$AC$19))*1000</f>
        <v>421.83096445254387</v>
      </c>
      <c r="E13" s="2">
        <f>-PMT(10%,2,$Y$3*1.085,,0)+$Y$3*($Y$8+0.06)+('energy duty'!E13*($AC$21*$AC$18+$AC$22*$AC$19))*1000</f>
        <v>417.60713281988842</v>
      </c>
      <c r="F13" s="2">
        <f>-PMT(10%,2,$Y$3*1.085,,0)+$Y$3*($Y$8+0.06)+('energy duty'!F13*($AC$21*$AC$18+$AC$22*$AC$19))*1000</f>
        <v>411.50604268382995</v>
      </c>
      <c r="G13" s="2">
        <f>-PMT(10%,2,$Y$3*1.085,,0)+$Y$3*($Y$8+0.06)+('energy duty'!G13*($AC$21*$AC$18+$AC$22*$AC$19))*1000</f>
        <v>405.40495254777147</v>
      </c>
      <c r="H13" s="2">
        <f>-PMT(10%,2,$Y$3*1.085,,0)+$Y$3*($Y$8+0.06)+('energy duty'!H13*($AC$21*$AC$18+$AC$22*$AC$19))*1000</f>
        <v>398.67810957724566</v>
      </c>
      <c r="I13" s="2">
        <f>-PMT(10%,2,$Y$3*1.085,,0)+$Y$3*($Y$8+0.06)+('energy duty'!I13*($AC$21*$AC$18+$AC$22*$AC$19))*1000</f>
        <v>391.95126660671986</v>
      </c>
      <c r="J13" s="2">
        <f>-PMT(10%,2,$Y$3*1.085,,0)+$Y$3*($Y$8+0.06)+('energy duty'!J13*($AC$21*$AC$18+$AC$22*$AC$19))*1000</f>
        <v>383.9729179672587</v>
      </c>
      <c r="K13" s="2">
        <f>-PMT(10%,2,$Y$3*1.085,,0)+$Y$3*($Y$8+0.06)+('energy duty'!K13*($AC$21*$AC$18+$AC$22*$AC$19))*1000</f>
        <v>375.99456932779754</v>
      </c>
      <c r="L13" s="2">
        <f>-PMT(10%,2,$Y$3*1.085,,0)+$Y$3*($Y$8+0.06)+('energy duty'!L13*($AC$21*$AC$18+$AC$22*$AC$19))*1000</f>
        <v>369.8934791917394</v>
      </c>
      <c r="M13" s="2">
        <f>-PMT(10%,2,$Y$3*1.085,,0)+$Y$3*($Y$8+0.06)+('energy duty'!M13*($AC$21*$AC$18+$AC$22*$AC$19))*1000</f>
        <v>363.79238905568133</v>
      </c>
      <c r="N13" s="2">
        <f>-PMT(10%,2,$Y$3*1.085,,0)+$Y$3*($Y$8+0.06)+('energy duty'!N13*($AC$21*$AC$18+$AC$22*$AC$19))*1000</f>
        <v>352.84171445249967</v>
      </c>
      <c r="O13" s="2">
        <f>-PMT(10%,2,$Y$3*1.085,,0)+$Y$3*($Y$8+0.06)+('energy duty'!O13*($AC$21*$AC$18+$AC$22*$AC$19))*1000</f>
        <v>341.89103984931808</v>
      </c>
      <c r="P13" s="2">
        <f>-PMT(10%,2,$Y$3*1.085,,0)+$Y$3*($Y$8+0.06)+('energy duty'!P13*($AC$21*$AC$18+$AC$22*$AC$19))*1000</f>
        <v>341.89103984931808</v>
      </c>
      <c r="Q13" s="2">
        <f>-PMT(10%,2,$Y$3*1.085,,0)+$Y$3*($Y$8+0.06)+('energy duty'!Q13*($AC$21*$AC$18+$AC$22*$AC$19))*1000</f>
        <v>341.89103984931808</v>
      </c>
      <c r="R13" s="2">
        <f>-PMT(10%,2,$Y$3*1.085,,0)+$Y$3*($Y$8+0.06)+('energy duty'!R13*($AC$21*$AC$18+$AC$22*$AC$19))*1000</f>
        <v>329.28807978560201</v>
      </c>
      <c r="Y13">
        <f>Y12*580.1</f>
        <v>17867.080000000002</v>
      </c>
      <c r="Z13" t="s">
        <v>14</v>
      </c>
      <c r="AB13" t="s">
        <v>10</v>
      </c>
      <c r="AC13" s="2">
        <f>AC12*AD13*AF13/(AD13*AF13+AD14*AF14)/AD13+Y14*AD13/(AD14+AD13)</f>
        <v>2.4048963089632357E-2</v>
      </c>
      <c r="AD13">
        <f>AD14/AC16*(1-AC16)</f>
        <v>9636</v>
      </c>
      <c r="AE13" t="s">
        <v>17</v>
      </c>
      <c r="AF13">
        <v>0.03</v>
      </c>
    </row>
    <row r="14" spans="1:34" x14ac:dyDescent="0.25">
      <c r="A14">
        <v>0.6</v>
      </c>
      <c r="B14" s="2">
        <f>-PMT(10%,2,$Y$3*1.085,,0)+$Y$3*($Y$8+0.06)+('energy duty'!B14*($AC$21*$AC$18+$AC$22*$AC$19))*1000</f>
        <v>444.82365639997249</v>
      </c>
      <c r="C14" s="2">
        <f>-PMT(10%,2,$Y$3*1.085,,0)+$Y$3*($Y$8+0.06)+('energy duty'!C14*($AC$21*$AC$18+$AC$22*$AC$19))*1000</f>
        <v>443.73231365890717</v>
      </c>
      <c r="D14" s="2">
        <f>-PMT(10%,2,$Y$3*1.085,,0)+$Y$3*($Y$8+0.06)+('energy duty'!D14*($AC$21*$AC$18+$AC$22*$AC$19))*1000</f>
        <v>432.78163905572546</v>
      </c>
      <c r="E14" s="2">
        <f>-PMT(10%,2,$Y$3*1.085,,0)+$Y$3*($Y$8+0.06)+('energy duty'!E14*($AC$21*$AC$18+$AC$22*$AC$19))*1000</f>
        <v>421.83096445254387</v>
      </c>
      <c r="F14" s="2">
        <f>-PMT(10%,2,$Y$3*1.085,,0)+$Y$3*($Y$8+0.06)+('energy duty'!F14*($AC$21*$AC$18+$AC$22*$AC$19))*1000</f>
        <v>411.74069999675498</v>
      </c>
      <c r="G14" s="2">
        <f>-PMT(10%,2,$Y$3*1.085,,0)+$Y$3*($Y$8+0.06)+('energy duty'!G14*($AC$21*$AC$18+$AC$22*$AC$19))*1000</f>
        <v>401.65043554096616</v>
      </c>
      <c r="H14" s="2">
        <f>-PMT(10%,2,$Y$3*1.085,,0)+$Y$3*($Y$8+0.06)+('energy duty'!H14*($AC$21*$AC$18+$AC$22*$AC$19))*1000</f>
        <v>400.16427255910594</v>
      </c>
      <c r="I14" s="2">
        <f>-PMT(10%,2,$Y$3*1.085,,0)+$Y$3*($Y$8+0.06)+('energy duty'!I14*($AC$21*$AC$18+$AC$22*$AC$19))*1000</f>
        <v>398.67810957724566</v>
      </c>
      <c r="J14" s="2">
        <f>-PMT(10%,2,$Y$3*1.085,,0)+$Y$3*($Y$8+0.06)+('energy duty'!J14*($AC$21*$AC$18+$AC$22*$AC$19))*1000</f>
        <v>387.9620922869891</v>
      </c>
      <c r="K14" s="2">
        <f>-PMT(10%,2,$Y$3*1.085,,0)+$Y$3*($Y$8+0.06)+('energy duty'!K14*($AC$21*$AC$18+$AC$22*$AC$19))*1000</f>
        <v>377.24607499673249</v>
      </c>
      <c r="L14" s="2">
        <f>-PMT(10%,2,$Y$3*1.085,,0)+$Y$3*($Y$8+0.06)+('energy duty'!L14*($AC$21*$AC$18+$AC$22*$AC$19))*1000</f>
        <v>368.40731620987901</v>
      </c>
      <c r="M14" s="2">
        <f>-PMT(10%,2,$Y$3*1.085,,0)+$Y$3*($Y$8+0.06)+('energy duty'!M14*($AC$21*$AC$18+$AC$22*$AC$19))*1000</f>
        <v>359.56855742302548</v>
      </c>
      <c r="N14" s="2">
        <f>-PMT(10%,2,$Y$3*1.085,,0)+$Y$3*($Y$8+0.06)+('energy duty'!N14*($AC$21*$AC$18+$AC$22*$AC$19))*1000</f>
        <v>352.52883803526584</v>
      </c>
      <c r="O14" s="2">
        <f>-PMT(10%,2,$Y$3*1.085,,0)+$Y$3*($Y$8+0.06)+('energy duty'!O14*($AC$21*$AC$18+$AC$22*$AC$19))*1000</f>
        <v>345.48911864750619</v>
      </c>
      <c r="P14" s="2">
        <f>-PMT(10%,2,$Y$3*1.085,,0)+$Y$3*($Y$8+0.06)+('energy duty'!P14*($AC$21*$AC$18+$AC$22*$AC$19))*1000</f>
        <v>344.62870850011325</v>
      </c>
      <c r="Q14" s="2">
        <f>-PMT(10%,2,$Y$3*1.085,,0)+$Y$3*($Y$8+0.06)+('energy duty'!Q14*($AC$21*$AC$18+$AC$22*$AC$19))*1000</f>
        <v>343.76829835272031</v>
      </c>
      <c r="R14" s="2">
        <f>-PMT(10%,2,$Y$3*1.085,,0)+$Y$3*($Y$8+0.06)+('energy duty'!R14*($AC$21*$AC$18+$AC$22*$AC$19))*1000</f>
        <v>327.20000217249162</v>
      </c>
      <c r="Y14" s="3">
        <f>Y13/1000000</f>
        <v>1.786708E-2</v>
      </c>
      <c r="Z14" t="s">
        <v>15</v>
      </c>
      <c r="AB14" t="s">
        <v>11</v>
      </c>
      <c r="AC14" s="2">
        <f>AC12*AD14*AF14/(AD13*AF13+AD14*AF14)/AD14+Y14*AD14/(AD14+AD13)</f>
        <v>5.5447082965441194E-2</v>
      </c>
      <c r="AD14">
        <f>8760*0.9</f>
        <v>7884</v>
      </c>
      <c r="AE14" t="s">
        <v>17</v>
      </c>
      <c r="AF14">
        <v>0.1</v>
      </c>
    </row>
    <row r="15" spans="1:34" x14ac:dyDescent="0.25">
      <c r="A15">
        <v>0.65</v>
      </c>
      <c r="B15" s="2">
        <f>-PMT(10%,2,$Y$3*1.085,,0)+$Y$3*($Y$8+0.06)+('energy duty'!B15*($AC$21*$AC$18+$AC$22*$AC$19))*1000</f>
        <v>452.90853201006303</v>
      </c>
      <c r="C15" s="2">
        <f>-PMT(10%,2,$Y$3*1.085,,0)+$Y$3*($Y$8+0.06)+('energy duty'!C15*($AC$21*$AC$18+$AC$22*$AC$19))*1000</f>
        <v>461.40983123261492</v>
      </c>
      <c r="D15" s="2">
        <f>-PMT(10%,2,$Y$3*1.085,,0)+$Y$3*($Y$8+0.06)+('energy duty'!D15*($AC$21*$AC$18+$AC$22*$AC$19))*1000</f>
        <v>443.73231365890717</v>
      </c>
      <c r="E15" s="2">
        <f>-PMT(10%,2,$Y$3*1.085,,0)+$Y$3*($Y$8+0.06)+('energy duty'!E15*($AC$21*$AC$18+$AC$22*$AC$19))*1000</f>
        <v>426.05479608519931</v>
      </c>
      <c r="F15" s="2">
        <f>-PMT(10%,2,$Y$3*1.085,,0)+$Y$3*($Y$8+0.06)+('energy duty'!F15*($AC$21*$AC$18+$AC$22*$AC$19))*1000</f>
        <v>411.97535730968008</v>
      </c>
      <c r="G15" s="2">
        <f>-PMT(10%,2,$Y$3*1.085,,0)+$Y$3*($Y$8+0.06)+('energy duty'!G15*($AC$21*$AC$18+$AC$22*$AC$19))*1000</f>
        <v>397.89591853416084</v>
      </c>
      <c r="H15" s="2">
        <f>-PMT(10%,2,$Y$3*1.085,,0)+$Y$3*($Y$8+0.06)+('energy duty'!H15*($AC$21*$AC$18+$AC$22*$AC$19))*1000</f>
        <v>401.65043554096616</v>
      </c>
      <c r="I15" s="2">
        <f>-PMT(10%,2,$Y$3*1.085,,0)+$Y$3*($Y$8+0.06)+('energy duty'!I15*($AC$21*$AC$18+$AC$22*$AC$19))*1000</f>
        <v>405.40495254777147</v>
      </c>
      <c r="J15" s="2">
        <f>-PMT(10%,2,$Y$3*1.085,,0)+$Y$3*($Y$8+0.06)+('energy duty'!J15*($AC$21*$AC$18+$AC$22*$AC$19))*1000</f>
        <v>391.9512666067194</v>
      </c>
      <c r="K15" s="2">
        <f>-PMT(10%,2,$Y$3*1.085,,0)+$Y$3*($Y$8+0.06)+('energy duty'!K15*($AC$21*$AC$18+$AC$22*$AC$19))*1000</f>
        <v>378.49758066566744</v>
      </c>
      <c r="L15" s="2">
        <f>-PMT(10%,2,$Y$3*1.085,,0)+$Y$3*($Y$8+0.06)+('energy duty'!L15*($AC$21*$AC$18+$AC$22*$AC$19))*1000</f>
        <v>366.92115322801857</v>
      </c>
      <c r="M15" s="2">
        <f>-PMT(10%,2,$Y$3*1.085,,0)+$Y$3*($Y$8+0.06)+('energy duty'!M15*($AC$21*$AC$18+$AC$22*$AC$19))*1000</f>
        <v>355.34472579036958</v>
      </c>
      <c r="N15" s="2">
        <f>-PMT(10%,2,$Y$3*1.085,,0)+$Y$3*($Y$8+0.06)+('energy duty'!N15*($AC$21*$AC$18+$AC$22*$AC$19))*1000</f>
        <v>352.215961618032</v>
      </c>
      <c r="O15" s="2">
        <f>-PMT(10%,2,$Y$3*1.085,,0)+$Y$3*($Y$8+0.06)+('energy duty'!O15*($AC$21*$AC$18+$AC$22*$AC$19))*1000</f>
        <v>349.08719744569441</v>
      </c>
      <c r="P15" s="2">
        <f>-PMT(10%,2,$Y$3*1.085,,0)+$Y$3*($Y$8+0.06)+('energy duty'!P15*($AC$21*$AC$18+$AC$22*$AC$19))*1000</f>
        <v>347.36637715090853</v>
      </c>
      <c r="Q15" s="2">
        <f>-PMT(10%,2,$Y$3*1.085,,0)+$Y$3*($Y$8+0.06)+('energy duty'!Q15*($AC$21*$AC$18+$AC$22*$AC$19))*1000</f>
        <v>345.64555685612254</v>
      </c>
      <c r="R15" s="2">
        <f>-PMT(10%,2,$Y$3*1.085,,0)+$Y$3*($Y$8+0.06)+('energy duty'!R15*($AC$21*$AC$18+$AC$22*$AC$19))*1000</f>
        <v>325.11192455938135</v>
      </c>
    </row>
    <row r="16" spans="1:34" x14ac:dyDescent="0.25">
      <c r="A16">
        <v>0.7</v>
      </c>
      <c r="B16" s="2">
        <f>-PMT(10%,2,$Y$3*1.085,,0)+$Y$3*($Y$8+0.06)+('energy duty'!B16*($AC$21*$AC$18+$AC$22*$AC$19))*1000</f>
        <v>461.08205593836976</v>
      </c>
      <c r="C16" s="2">
        <f>-PMT(10%,2,$Y$3*1.085,,0)+$Y$3*($Y$8+0.06)+('energy duty'!C16*($AC$21*$AC$18+$AC$22*$AC$19))*1000</f>
        <v>482.21611297866002</v>
      </c>
      <c r="D16" s="2">
        <f>-PMT(10%,2,$Y$3*1.085,,0)+$Y$3*($Y$8+0.06)+('energy duty'!D16*($AC$21*$AC$18+$AC$22*$AC$19))*1000</f>
        <v>453.50970169746222</v>
      </c>
      <c r="E16" s="2">
        <f>-PMT(10%,2,$Y$3*1.085,,0)+$Y$3*($Y$8+0.06)+('energy duty'!E16*($AC$21*$AC$18+$AC$22*$AC$19))*1000</f>
        <v>424.8032904162643</v>
      </c>
      <c r="F16" s="2">
        <f>-PMT(10%,2,$Y$3*1.085,,0)+$Y$3*($Y$8+0.06)+('energy duty'!F16*($AC$21*$AC$18+$AC$22*$AC$19))*1000</f>
        <v>415.02590237770931</v>
      </c>
      <c r="G16" s="2">
        <f>-PMT(10%,2,$Y$3*1.085,,0)+$Y$3*($Y$8+0.06)+('energy duty'!G16*($AC$21*$AC$18+$AC$22*$AC$19))*1000</f>
        <v>405.24851433915433</v>
      </c>
      <c r="H16" s="2">
        <f>-PMT(10%,2,$Y$3*1.085,,0)+$Y$3*($Y$8+0.06)+('energy duty'!H16*($AC$21*$AC$18+$AC$22*$AC$19))*1000</f>
        <v>403.1365985228266</v>
      </c>
      <c r="I16" s="2">
        <f>-PMT(10%,2,$Y$3*1.085,,0)+$Y$3*($Y$8+0.06)+('energy duty'!I16*($AC$21*$AC$18+$AC$22*$AC$19))*1000</f>
        <v>401.02468270649888</v>
      </c>
      <c r="J16" s="2">
        <f>-PMT(10%,2,$Y$3*1.085,,0)+$Y$3*($Y$8+0.06)+('energy duty'!J16*($AC$21*$AC$18+$AC$22*$AC$19))*1000</f>
        <v>392.81167675411245</v>
      </c>
      <c r="K16" s="2">
        <f>-PMT(10%,2,$Y$3*1.085,,0)+$Y$3*($Y$8+0.06)+('energy duty'!K16*($AC$21*$AC$18+$AC$22*$AC$19))*1000</f>
        <v>384.59867080172597</v>
      </c>
      <c r="L16" s="2">
        <f>-PMT(10%,2,$Y$3*1.085,,0)+$Y$3*($Y$8+0.06)+('energy duty'!L16*($AC$21*$AC$18+$AC$22*$AC$19))*1000</f>
        <v>372.0836141123757</v>
      </c>
      <c r="M16" s="2">
        <f>-PMT(10%,2,$Y$3*1.085,,0)+$Y$3*($Y$8+0.06)+('energy duty'!M16*($AC$21*$AC$18+$AC$22*$AC$19))*1000</f>
        <v>359.56855742302548</v>
      </c>
      <c r="N16" s="2">
        <f>-PMT(10%,2,$Y$3*1.085,,0)+$Y$3*($Y$8+0.06)+('energy duty'!N16*($AC$21*$AC$18+$AC$22*$AC$19))*1000</f>
        <v>357.06554608515535</v>
      </c>
      <c r="O16" s="2">
        <f>-PMT(10%,2,$Y$3*1.085,,0)+$Y$3*($Y$8+0.06)+('energy duty'!O16*($AC$21*$AC$18+$AC$22*$AC$19))*1000</f>
        <v>354.56253474728521</v>
      </c>
      <c r="P16" s="2">
        <f>-PMT(10%,2,$Y$3*1.085,,0)+$Y$3*($Y$8+0.06)+('energy duty'!P16*($AC$21*$AC$18+$AC$22*$AC$19))*1000</f>
        <v>350.65157953186304</v>
      </c>
      <c r="Q16" s="2">
        <f>-PMT(10%,2,$Y$3*1.085,,0)+$Y$3*($Y$8+0.06)+('energy duty'!Q16*($AC$21*$AC$18+$AC$22*$AC$19))*1000</f>
        <v>346.7406243164408</v>
      </c>
      <c r="R16" s="2">
        <f>-PMT(10%,2,$Y$3*1.085,,0)+$Y$3*($Y$8+0.06)+('energy duty'!R16*($AC$21*$AC$18+$AC$22*$AC$19))*1000</f>
        <v>325.99095830303827</v>
      </c>
      <c r="X16" t="s">
        <v>21</v>
      </c>
      <c r="AB16" t="s">
        <v>16</v>
      </c>
      <c r="AC16" s="5">
        <v>0.45</v>
      </c>
    </row>
    <row r="17" spans="1:30" x14ac:dyDescent="0.25">
      <c r="A17">
        <v>0.75</v>
      </c>
      <c r="B17" s="2">
        <f>-PMT(10%,2,$Y$3*1.085,,0)+$Y$3*($Y$8+0.06)+('energy duty'!B17*($AC$21*$AC$18+$AC$22*$AC$19))*1000</f>
        <v>469.2555798666765</v>
      </c>
      <c r="C17" s="2">
        <f>-PMT(10%,2,$Y$3*1.085,,0)+$Y$3*($Y$8+0.06)+('energy duty'!C17*($AC$21*$AC$18+$AC$22*$AC$19))*1000</f>
        <v>503.02239472470512</v>
      </c>
      <c r="D17" s="2">
        <f>-PMT(10%,2,$Y$3*1.085,,0)+$Y$3*($Y$8+0.06)+('energy duty'!D17*($AC$21*$AC$18+$AC$22*$AC$19))*1000</f>
        <v>463.28708973601726</v>
      </c>
      <c r="E17" s="2">
        <f>-PMT(10%,2,$Y$3*1.085,,0)+$Y$3*($Y$8+0.06)+('energy duty'!E17*($AC$21*$AC$18+$AC$22*$AC$19))*1000</f>
        <v>423.55178474732941</v>
      </c>
      <c r="F17" s="2">
        <f>-PMT(10%,2,$Y$3*1.085,,0)+$Y$3*($Y$8+0.06)+('energy duty'!F17*($AC$21*$AC$18+$AC$22*$AC$19))*1000</f>
        <v>418.07644744573861</v>
      </c>
      <c r="G17" s="2">
        <f>-PMT(10%,2,$Y$3*1.085,,0)+$Y$3*($Y$8+0.06)+('energy duty'!G17*($AC$21*$AC$18+$AC$22*$AC$19))*1000</f>
        <v>412.60111014414781</v>
      </c>
      <c r="H17" s="2">
        <f>-PMT(10%,2,$Y$3*1.085,,0)+$Y$3*($Y$8+0.06)+('energy duty'!H17*($AC$21*$AC$18+$AC$22*$AC$19))*1000</f>
        <v>404.62276150468699</v>
      </c>
      <c r="I17" s="2">
        <f>-PMT(10%,2,$Y$3*1.085,,0)+$Y$3*($Y$8+0.06)+('energy duty'!I17*($AC$21*$AC$18+$AC$22*$AC$19))*1000</f>
        <v>396.64441286522629</v>
      </c>
      <c r="J17" s="2">
        <f>-PMT(10%,2,$Y$3*1.085,,0)+$Y$3*($Y$8+0.06)+('energy duty'!J17*($AC$21*$AC$18+$AC$22*$AC$19))*1000</f>
        <v>393.67208690150539</v>
      </c>
      <c r="K17" s="2">
        <f>-PMT(10%,2,$Y$3*1.085,,0)+$Y$3*($Y$8+0.06)+('energy duty'!K17*($AC$21*$AC$18+$AC$22*$AC$19))*1000</f>
        <v>390.6997609377845</v>
      </c>
      <c r="L17" s="2">
        <f>-PMT(10%,2,$Y$3*1.085,,0)+$Y$3*($Y$8+0.06)+('energy duty'!L17*($AC$21*$AC$18+$AC$22*$AC$19))*1000</f>
        <v>377.24607499673289</v>
      </c>
      <c r="M17" s="2">
        <f>-PMT(10%,2,$Y$3*1.085,,0)+$Y$3*($Y$8+0.06)+('energy duty'!M17*($AC$21*$AC$18+$AC$22*$AC$19))*1000</f>
        <v>363.79238905568133</v>
      </c>
      <c r="N17" s="2">
        <f>-PMT(10%,2,$Y$3*1.085,,0)+$Y$3*($Y$8+0.06)+('energy duty'!N17*($AC$21*$AC$18+$AC$22*$AC$19))*1000</f>
        <v>361.9151305522787</v>
      </c>
      <c r="O17" s="2">
        <f>-PMT(10%,2,$Y$3*1.085,,0)+$Y$3*($Y$8+0.06)+('energy duty'!O17*($AC$21*$AC$18+$AC$22*$AC$19))*1000</f>
        <v>360.03787204887601</v>
      </c>
      <c r="P17" s="2">
        <f>-PMT(10%,2,$Y$3*1.085,,0)+$Y$3*($Y$8+0.06)+('energy duty'!P17*($AC$21*$AC$18+$AC$22*$AC$19))*1000</f>
        <v>353.93678191281754</v>
      </c>
      <c r="Q17" s="2">
        <f>-PMT(10%,2,$Y$3*1.085,,0)+$Y$3*($Y$8+0.06)+('energy duty'!Q17*($AC$21*$AC$18+$AC$22*$AC$19))*1000</f>
        <v>347.83569177675906</v>
      </c>
      <c r="R17" s="2">
        <f>-PMT(10%,2,$Y$3*1.085,,0)+$Y$3*($Y$8+0.06)+('energy duty'!R17*($AC$21*$AC$18+$AC$22*$AC$19))*1000</f>
        <v>326.86999204669507</v>
      </c>
      <c r="X17" t="s">
        <v>22</v>
      </c>
      <c r="Y17">
        <v>130</v>
      </c>
      <c r="Z17" t="s">
        <v>23</v>
      </c>
      <c r="AC17">
        <f>CONVERT(1,"Wh","J")/1000</f>
        <v>3.6</v>
      </c>
    </row>
    <row r="18" spans="1:30" x14ac:dyDescent="0.25">
      <c r="A18">
        <v>0.8</v>
      </c>
      <c r="B18" s="2">
        <f>-PMT(10%,2,$Y$3*1.085,,0)+$Y$3*($Y$8+0.06)+('energy duty'!B18*($AC$21*$AC$18+$AC$22*$AC$19))*1000</f>
        <v>475.65092282370483</v>
      </c>
      <c r="C18" s="2">
        <f>-PMT(10%,2,$Y$3*1.085,,0)+$Y$3*($Y$8+0.06)+('energy duty'!C18*($AC$21*$AC$18+$AC$22*$AC$19))*1000</f>
        <v>494.41829325077663</v>
      </c>
      <c r="D18" s="2">
        <f>-PMT(10%,2,$Y$3*1.085,,0)+$Y$3*($Y$8+0.06)+('energy duty'!D18*($AC$21*$AC$18+$AC$22*$AC$19))*1000</f>
        <v>470.63968554101075</v>
      </c>
      <c r="E18" s="2">
        <f>-PMT(10%,2,$Y$3*1.085,,0)+$Y$3*($Y$8+0.06)+('energy duty'!E18*($AC$21*$AC$18+$AC$22*$AC$19))*1000</f>
        <v>446.86107783124476</v>
      </c>
      <c r="F18" s="2">
        <f>-PMT(10%,2,$Y$3*1.085,,0)+$Y$3*($Y$8+0.06)+('energy duty'!F18*($AC$21*$AC$18+$AC$22*$AC$19))*1000</f>
        <v>431.29547607386507</v>
      </c>
      <c r="G18" s="2">
        <f>-PMT(10%,2,$Y$3*1.085,,0)+$Y$3*($Y$8+0.06)+('energy duty'!G18*($AC$21*$AC$18+$AC$22*$AC$19))*1000</f>
        <v>415.72987431648539</v>
      </c>
      <c r="H18" s="2">
        <f>-PMT(10%,2,$Y$3*1.085,,0)+$Y$3*($Y$8+0.06)+('energy duty'!H18*($AC$21*$AC$18+$AC$22*$AC$19))*1000</f>
        <v>409.55056507611869</v>
      </c>
      <c r="I18" s="2">
        <f>-PMT(10%,2,$Y$3*1.085,,0)+$Y$3*($Y$8+0.06)+('energy duty'!I18*($AC$21*$AC$18+$AC$22*$AC$19))*1000</f>
        <v>403.37125583575209</v>
      </c>
      <c r="J18" s="2">
        <f>-PMT(10%,2,$Y$3*1.085,,0)+$Y$3*($Y$8+0.06)+('energy duty'!J18*($AC$21*$AC$18+$AC$22*$AC$19))*1000</f>
        <v>397.97413763846964</v>
      </c>
      <c r="K18" s="2">
        <f>-PMT(10%,2,$Y$3*1.085,,0)+$Y$3*($Y$8+0.06)+('energy duty'!K18*($AC$21*$AC$18+$AC$22*$AC$19))*1000</f>
        <v>392.57701944118713</v>
      </c>
      <c r="L18" s="2">
        <f>-PMT(10%,2,$Y$3*1.085,,0)+$Y$3*($Y$8+0.06)+('energy duty'!L18*($AC$21*$AC$18+$AC$22*$AC$19))*1000</f>
        <v>382.48675498539842</v>
      </c>
      <c r="M18" s="2">
        <f>-PMT(10%,2,$Y$3*1.085,,0)+$Y$3*($Y$8+0.06)+('energy duty'!M18*($AC$21*$AC$18+$AC$22*$AC$19))*1000</f>
        <v>372.39649052960976</v>
      </c>
      <c r="N18" s="2">
        <f>-PMT(10%,2,$Y$3*1.085,,0)+$Y$3*($Y$8+0.06)+('energy duty'!N18*($AC$21*$AC$18+$AC$22*$AC$19))*1000</f>
        <v>370.8321084434408</v>
      </c>
      <c r="O18" s="2">
        <f>-PMT(10%,2,$Y$3*1.085,,0)+$Y$3*($Y$8+0.06)+('energy duty'!O18*($AC$21*$AC$18+$AC$22*$AC$19))*1000</f>
        <v>369.26772635727178</v>
      </c>
      <c r="P18" s="2">
        <f>-PMT(10%,2,$Y$3*1.085,,0)+$Y$3*($Y$8+0.06)+('energy duty'!P18*($AC$21*$AC$18+$AC$22*$AC$19))*1000</f>
        <v>360.42896757041808</v>
      </c>
      <c r="Q18" s="2">
        <f>-PMT(10%,2,$Y$3*1.085,,0)+$Y$3*($Y$8+0.06)+('energy duty'!Q18*($AC$21*$AC$18+$AC$22*$AC$19))*1000</f>
        <v>351.59020878356432</v>
      </c>
      <c r="R18" s="2">
        <f>-PMT(10%,2,$Y$3*1.085,,0)+$Y$3*($Y$8+0.06)+('energy duty'!R18*($AC$21*$AC$18+$AC$22*$AC$19))*1000</f>
        <v>333.60502939957701</v>
      </c>
      <c r="X18" t="s">
        <v>24</v>
      </c>
      <c r="Y18">
        <f>30*1.14</f>
        <v>34.199999999999996</v>
      </c>
      <c r="Z18" t="s">
        <v>25</v>
      </c>
      <c r="AB18" t="s">
        <v>10</v>
      </c>
      <c r="AC18" s="6">
        <f>AC13/$AC$17</f>
        <v>6.680267524897877E-3</v>
      </c>
      <c r="AD18" t="s">
        <v>18</v>
      </c>
    </row>
    <row r="19" spans="1:30" x14ac:dyDescent="0.25">
      <c r="A19">
        <v>0.85</v>
      </c>
      <c r="B19" s="2">
        <f>-PMT(10%,2,$Y$3*1.085,,0)+$Y$3*($Y$8+0.06)+('energy duty'!B19*($AC$21*$AC$18+$AC$22*$AC$19))*1000</f>
        <v>482.04626578073294</v>
      </c>
      <c r="C19" s="2">
        <f>-PMT(10%,2,$Y$3*1.085,,0)+$Y$3*($Y$8+0.06)+('energy duty'!C19*($AC$21*$AC$18+$AC$22*$AC$19))*1000</f>
        <v>485.81419177684813</v>
      </c>
      <c r="D19" s="2">
        <f>-PMT(10%,2,$Y$3*1.085,,0)+$Y$3*($Y$8+0.06)+('energy duty'!D19*($AC$21*$AC$18+$AC$22*$AC$19))*1000</f>
        <v>477.99228134600412</v>
      </c>
      <c r="E19" s="2">
        <f>-PMT(10%,2,$Y$3*1.085,,0)+$Y$3*($Y$8+0.06)+('energy duty'!E19*($AC$21*$AC$18+$AC$22*$AC$19))*1000</f>
        <v>470.17037091516011</v>
      </c>
      <c r="F19" s="2">
        <f>-PMT(10%,2,$Y$3*1.085,,0)+$Y$3*($Y$8+0.06)+('energy duty'!F19*($AC$21*$AC$18+$AC$22*$AC$19))*1000</f>
        <v>444.51450470199154</v>
      </c>
      <c r="G19" s="2">
        <f>-PMT(10%,2,$Y$3*1.085,,0)+$Y$3*($Y$8+0.06)+('energy duty'!G19*($AC$21*$AC$18+$AC$22*$AC$19))*1000</f>
        <v>418.85863848882298</v>
      </c>
      <c r="H19" s="2">
        <f>-PMT(10%,2,$Y$3*1.085,,0)+$Y$3*($Y$8+0.06)+('energy duty'!H19*($AC$21*$AC$18+$AC$22*$AC$19))*1000</f>
        <v>414.47836864755044</v>
      </c>
      <c r="I19" s="2">
        <f>-PMT(10%,2,$Y$3*1.085,,0)+$Y$3*($Y$8+0.06)+('energy duty'!I19*($AC$21*$AC$18+$AC$22*$AC$19))*1000</f>
        <v>410.09809880627785</v>
      </c>
      <c r="J19" s="2">
        <f>-PMT(10%,2,$Y$3*1.085,,0)+$Y$3*($Y$8+0.06)+('energy duty'!J19*($AC$21*$AC$18+$AC$22*$AC$19))*1000</f>
        <v>402.27618837543378</v>
      </c>
      <c r="K19" s="2">
        <f>-PMT(10%,2,$Y$3*1.085,,0)+$Y$3*($Y$8+0.06)+('energy duty'!K19*($AC$21*$AC$18+$AC$22*$AC$19))*1000</f>
        <v>394.45427794458976</v>
      </c>
      <c r="L19" s="2">
        <f>-PMT(10%,2,$Y$3*1.085,,0)+$Y$3*($Y$8+0.06)+('energy duty'!L19*($AC$21*$AC$18+$AC$22*$AC$19))*1000</f>
        <v>387.72743497406395</v>
      </c>
      <c r="M19" s="2">
        <f>-PMT(10%,2,$Y$3*1.085,,0)+$Y$3*($Y$8+0.06)+('energy duty'!M19*($AC$21*$AC$18+$AC$22*$AC$19))*1000</f>
        <v>381.0005920035382</v>
      </c>
      <c r="N19" s="2">
        <f>-PMT(10%,2,$Y$3*1.085,,0)+$Y$3*($Y$8+0.06)+('energy duty'!N19*($AC$21*$AC$18+$AC$22*$AC$19))*1000</f>
        <v>379.74908633460285</v>
      </c>
      <c r="O19" s="2">
        <f>-PMT(10%,2,$Y$3*1.085,,0)+$Y$3*($Y$8+0.06)+('energy duty'!O19*($AC$21*$AC$18+$AC$22*$AC$19))*1000</f>
        <v>378.49758066566744</v>
      </c>
      <c r="P19" s="2">
        <f>-PMT(10%,2,$Y$3*1.085,,0)+$Y$3*($Y$8+0.06)+('energy duty'!P19*($AC$21*$AC$18+$AC$22*$AC$19))*1000</f>
        <v>366.92115322801857</v>
      </c>
      <c r="Q19" s="2">
        <f>-PMT(10%,2,$Y$3*1.085,,0)+$Y$3*($Y$8+0.06)+('energy duty'!Q19*($AC$21*$AC$18+$AC$22*$AC$19))*1000</f>
        <v>355.34472579036958</v>
      </c>
      <c r="R19" s="2">
        <f>-PMT(10%,2,$Y$3*1.085,,0)+$Y$3*($Y$8+0.06)+('energy duty'!R19*($AC$21*$AC$18+$AC$22*$AC$19))*1000</f>
        <v>340.34006675245888</v>
      </c>
      <c r="AB19" t="s">
        <v>11</v>
      </c>
      <c r="AC19" s="6">
        <f>AC14/$AC$17</f>
        <v>1.5401967490400331E-2</v>
      </c>
      <c r="AD19" t="s">
        <v>19</v>
      </c>
    </row>
    <row r="20" spans="1:30" x14ac:dyDescent="0.25">
      <c r="A20">
        <v>0.9</v>
      </c>
      <c r="B20" s="2">
        <f>-PMT(10%,2,$Y$3*1.085,,0)+$Y$3*($Y$8+0.06)+('energy duty'!B20*($AC$21*$AC$18+$AC$22*$AC$19))*1000</f>
        <v>498.33744284855447</v>
      </c>
      <c r="C20" s="2">
        <f>-PMT(10%,2,$Y$3*1.085,,0)+$Y$3*($Y$8+0.06)+('energy duty'!C20*($AC$21*$AC$18+$AC$22*$AC$19))*1000</f>
        <v>521.95141796734754</v>
      </c>
      <c r="D20" s="2">
        <f>-PMT(10%,2,$Y$3*1.085,,0)+$Y$3*($Y$8+0.06)+('energy duty'!D20*($AC$21*$AC$18+$AC$22*$AC$19))*1000</f>
        <v>497.5470574231141</v>
      </c>
      <c r="E20" s="2">
        <f>-PMT(10%,2,$Y$3*1.085,,0)+$Y$3*($Y$8+0.06)+('energy duty'!E20*($AC$21*$AC$18+$AC$22*$AC$19))*1000</f>
        <v>473.14269687888066</v>
      </c>
      <c r="F20" s="2">
        <f>-PMT(10%,2,$Y$3*1.085,,0)+$Y$3*($Y$8+0.06)+('energy duty'!F20*($AC$21*$AC$18+$AC$22*$AC$19))*1000</f>
        <v>449.91162289927377</v>
      </c>
      <c r="G20" s="2">
        <f>-PMT(10%,2,$Y$3*1.085,,0)+$Y$3*($Y$8+0.06)+('energy duty'!G20*($AC$21*$AC$18+$AC$22*$AC$19))*1000</f>
        <v>426.68054891966699</v>
      </c>
      <c r="H20" s="2">
        <f>-PMT(10%,2,$Y$3*1.085,,0)+$Y$3*($Y$8+0.06)+('energy duty'!H20*($AC$21*$AC$18+$AC$22*$AC$19))*1000</f>
        <v>419.01507669743989</v>
      </c>
      <c r="I20" s="2">
        <f>-PMT(10%,2,$Y$3*1.085,,0)+$Y$3*($Y$8+0.06)+('energy duty'!I20*($AC$21*$AC$18+$AC$22*$AC$19))*1000</f>
        <v>411.3496044752128</v>
      </c>
      <c r="J20" s="2">
        <f>-PMT(10%,2,$Y$3*1.085,,0)+$Y$3*($Y$8+0.06)+('energy duty'!J20*($AC$21*$AC$18+$AC$22*$AC$19))*1000</f>
        <v>405.63960986069674</v>
      </c>
      <c r="K20" s="2">
        <f>-PMT(10%,2,$Y$3*1.085,,0)+$Y$3*($Y$8+0.06)+('energy duty'!K20*($AC$21*$AC$18+$AC$22*$AC$19))*1000</f>
        <v>399.92961524618062</v>
      </c>
      <c r="L20" s="2">
        <f>-PMT(10%,2,$Y$3*1.085,,0)+$Y$3*($Y$8+0.06)+('energy duty'!L20*($AC$21*$AC$18+$AC$22*$AC$19))*1000</f>
        <v>394.68893525751503</v>
      </c>
      <c r="M20" s="2">
        <f>-PMT(10%,2,$Y$3*1.085,,0)+$Y$3*($Y$8+0.06)+('energy duty'!M20*($AC$21*$AC$18+$AC$22*$AC$19))*1000</f>
        <v>389.44825526884949</v>
      </c>
      <c r="N20" s="2">
        <f>-PMT(10%,2,$Y$3*1.085,,0)+$Y$3*($Y$8+0.06)+('energy duty'!N20*($AC$21*$AC$18+$AC$22*$AC$19))*1000</f>
        <v>383.34716513279102</v>
      </c>
      <c r="O20" s="2">
        <f>-PMT(10%,2,$Y$3*1.085,,0)+$Y$3*($Y$8+0.06)+('energy duty'!O20*($AC$21*$AC$18+$AC$22*$AC$19))*1000</f>
        <v>377.24607499673249</v>
      </c>
      <c r="P20" s="2">
        <f>-PMT(10%,2,$Y$3*1.085,,0)+$Y$3*($Y$8+0.06)+('energy duty'!P20*($AC$21*$AC$18+$AC$22*$AC$19))*1000</f>
        <v>371.14498486067441</v>
      </c>
      <c r="Q20" s="2">
        <f>-PMT(10%,2,$Y$3*1.085,,0)+$Y$3*($Y$8+0.06)+('energy duty'!Q20*($AC$21*$AC$18+$AC$22*$AC$19))*1000</f>
        <v>365.04389472461628</v>
      </c>
      <c r="R20" s="2">
        <f>-PMT(10%,2,$Y$3*1.085,,0)+$Y$3*($Y$8+0.06)+('energy duty'!R20*($AC$21*$AC$18+$AC$22*$AC$19))*1000</f>
        <v>339.80743189931104</v>
      </c>
    </row>
    <row r="21" spans="1:30" x14ac:dyDescent="0.25">
      <c r="A21">
        <v>0.95</v>
      </c>
      <c r="B21" s="2">
        <f>-PMT(10%,2,$Y$3*1.085,,0)+$Y$3*($Y$8+0.06)+('energy duty'!B21*($AC$21*$AC$18+$AC$22*$AC$19))*1000</f>
        <v>514.62861991637601</v>
      </c>
      <c r="C21" s="2">
        <f>-PMT(10%,2,$Y$3*1.085,,0)+$Y$3*($Y$8+0.06)+('energy duty'!C21*($AC$21*$AC$18+$AC$22*$AC$19))*1000</f>
        <v>558.08864415784683</v>
      </c>
      <c r="D21" s="2">
        <f>-PMT(10%,2,$Y$3*1.085,,0)+$Y$3*($Y$8+0.06)+('energy duty'!D21*($AC$21*$AC$18+$AC$22*$AC$19))*1000</f>
        <v>517.10183350022396</v>
      </c>
      <c r="E21" s="2">
        <f>-PMT(10%,2,$Y$3*1.085,,0)+$Y$3*($Y$8+0.06)+('energy duty'!E21*($AC$21*$AC$18+$AC$22*$AC$19))*1000</f>
        <v>476.11502284260109</v>
      </c>
      <c r="F21" s="2">
        <f>-PMT(10%,2,$Y$3*1.085,,0)+$Y$3*($Y$8+0.06)+('energy duty'!F21*($AC$21*$AC$18+$AC$22*$AC$19))*1000</f>
        <v>455.3087410965561</v>
      </c>
      <c r="G21" s="2">
        <f>-PMT(10%,2,$Y$3*1.085,,0)+$Y$3*($Y$8+0.06)+('energy duty'!G21*($AC$21*$AC$18+$AC$22*$AC$19))*1000</f>
        <v>434.502459350511</v>
      </c>
      <c r="H21" s="2">
        <f>-PMT(10%,2,$Y$3*1.085,,0)+$Y$3*($Y$8+0.06)+('energy duty'!H21*($AC$21*$AC$18+$AC$22*$AC$19))*1000</f>
        <v>423.55178474732941</v>
      </c>
      <c r="I21" s="2">
        <f>-PMT(10%,2,$Y$3*1.085,,0)+$Y$3*($Y$8+0.06)+('energy duty'!I21*($AC$21*$AC$18+$AC$22*$AC$19))*1000</f>
        <v>412.60111014414781</v>
      </c>
      <c r="J21" s="2">
        <f>-PMT(10%,2,$Y$3*1.085,,0)+$Y$3*($Y$8+0.06)+('energy duty'!J21*($AC$21*$AC$18+$AC$22*$AC$19))*1000</f>
        <v>409.00303134595958</v>
      </c>
      <c r="K21" s="2">
        <f>-PMT(10%,2,$Y$3*1.085,,0)+$Y$3*($Y$8+0.06)+('energy duty'!K21*($AC$21*$AC$18+$AC$22*$AC$19))*1000</f>
        <v>405.40495254777147</v>
      </c>
      <c r="L21" s="2">
        <f>-PMT(10%,2,$Y$3*1.085,,0)+$Y$3*($Y$8+0.06)+('energy duty'!L21*($AC$21*$AC$18+$AC$22*$AC$19))*1000</f>
        <v>401.65043554096616</v>
      </c>
      <c r="M21" s="2">
        <f>-PMT(10%,2,$Y$3*1.085,,0)+$Y$3*($Y$8+0.06)+('energy duty'!M21*($AC$21*$AC$18+$AC$22*$AC$19))*1000</f>
        <v>397.89591853416084</v>
      </c>
      <c r="N21" s="2">
        <f>-PMT(10%,2,$Y$3*1.085,,0)+$Y$3*($Y$8+0.06)+('energy duty'!N21*($AC$21*$AC$18+$AC$22*$AC$19))*1000</f>
        <v>386.94524393097919</v>
      </c>
      <c r="O21" s="2">
        <f>-PMT(10%,2,$Y$3*1.085,,0)+$Y$3*($Y$8+0.06)+('energy duty'!O21*($AC$21*$AC$18+$AC$22*$AC$19))*1000</f>
        <v>375.99456932779754</v>
      </c>
      <c r="P21" s="2">
        <f>-PMT(10%,2,$Y$3*1.085,,0)+$Y$3*($Y$8+0.06)+('energy duty'!P21*($AC$21*$AC$18+$AC$22*$AC$19))*1000</f>
        <v>375.36881649333026</v>
      </c>
      <c r="Q21" s="2">
        <f>-PMT(10%,2,$Y$3*1.085,,0)+$Y$3*($Y$8+0.06)+('energy duty'!Q21*($AC$21*$AC$18+$AC$22*$AC$19))*1000</f>
        <v>374.74306365886298</v>
      </c>
      <c r="R21" s="2">
        <f>-PMT(10%,2,$Y$3*1.085,,0)+$Y$3*($Y$8+0.06)+('energy duty'!R21*($AC$21*$AC$18+$AC$22*$AC$19))*1000</f>
        <v>339.27479704616309</v>
      </c>
      <c r="AC21" s="5">
        <v>0.87</v>
      </c>
      <c r="AD21" t="s">
        <v>26</v>
      </c>
    </row>
    <row r="22" spans="1:30" x14ac:dyDescent="0.25">
      <c r="A22">
        <v>1</v>
      </c>
      <c r="B22" s="2">
        <f>-PMT(10%,2,$Y$3*1.085,,0)+$Y$3*($Y$8+0.06)+('energy duty'!B22*($AC$21*$AC$18+$AC$22*$AC$19))*1000</f>
        <v>495.61330080978234</v>
      </c>
      <c r="C22" s="2">
        <f>-PMT(10%,2,$Y$3*1.085,,0)+$Y$3*($Y$8+0.06)+('energy duty'!C22*($AC$21*$AC$18+$AC$22*$AC$19))*1000</f>
        <v>519.95340014501255</v>
      </c>
      <c r="D22" s="2">
        <f>-PMT(10%,2,$Y$3*1.085,,0)+$Y$3*($Y$8+0.06)+('energy duty'!D22*($AC$21*$AC$18+$AC$22*$AC$19))*1000</f>
        <v>491.57084340095162</v>
      </c>
      <c r="E22" s="2">
        <f>-PMT(10%,2,$Y$3*1.085,,0)+$Y$3*($Y$8+0.06)+('energy duty'!E22*($AC$21*$AC$18+$AC$22*$AC$19))*1000</f>
        <v>463.18828665689068</v>
      </c>
      <c r="F22" s="2">
        <f>-PMT(10%,2,$Y$3*1.085,,0)+$Y$3*($Y$8+0.06)+('energy duty'!F22*($AC$21*$AC$18+$AC$22*$AC$19))*1000</f>
        <v>443.10381629446385</v>
      </c>
      <c r="G22" s="2">
        <f>-PMT(10%,2,$Y$3*1.085,,0)+$Y$3*($Y$8+0.06)+('energy duty'!G22*($AC$21*$AC$18+$AC$22*$AC$19))*1000</f>
        <v>423.01934593203691</v>
      </c>
      <c r="H22" s="2">
        <f>-PMT(10%,2,$Y$3*1.085,,0)+$Y$3*($Y$8+0.06)+('energy duty'!H22*($AC$21*$AC$18+$AC$22*$AC$19))*1000</f>
        <v>419.32520858469798</v>
      </c>
      <c r="I22" s="2">
        <f>-PMT(10%,2,$Y$3*1.085,,0)+$Y$3*($Y$8+0.06)+('energy duty'!I22*($AC$21*$AC$18+$AC$22*$AC$19))*1000</f>
        <v>415.63107123735909</v>
      </c>
      <c r="J22" s="2">
        <f>-PMT(10%,2,$Y$3*1.085,,0)+$Y$3*($Y$8+0.06)+('energy duty'!J22*($AC$21*$AC$18+$AC$22*$AC$19))*1000</f>
        <v>406.85818116992294</v>
      </c>
      <c r="K22" s="2">
        <f>-PMT(10%,2,$Y$3*1.085,,0)+$Y$3*($Y$8+0.06)+('energy duty'!K22*($AC$21*$AC$18+$AC$22*$AC$19))*1000</f>
        <v>398.08529110248662</v>
      </c>
      <c r="L22" s="2">
        <f>-PMT(10%,2,$Y$3*1.085,,0)+$Y$3*($Y$8+0.06)+('energy duty'!L22*($AC$21*$AC$18+$AC$22*$AC$19))*1000</f>
        <v>389.71310241150786</v>
      </c>
      <c r="M22" s="2">
        <f>-PMT(10%,2,$Y$3*1.085,,0)+$Y$3*($Y$8+0.06)+('energy duty'!M22*($AC$21*$AC$18+$AC$22*$AC$19))*1000</f>
        <v>381.34091372052916</v>
      </c>
      <c r="N22" s="2">
        <f>-PMT(10%,2,$Y$3*1.085,,0)+$Y$3*($Y$8+0.06)+('energy duty'!N22*($AC$21*$AC$18+$AC$22*$AC$19))*1000</f>
        <v>375.28922512403392</v>
      </c>
      <c r="O22" s="2">
        <f>-PMT(10%,2,$Y$3*1.085,,0)+$Y$3*($Y$8+0.06)+('energy duty'!O22*($AC$21*$AC$18+$AC$22*$AC$19))*1000</f>
        <v>369.23753652753868</v>
      </c>
      <c r="P22" s="2">
        <f>-PMT(10%,2,$Y$3*1.085,,0)+$Y$3*($Y$8+0.06)+('energy duty'!P22*($AC$21*$AC$18+$AC$22*$AC$19))*1000</f>
        <v>364.09977641296337</v>
      </c>
      <c r="Q22" s="2">
        <f>-PMT(10%,2,$Y$3*1.085,,0)+$Y$3*($Y$8+0.06)+('energy duty'!Q22*($AC$21*$AC$18+$AC$22*$AC$19))*1000</f>
        <v>358.96201629838788</v>
      </c>
      <c r="R22" s="2">
        <f>-PMT(10%,2,$Y$3*1.085,,0)+$Y$3*($Y$8+0.06)+('energy duty'!R22*($AC$21*$AC$18+$AC$22*$AC$19))*1000</f>
        <v>333.63710119272196</v>
      </c>
      <c r="AC22" s="5">
        <v>0.13</v>
      </c>
      <c r="AD22" t="s">
        <v>27</v>
      </c>
    </row>
    <row r="24" spans="1:30" x14ac:dyDescent="0.25">
      <c r="K24" s="2"/>
    </row>
    <row r="25" spans="1:30" x14ac:dyDescent="0.25">
      <c r="D25" s="2"/>
      <c r="AC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productivity</vt:lpstr>
      <vt:lpstr>energy duty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Syauqi</dc:creator>
  <cp:lastModifiedBy>(대학원생) AHMAD SYAUQI (School of Energy and Chemical Eng</cp:lastModifiedBy>
  <dcterms:created xsi:type="dcterms:W3CDTF">2025-06-02T06:31:48Z</dcterms:created>
  <dcterms:modified xsi:type="dcterms:W3CDTF">2025-06-04T01:56:03Z</dcterms:modified>
</cp:coreProperties>
</file>