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aper - Nuclear DACSS\Code\"/>
    </mc:Choice>
  </mc:AlternateContent>
  <xr:revisionPtr revIDLastSave="0" documentId="13_ncr:1_{41AFEA84-0845-49EC-A0EB-EEC005AB6340}" xr6:coauthVersionLast="47" xr6:coauthVersionMax="47" xr10:uidLastSave="{00000000-0000-0000-0000-000000000000}"/>
  <bookViews>
    <workbookView xWindow="-120" yWindow="-120" windowWidth="29040" windowHeight="15720" firstSheet="4" activeTab="8" xr2:uid="{00000000-000D-0000-FFFF-FFFF00000000}"/>
  </bookViews>
  <sheets>
    <sheet name="country" sheetId="1" r:id="rId1"/>
    <sheet name="energy_duty" sheetId="2" r:id="rId2"/>
    <sheet name="energy_duty_adjusted" sheetId="16" r:id="rId3"/>
    <sheet name="env_condition" sheetId="3" r:id="rId4"/>
    <sheet name="co2_tax" sheetId="4" r:id="rId5"/>
    <sheet name="co2_storage_capacity" sheetId="5" r:id="rId6"/>
    <sheet name="nuclear_capex" sheetId="15" r:id="rId7"/>
    <sheet name="capex" sheetId="6" r:id="rId8"/>
    <sheet name="electricity_emission_factor" sheetId="18" r:id="rId9"/>
    <sheet name="electricity_consumed" sheetId="17" r:id="rId10"/>
    <sheet name="gdp" sheetId="7" r:id="rId11"/>
    <sheet name="nuclear_allowed" sheetId="8" r:id="rId12"/>
    <sheet name="ccs_readiness" sheetId="9" r:id="rId13"/>
    <sheet name="nuclear_readiness" sheetId="10" r:id="rId14"/>
    <sheet name="nuclear_perception" sheetId="11" r:id="rId15"/>
    <sheet name="resource_reserve" sheetId="12" r:id="rId16"/>
    <sheet name="ccs_included" sheetId="13" r:id="rId17"/>
    <sheet name="non-NPT" sheetId="14" r:id="rId18"/>
  </sheets>
  <definedNames>
    <definedName name="_xlnm._FilterDatabase" localSheetId="14" hidden="1">nuclear_perception!$A$1:$C$41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1" l="1"/>
  <c r="C25" i="11"/>
  <c r="B25" i="11"/>
  <c r="B7" i="11"/>
  <c r="B1" i="7"/>
  <c r="C1" i="7" l="1"/>
  <c r="D1" i="7" l="1"/>
  <c r="E1" i="7" l="1"/>
  <c r="F1" i="7" l="1"/>
  <c r="G1" i="7" l="1"/>
  <c r="H1" i="7" l="1"/>
  <c r="I1" i="7" l="1"/>
  <c r="J1" i="7" l="1"/>
  <c r="K1" i="7" l="1"/>
  <c r="L1" i="7" l="1"/>
  <c r="M1" i="7" l="1"/>
  <c r="N1" i="7" l="1"/>
  <c r="O1" i="7" l="1"/>
  <c r="P1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family val="2"/>
            <scheme val="minor"/>
          </rPr>
          <t>USER:
Projected from https://www.imf.org/en/Publications/WEO/weo-database/2024/October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2020&amp;ey=2027&amp;ssm=0&amp;scsm=1&amp;scc=0&amp;ssd=1&amp;ssc=0&amp;sic=0&amp;sort=country&amp;ds=.&amp;br=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" authorId="0" shapeId="0" xr:uid="{00000000-0006-0000-0900-000001000000}">
      <text>
        <r>
          <rPr>
            <sz val="11"/>
            <color theme="1"/>
            <rFont val="Aptos Narrow"/>
            <family val="2"/>
            <scheme val="minor"/>
          </rPr>
          <t>USER:
from https://www.thirdway.org/memo/2024-map-of-the-global-market-for-advanced-nuclear-future-demand-is-bigger-than-ever
0 = conflict zone
1 = no nuclear policy
2 = Unlikely ready by 2050
3 = potentially ready by 2050
4 = potentially ready by 2030
5 = ready by 2030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SPADE</author>
  </authors>
  <commentList>
    <comment ref="A1" authorId="0" shapeId="0" xr:uid="{00000000-0006-0000-0A00-000001000000}">
      <text>
        <r>
          <rPr>
            <sz val="11"/>
            <color theme="1"/>
            <rFont val="Aptos Narrow"/>
            <family val="2"/>
            <scheme val="minor"/>
          </rPr>
          <t>SPADE:
Not specifically mentioned reference are from
https://www.radiantenergygroup.com/reports/2024-public-attitudes-toward-clean-energy-nuclear</t>
        </r>
      </text>
    </comment>
    <comment ref="A7" authorId="0" shapeId="0" xr:uid="{00000000-0006-0000-0A00-000002000000}">
      <text>
        <r>
          <rPr>
            <sz val="11"/>
            <color theme="1"/>
            <rFont val="Aptos Narrow"/>
            <family val="2"/>
            <scheme val="minor"/>
          </rPr>
          <t>SPADE:
https://www.sciencedirect.com/science/article/pii/S0301421513011464?utm_source=chatgpt.com</t>
        </r>
      </text>
    </comment>
    <comment ref="A13" authorId="0" shapeId="0" xr:uid="{00000000-0006-0000-0A00-000003000000}">
      <text>
        <r>
          <rPr>
            <sz val="11"/>
            <color theme="1"/>
            <rFont val="Aptos Narrow"/>
            <family val="2"/>
            <scheme val="minor"/>
          </rPr>
          <t>SPADE:
https://www.altinget.dk/artikel/ny-maaling-mere-end-hver-anden-vaelger-er-aaben-for-atomkraft-i-danmark</t>
        </r>
      </text>
    </comment>
    <comment ref="A21" authorId="0" shapeId="0" xr:uid="{00000000-0006-0000-0A00-000004000000}">
      <text>
        <r>
          <rPr>
            <sz val="11"/>
            <color theme="1"/>
            <rFont val="Aptos Narrow"/>
            <family val="2"/>
            <scheme val="minor"/>
          </rPr>
          <t>SPADE:
https://www.google.com/url?sa=i&amp;url=https%3A%2F%2Fwww.statista.com%2Fstatistics%2F218489%2Fopinion-of-the-iran-as-a-nuclear-power%2F%3Fsrsltid%3DAfmBOopsoO6KpStRYnMIvjWmgSOO3GOWJRdW9NWy-E2G5uzqjAIUBXEd&amp;psig=AOvVaw0Grz5PsZPb4yMvgTwnkkgb&amp;ust=1764724998915000&amp;source=images&amp;cd=vfe&amp;opi=89978449&amp;ved=0CBgQjhxqFwoTCJD-4YbfnZEDFQAAAAAdAAAAABAE</t>
        </r>
      </text>
    </comment>
    <comment ref="A22" authorId="0" shapeId="0" xr:uid="{00000000-0006-0000-0A00-000005000000}">
      <text>
        <r>
          <rPr>
            <sz val="11"/>
            <color theme="1"/>
            <rFont val="Aptos Narrow"/>
            <family val="2"/>
            <scheme val="minor"/>
          </rPr>
          <t>SPADE:
https://www.thejournal.ie/poll-7-2901401-Jul2016/</t>
        </r>
      </text>
    </comment>
    <comment ref="A25" authorId="0" shapeId="0" xr:uid="{00000000-0006-0000-0A00-000006000000}">
      <text>
        <r>
          <rPr>
            <sz val="11"/>
            <color theme="1"/>
            <rFont val="Aptos Narrow"/>
            <family val="2"/>
            <scheme val="minor"/>
          </rPr>
          <t>SPADE:
https://pubs.aip.org/aip/acp/article/1799/1/020006/784528/Malaysian-public-perception-towards-nuclear-power</t>
        </r>
      </text>
    </comment>
    <comment ref="A26" authorId="0" shapeId="0" xr:uid="{00000000-0006-0000-0A00-000007000000}">
      <text>
        <r>
          <rPr>
            <sz val="11"/>
            <color theme="1"/>
            <rFont val="Aptos Narrow"/>
            <family val="2"/>
            <scheme val="minor"/>
          </rPr>
          <t>SPADE:
https://inis.iaea.org/records/cz67w-qka57</t>
        </r>
      </text>
    </comment>
    <comment ref="A34" authorId="0" shapeId="0" xr:uid="{00000000-0006-0000-0A00-000008000000}">
      <text>
        <r>
          <rPr>
            <sz val="11"/>
            <color theme="1"/>
            <rFont val="Aptos Narrow"/>
            <family val="2"/>
            <scheme val="minor"/>
          </rPr>
          <t>SPADE:
https://www.sciencedirect.com/science/article/pii/S0301421513011464?utm_source=chatgpt.com</t>
        </r>
      </text>
    </comment>
    <comment ref="A39" authorId="0" shapeId="0" xr:uid="{00000000-0006-0000-0A00-000009000000}">
      <text>
        <r>
          <rPr>
            <sz val="11"/>
            <color theme="1"/>
            <rFont val="Aptos Narrow"/>
            <family val="2"/>
            <scheme val="minor"/>
          </rPr>
          <t>SPADE:
https://www.world-nuclear-news.org/articles/poll-finds-majority-of-swiss-support-nuclear-new-build?utm_source=chatgpt.com</t>
        </r>
      </text>
    </comment>
  </commentList>
</comments>
</file>

<file path=xl/sharedStrings.xml><?xml version="1.0" encoding="utf-8"?>
<sst xmlns="http://schemas.openxmlformats.org/spreadsheetml/2006/main" count="537" uniqueCount="58">
  <si>
    <t>Country</t>
  </si>
  <si>
    <t>Democratic Republic of the Congo</t>
  </si>
  <si>
    <t>Kazakhstan</t>
  </si>
  <si>
    <t>Bolivia</t>
  </si>
  <si>
    <t>Yemen</t>
  </si>
  <si>
    <t>Vietnam</t>
  </si>
  <si>
    <t>Argentina</t>
  </si>
  <si>
    <t>Australia</t>
  </si>
  <si>
    <t>Belgium</t>
  </si>
  <si>
    <t>Brazil</t>
  </si>
  <si>
    <t>Canada</t>
  </si>
  <si>
    <t>China</t>
  </si>
  <si>
    <t>Denmark</t>
  </si>
  <si>
    <t>Egypt</t>
  </si>
  <si>
    <t>Finland</t>
  </si>
  <si>
    <t>France</t>
  </si>
  <si>
    <t>Germany</t>
  </si>
  <si>
    <t>Iceland</t>
  </si>
  <si>
    <t>India</t>
  </si>
  <si>
    <t>Indonesia</t>
  </si>
  <si>
    <t>Iran</t>
  </si>
  <si>
    <t>Ireland</t>
  </si>
  <si>
    <t>Italy</t>
  </si>
  <si>
    <t>Japan</t>
  </si>
  <si>
    <t>Malaysia</t>
  </si>
  <si>
    <t>Mexico</t>
  </si>
  <si>
    <t>Netherlands</t>
  </si>
  <si>
    <t>New Zealand</t>
  </si>
  <si>
    <t>Norway</t>
  </si>
  <si>
    <t>Pakistan</t>
  </si>
  <si>
    <t>Poland</t>
  </si>
  <si>
    <t>Portugal</t>
  </si>
  <si>
    <t>Russia</t>
  </si>
  <si>
    <t>Saudi Arabia</t>
  </si>
  <si>
    <t>South Africa</t>
  </si>
  <si>
    <t>South Korea</t>
  </si>
  <si>
    <t>Spain</t>
  </si>
  <si>
    <t>Sweden</t>
  </si>
  <si>
    <t>Switzerland</t>
  </si>
  <si>
    <t>United Kingdom</t>
  </si>
  <si>
    <t>United States</t>
  </si>
  <si>
    <t>Temperature</t>
  </si>
  <si>
    <t>Relative humidity</t>
  </si>
  <si>
    <t>Sub-saharan africa</t>
  </si>
  <si>
    <t>Other eurasia</t>
  </si>
  <si>
    <t>Other latin america</t>
  </si>
  <si>
    <t>Middle east</t>
  </si>
  <si>
    <t>Other Asia pacific</t>
  </si>
  <si>
    <t>storage capacity</t>
  </si>
  <si>
    <t>Year</t>
  </si>
  <si>
    <t>capex</t>
  </si>
  <si>
    <t>CCS readiness index</t>
  </si>
  <si>
    <t>nuclear readiness index</t>
  </si>
  <si>
    <t>Support rate (%)</t>
  </si>
  <si>
    <t>Oppose rate (%)</t>
  </si>
  <si>
    <t>water reserve</t>
  </si>
  <si>
    <t>land reserve</t>
  </si>
  <si>
    <t>Emission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</si>
</sst>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4" fontId="0" fillId="0" borderId="0" xfId="0" applyNumberFormat="1"/>
    <xf numFmtId="164" fontId="0" fillId="0" borderId="0" xfId="0" applyNumberFormat="1"/>
    <xf numFmtId="0" fontId="0" fillId="2" borderId="0" xfId="0" applyFill="1"/>
    <xf numFmtId="2" fontId="0" fillId="2" borderId="0" xfId="0" applyNumberFormat="1" applyFill="1"/>
    <xf numFmtId="165" fontId="0" fillId="0" borderId="0" xfId="1" applyNumberFormat="1" applyFont="1"/>
    <xf numFmtId="2" fontId="0" fillId="0" borderId="0" xfId="0" applyNumberFormat="1"/>
    <xf numFmtId="165" fontId="2" fillId="0" borderId="0" xfId="1" applyNumberFormat="1"/>
  </cellXfs>
  <cellStyles count="2">
    <cellStyle name="Comma" xfId="1" builtinId="3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"/>
  <sheetViews>
    <sheetView workbookViewId="0">
      <selection activeCell="A21" sqref="A21"/>
    </sheetView>
  </sheetViews>
  <sheetFormatPr defaultRowHeight="15" x14ac:dyDescent="0.25"/>
  <cols>
    <col min="1" max="1" width="33.28515625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2"/>
  <sheetViews>
    <sheetView workbookViewId="0">
      <selection activeCell="H11" sqref="H11"/>
    </sheetView>
  </sheetViews>
  <sheetFormatPr defaultRowHeight="15" x14ac:dyDescent="0.25"/>
  <sheetData>
    <row r="1" spans="1:18" x14ac:dyDescent="0.25">
      <c r="B1">
        <v>0</v>
      </c>
      <c r="C1">
        <v>2.5</v>
      </c>
      <c r="D1">
        <v>5</v>
      </c>
      <c r="E1">
        <v>7.5</v>
      </c>
      <c r="F1">
        <v>10</v>
      </c>
      <c r="G1">
        <v>12.5</v>
      </c>
      <c r="H1">
        <v>15</v>
      </c>
      <c r="I1">
        <v>17.5</v>
      </c>
      <c r="J1">
        <v>20</v>
      </c>
      <c r="K1">
        <v>22.5</v>
      </c>
      <c r="L1">
        <v>25</v>
      </c>
      <c r="M1">
        <v>27.5</v>
      </c>
      <c r="N1">
        <v>30</v>
      </c>
      <c r="O1">
        <v>32.5</v>
      </c>
      <c r="P1">
        <v>35</v>
      </c>
      <c r="Q1">
        <v>37.5</v>
      </c>
      <c r="R1">
        <v>40</v>
      </c>
    </row>
    <row r="2" spans="1:18" x14ac:dyDescent="0.25">
      <c r="A2">
        <v>0</v>
      </c>
      <c r="B2">
        <v>28.168823794554751</v>
      </c>
      <c r="C2">
        <v>27.922835115817541</v>
      </c>
      <c r="D2">
        <v>27.830286426777619</v>
      </c>
      <c r="E2">
        <v>27.737737737737699</v>
      </c>
      <c r="F2">
        <v>27.905624923168752</v>
      </c>
      <c r="G2">
        <v>28.073512108599811</v>
      </c>
      <c r="H2">
        <v>26.843510176843481</v>
      </c>
      <c r="I2">
        <v>25.613508245087161</v>
      </c>
      <c r="J2">
        <v>24.927032295453319</v>
      </c>
      <c r="K2">
        <v>24.24055634581946</v>
      </c>
      <c r="L2">
        <v>23.33421140438681</v>
      </c>
      <c r="M2">
        <v>22.42786646295415</v>
      </c>
      <c r="N2">
        <v>22.159176720580199</v>
      </c>
      <c r="O2">
        <v>21.890486978206251</v>
      </c>
      <c r="P2">
        <v>21.52380450626061</v>
      </c>
      <c r="Q2">
        <v>21.157122034314959</v>
      </c>
      <c r="R2">
        <v>20.25583478215054</v>
      </c>
    </row>
    <row r="3" spans="1:18" x14ac:dyDescent="0.25">
      <c r="A3">
        <v>5</v>
      </c>
      <c r="B3">
        <v>33.717050383717009</v>
      </c>
      <c r="C3">
        <v>32.2222222222222</v>
      </c>
      <c r="D3">
        <v>31.441441441441398</v>
      </c>
      <c r="E3">
        <v>30.6606606606606</v>
      </c>
      <c r="F3">
        <v>29.479479479479451</v>
      </c>
      <c r="G3">
        <v>28.298298298298299</v>
      </c>
      <c r="H3">
        <v>26.4164164164164</v>
      </c>
      <c r="I3">
        <v>24.534534534534501</v>
      </c>
      <c r="J3">
        <v>25.095095095095051</v>
      </c>
      <c r="K3">
        <v>25.6556556556556</v>
      </c>
      <c r="L3">
        <v>24.634634634634601</v>
      </c>
      <c r="M3">
        <v>23.613613613613602</v>
      </c>
      <c r="N3">
        <v>23.773773773773751</v>
      </c>
      <c r="O3">
        <v>23.933933933933901</v>
      </c>
      <c r="P3">
        <v>23.5335335335335</v>
      </c>
      <c r="Q3">
        <v>23.1331331331331</v>
      </c>
      <c r="R3">
        <v>21.170599170599139</v>
      </c>
    </row>
    <row r="4" spans="1:18" x14ac:dyDescent="0.25">
      <c r="A4">
        <v>10</v>
      </c>
      <c r="B4">
        <v>32.746079412746063</v>
      </c>
      <c r="C4">
        <v>32.062062062062047</v>
      </c>
      <c r="D4">
        <v>30.930930930930899</v>
      </c>
      <c r="E4">
        <v>29.79979979979975</v>
      </c>
      <c r="F4">
        <v>29.31931931931928</v>
      </c>
      <c r="G4">
        <v>28.8388388388388</v>
      </c>
      <c r="H4">
        <v>27.357357357357319</v>
      </c>
      <c r="I4">
        <v>25.875875875875849</v>
      </c>
      <c r="J4">
        <v>25.955955955955929</v>
      </c>
      <c r="K4">
        <v>26.036036036035998</v>
      </c>
      <c r="L4">
        <v>24.984984984984951</v>
      </c>
      <c r="M4">
        <v>23.933933933933901</v>
      </c>
      <c r="N4">
        <v>23.653653653653631</v>
      </c>
      <c r="O4">
        <v>23.373373373373351</v>
      </c>
      <c r="P4">
        <v>22.90290290290287</v>
      </c>
      <c r="Q4">
        <v>22.4324324324324</v>
      </c>
      <c r="R4">
        <v>21.07803041136372</v>
      </c>
    </row>
    <row r="5" spans="1:18" x14ac:dyDescent="0.25">
      <c r="A5">
        <v>15</v>
      </c>
      <c r="B5">
        <v>31.77510844177511</v>
      </c>
      <c r="C5">
        <v>31.901901901901901</v>
      </c>
      <c r="D5">
        <v>30.420420420420399</v>
      </c>
      <c r="E5">
        <v>28.9389389389389</v>
      </c>
      <c r="F5">
        <v>29.159159159159099</v>
      </c>
      <c r="G5">
        <v>29.379379379379301</v>
      </c>
      <c r="H5">
        <v>28.298298298298249</v>
      </c>
      <c r="I5">
        <v>27.2172172172172</v>
      </c>
      <c r="J5">
        <v>26.8168168168168</v>
      </c>
      <c r="K5">
        <v>26.4164164164164</v>
      </c>
      <c r="L5">
        <v>25.335335335335301</v>
      </c>
      <c r="M5">
        <v>24.254254254254199</v>
      </c>
      <c r="N5">
        <v>23.5335335335335</v>
      </c>
      <c r="O5">
        <v>22.812812812812801</v>
      </c>
      <c r="P5">
        <v>22.27227227227225</v>
      </c>
      <c r="Q5">
        <v>21.731731731731699</v>
      </c>
      <c r="R5">
        <v>20.98546165212829</v>
      </c>
    </row>
    <row r="6" spans="1:18" x14ac:dyDescent="0.25">
      <c r="A6">
        <v>20</v>
      </c>
      <c r="B6">
        <v>32.077410744077369</v>
      </c>
      <c r="C6">
        <v>31.981981981981949</v>
      </c>
      <c r="D6">
        <v>30.770770770770721</v>
      </c>
      <c r="E6">
        <v>29.559559559559499</v>
      </c>
      <c r="F6">
        <v>29.589589589589519</v>
      </c>
      <c r="G6">
        <v>29.619619619619549</v>
      </c>
      <c r="H6">
        <v>28.528528528528479</v>
      </c>
      <c r="I6">
        <v>27.437437437437399</v>
      </c>
      <c r="J6">
        <v>26.306306306306279</v>
      </c>
      <c r="K6">
        <v>25.175175175175148</v>
      </c>
      <c r="L6">
        <v>24.434434434434401</v>
      </c>
      <c r="M6">
        <v>23.69369369369365</v>
      </c>
      <c r="N6">
        <v>23.293293293293249</v>
      </c>
      <c r="O6">
        <v>22.892892892892849</v>
      </c>
      <c r="P6">
        <v>22.272272272272229</v>
      </c>
      <c r="Q6">
        <v>21.651651651651601</v>
      </c>
      <c r="R6">
        <v>20.47905047905045</v>
      </c>
    </row>
    <row r="7" spans="1:18" x14ac:dyDescent="0.25">
      <c r="A7">
        <v>25</v>
      </c>
      <c r="B7">
        <v>32.379713046379628</v>
      </c>
      <c r="C7">
        <v>32.062062062061997</v>
      </c>
      <c r="D7">
        <v>31.12112112112105</v>
      </c>
      <c r="E7">
        <v>30.180180180180098</v>
      </c>
      <c r="F7">
        <v>30.020020020019949</v>
      </c>
      <c r="G7">
        <v>29.8598598598598</v>
      </c>
      <c r="H7">
        <v>28.758758758758699</v>
      </c>
      <c r="I7">
        <v>27.657657657657602</v>
      </c>
      <c r="J7">
        <v>25.795795795795751</v>
      </c>
      <c r="K7">
        <v>23.933933933933901</v>
      </c>
      <c r="L7">
        <v>23.5335335335335</v>
      </c>
      <c r="M7">
        <v>23.1331331331331</v>
      </c>
      <c r="N7">
        <v>23.053053053052999</v>
      </c>
      <c r="O7">
        <v>22.972972972972901</v>
      </c>
      <c r="P7">
        <v>22.2722722722722</v>
      </c>
      <c r="Q7">
        <v>21.5715715715715</v>
      </c>
      <c r="R7">
        <v>19.972639305972589</v>
      </c>
    </row>
    <row r="8" spans="1:18" x14ac:dyDescent="0.25">
      <c r="A8">
        <v>30</v>
      </c>
      <c r="B8">
        <v>32.934934934934901</v>
      </c>
      <c r="C8">
        <v>32.282282282282253</v>
      </c>
      <c r="D8">
        <v>31.461461461461429</v>
      </c>
      <c r="E8">
        <v>30.640640640640601</v>
      </c>
      <c r="F8">
        <v>30.060060060060021</v>
      </c>
      <c r="G8">
        <v>29.479479479479451</v>
      </c>
      <c r="H8">
        <v>28.5385385385385</v>
      </c>
      <c r="I8">
        <v>27.597597597597549</v>
      </c>
      <c r="J8">
        <v>26.386386386386349</v>
      </c>
      <c r="K8">
        <v>25.175175175175148</v>
      </c>
      <c r="L8">
        <v>24.354354354354321</v>
      </c>
      <c r="M8">
        <v>23.5335335335335</v>
      </c>
      <c r="N8">
        <v>23.143143143143099</v>
      </c>
      <c r="O8">
        <v>22.752752752752698</v>
      </c>
      <c r="P8">
        <v>22.24224224224217</v>
      </c>
      <c r="Q8">
        <v>21.731731731731649</v>
      </c>
      <c r="R8">
        <v>20.199437532770808</v>
      </c>
    </row>
    <row r="9" spans="1:18" x14ac:dyDescent="0.25">
      <c r="A9">
        <v>35</v>
      </c>
      <c r="B9">
        <v>33.490156823490167</v>
      </c>
      <c r="C9">
        <v>32.502502502502502</v>
      </c>
      <c r="D9">
        <v>31.801801801801801</v>
      </c>
      <c r="E9">
        <v>31.101101101101101</v>
      </c>
      <c r="F9">
        <v>30.1001001001001</v>
      </c>
      <c r="G9">
        <v>29.099099099099099</v>
      </c>
      <c r="H9">
        <v>28.318318318318301</v>
      </c>
      <c r="I9">
        <v>27.537537537537499</v>
      </c>
      <c r="J9">
        <v>26.97697697697695</v>
      </c>
      <c r="K9">
        <v>26.4164164164164</v>
      </c>
      <c r="L9">
        <v>25.175175175175148</v>
      </c>
      <c r="M9">
        <v>23.933933933933901</v>
      </c>
      <c r="N9">
        <v>23.2332332332332</v>
      </c>
      <c r="O9">
        <v>22.5325325325325</v>
      </c>
      <c r="P9">
        <v>22.212212212212151</v>
      </c>
      <c r="Q9">
        <v>21.891891891891799</v>
      </c>
      <c r="R9">
        <v>20.426235759569028</v>
      </c>
    </row>
    <row r="10" spans="1:18" x14ac:dyDescent="0.25">
      <c r="A10">
        <v>40</v>
      </c>
      <c r="B10">
        <v>34.380380380380323</v>
      </c>
      <c r="C10">
        <v>33.4434434434434</v>
      </c>
      <c r="D10">
        <v>32.512512512512473</v>
      </c>
      <c r="E10">
        <v>31.581581581581549</v>
      </c>
      <c r="F10">
        <v>30.570570570570549</v>
      </c>
      <c r="G10">
        <v>29.559559559559549</v>
      </c>
      <c r="H10">
        <v>28.818818818818801</v>
      </c>
      <c r="I10">
        <v>28.07807807807805</v>
      </c>
      <c r="J10">
        <v>26.936936936936899</v>
      </c>
      <c r="K10">
        <v>25.795795795795751</v>
      </c>
      <c r="L10">
        <v>24.82482482482477</v>
      </c>
      <c r="M10">
        <v>23.853853853853799</v>
      </c>
      <c r="N10">
        <v>23.3433433433433</v>
      </c>
      <c r="O10">
        <v>22.8328328328328</v>
      </c>
      <c r="P10">
        <v>22.442442442442399</v>
      </c>
      <c r="Q10">
        <v>22.052052052052002</v>
      </c>
      <c r="R10">
        <v>20.246913580246861</v>
      </c>
    </row>
    <row r="11" spans="1:18" x14ac:dyDescent="0.25">
      <c r="A11">
        <v>45</v>
      </c>
      <c r="B11">
        <v>35.270603937270501</v>
      </c>
      <c r="C11">
        <v>34.384384384384298</v>
      </c>
      <c r="D11">
        <v>33.223223223223137</v>
      </c>
      <c r="E11">
        <v>32.062062062061997</v>
      </c>
      <c r="F11">
        <v>31.041041041041002</v>
      </c>
      <c r="G11">
        <v>30.020020020019999</v>
      </c>
      <c r="H11">
        <v>29.319319319319298</v>
      </c>
      <c r="I11">
        <v>28.618618618618601</v>
      </c>
      <c r="J11">
        <v>26.896896896896848</v>
      </c>
      <c r="K11">
        <v>25.175175175175099</v>
      </c>
      <c r="L11">
        <v>24.474474474474398</v>
      </c>
      <c r="M11">
        <v>23.773773773773701</v>
      </c>
      <c r="N11">
        <v>23.453453453453399</v>
      </c>
      <c r="O11">
        <v>23.1331331331331</v>
      </c>
      <c r="P11">
        <v>22.67267267267265</v>
      </c>
      <c r="Q11">
        <v>22.212212212212201</v>
      </c>
      <c r="R11">
        <v>20.067591400924709</v>
      </c>
    </row>
    <row r="12" spans="1:18" x14ac:dyDescent="0.25">
      <c r="A12">
        <v>50</v>
      </c>
      <c r="B12">
        <v>34.554554554554457</v>
      </c>
      <c r="C12">
        <v>33.683683683683597</v>
      </c>
      <c r="D12">
        <v>32.832832832832771</v>
      </c>
      <c r="E12">
        <v>31.981981981981949</v>
      </c>
      <c r="F12">
        <v>31.081081081081049</v>
      </c>
      <c r="G12">
        <v>30.180180180180152</v>
      </c>
      <c r="H12">
        <v>29.399399399399378</v>
      </c>
      <c r="I12">
        <v>28.618618618618601</v>
      </c>
      <c r="J12">
        <v>27.247247247247198</v>
      </c>
      <c r="K12">
        <v>25.875875875875799</v>
      </c>
      <c r="L12">
        <v>25.135135135135069</v>
      </c>
      <c r="M12">
        <v>24.39439439439435</v>
      </c>
      <c r="N12">
        <v>23.5335335335335</v>
      </c>
      <c r="O12">
        <v>22.67267267267265</v>
      </c>
      <c r="P12">
        <v>22.442442442442431</v>
      </c>
      <c r="Q12">
        <v>22.212212212212201</v>
      </c>
      <c r="R12">
        <v>20.333476333476309</v>
      </c>
    </row>
    <row r="13" spans="1:18" x14ac:dyDescent="0.25">
      <c r="A13">
        <v>55</v>
      </c>
      <c r="B13">
        <v>33.838505171838442</v>
      </c>
      <c r="C13">
        <v>32.982982982982897</v>
      </c>
      <c r="D13">
        <v>32.442442442442399</v>
      </c>
      <c r="E13">
        <v>31.901901901901901</v>
      </c>
      <c r="F13">
        <v>31.121121121121099</v>
      </c>
      <c r="G13">
        <v>30.340340340340301</v>
      </c>
      <c r="H13">
        <v>29.479479479479451</v>
      </c>
      <c r="I13">
        <v>28.618618618618601</v>
      </c>
      <c r="J13">
        <v>27.597597597597549</v>
      </c>
      <c r="K13">
        <v>26.5765765765765</v>
      </c>
      <c r="L13">
        <v>25.795795795795751</v>
      </c>
      <c r="M13">
        <v>25.015015015014999</v>
      </c>
      <c r="N13">
        <v>23.613613613613602</v>
      </c>
      <c r="O13">
        <v>22.212212212212201</v>
      </c>
      <c r="P13">
        <v>22.212212212212201</v>
      </c>
      <c r="Q13">
        <v>22.212212212212201</v>
      </c>
      <c r="R13">
        <v>20.59936126602793</v>
      </c>
    </row>
    <row r="14" spans="1:18" x14ac:dyDescent="0.25">
      <c r="A14">
        <v>60</v>
      </c>
      <c r="B14">
        <v>36.147480814147443</v>
      </c>
      <c r="C14">
        <v>35.245245245245201</v>
      </c>
      <c r="D14">
        <v>33.8438438438438</v>
      </c>
      <c r="E14">
        <v>32.442442442442399</v>
      </c>
      <c r="F14">
        <v>31.151151151151101</v>
      </c>
      <c r="G14">
        <v>29.8598598598598</v>
      </c>
      <c r="H14">
        <v>29.669669669669631</v>
      </c>
      <c r="I14">
        <v>29.479479479479451</v>
      </c>
      <c r="J14">
        <v>28.108108108108048</v>
      </c>
      <c r="K14">
        <v>26.736736736736649</v>
      </c>
      <c r="L14">
        <v>25.60560560560555</v>
      </c>
      <c r="M14">
        <v>24.474474474474452</v>
      </c>
      <c r="N14">
        <v>23.573573573573551</v>
      </c>
      <c r="O14">
        <v>22.67267267267265</v>
      </c>
      <c r="P14">
        <v>22.56256256256253</v>
      </c>
      <c r="Q14">
        <v>22.452452452452398</v>
      </c>
      <c r="R14">
        <v>20.33214166547496</v>
      </c>
    </row>
    <row r="15" spans="1:18" x14ac:dyDescent="0.25">
      <c r="A15">
        <v>65</v>
      </c>
      <c r="B15">
        <v>38.456456456456444</v>
      </c>
      <c r="C15">
        <v>37.507507507507498</v>
      </c>
      <c r="D15">
        <v>35.245245245245201</v>
      </c>
      <c r="E15">
        <v>32.982982982982897</v>
      </c>
      <c r="F15">
        <v>31.181181181181099</v>
      </c>
      <c r="G15">
        <v>29.379379379379301</v>
      </c>
      <c r="H15">
        <v>29.8598598598598</v>
      </c>
      <c r="I15">
        <v>30.340340340340301</v>
      </c>
      <c r="J15">
        <v>28.618618618618552</v>
      </c>
      <c r="K15">
        <v>26.896896896896799</v>
      </c>
      <c r="L15">
        <v>25.41541541541535</v>
      </c>
      <c r="M15">
        <v>23.933933933933901</v>
      </c>
      <c r="N15">
        <v>23.5335335335335</v>
      </c>
      <c r="O15">
        <v>23.1331331331331</v>
      </c>
      <c r="P15">
        <v>22.912912912912851</v>
      </c>
      <c r="Q15">
        <v>22.692692692692599</v>
      </c>
      <c r="R15">
        <v>20.064922064922001</v>
      </c>
    </row>
    <row r="16" spans="1:18" x14ac:dyDescent="0.25">
      <c r="A16">
        <v>70</v>
      </c>
      <c r="B16">
        <v>40.609943276609911</v>
      </c>
      <c r="C16">
        <v>40.170170170170152</v>
      </c>
      <c r="D16">
        <v>36.496496496496448</v>
      </c>
      <c r="E16">
        <v>32.822822822822737</v>
      </c>
      <c r="F16">
        <v>31.5715715715715</v>
      </c>
      <c r="G16">
        <v>30.320320320320249</v>
      </c>
      <c r="H16">
        <v>30.05005005005</v>
      </c>
      <c r="I16">
        <v>29.779779779779751</v>
      </c>
      <c r="J16">
        <v>28.728728728728679</v>
      </c>
      <c r="K16">
        <v>27.6776776776776</v>
      </c>
      <c r="L16">
        <v>26.076076076076021</v>
      </c>
      <c r="M16">
        <v>24.474474474474452</v>
      </c>
      <c r="N16">
        <v>24.154154154154121</v>
      </c>
      <c r="O16">
        <v>23.8338338338338</v>
      </c>
      <c r="P16">
        <v>23.333333333333279</v>
      </c>
      <c r="Q16">
        <v>22.83283283283275</v>
      </c>
      <c r="R16">
        <v>20.177415510748801</v>
      </c>
    </row>
    <row r="17" spans="1:18" x14ac:dyDescent="0.25">
      <c r="A17">
        <v>75</v>
      </c>
      <c r="B17">
        <v>42.763430096763379</v>
      </c>
      <c r="C17">
        <v>42.8328328328328</v>
      </c>
      <c r="D17">
        <v>37.747747747747702</v>
      </c>
      <c r="E17">
        <v>32.662662662662598</v>
      </c>
      <c r="F17">
        <v>31.961961961961901</v>
      </c>
      <c r="G17">
        <v>31.2612612612612</v>
      </c>
      <c r="H17">
        <v>30.240240240240201</v>
      </c>
      <c r="I17">
        <v>29.219219219219202</v>
      </c>
      <c r="J17">
        <v>28.8388388388388</v>
      </c>
      <c r="K17">
        <v>28.458458458458399</v>
      </c>
      <c r="L17">
        <v>26.736736736736699</v>
      </c>
      <c r="M17">
        <v>25.015015015014999</v>
      </c>
      <c r="N17">
        <v>24.774774774774752</v>
      </c>
      <c r="O17">
        <v>24.534534534534501</v>
      </c>
      <c r="P17">
        <v>23.753753753753699</v>
      </c>
      <c r="Q17">
        <v>22.972972972972901</v>
      </c>
      <c r="R17">
        <v>20.289908956575591</v>
      </c>
    </row>
    <row r="18" spans="1:18" x14ac:dyDescent="0.25">
      <c r="A18">
        <v>80</v>
      </c>
      <c r="B18">
        <v>43.113113113113087</v>
      </c>
      <c r="C18">
        <v>41.731731731731699</v>
      </c>
      <c r="D18">
        <v>38.68868868868865</v>
      </c>
      <c r="E18">
        <v>35.645645645645601</v>
      </c>
      <c r="F18">
        <v>33.653653653653599</v>
      </c>
      <c r="G18">
        <v>31.661661661661601</v>
      </c>
      <c r="H18">
        <v>30.870870870870821</v>
      </c>
      <c r="I18">
        <v>30.080080080080052</v>
      </c>
      <c r="J18">
        <v>29.389389389389351</v>
      </c>
      <c r="K18">
        <v>28.698698698698649</v>
      </c>
      <c r="L18">
        <v>27.40740740740738</v>
      </c>
      <c r="M18">
        <v>26.1161161161161</v>
      </c>
      <c r="N18">
        <v>25.915915915915871</v>
      </c>
      <c r="O18">
        <v>25.71571571571565</v>
      </c>
      <c r="P18">
        <v>24.58458458458453</v>
      </c>
      <c r="Q18">
        <v>23.453453453453399</v>
      </c>
      <c r="R18">
        <v>21.151818485151772</v>
      </c>
    </row>
    <row r="19" spans="1:18" x14ac:dyDescent="0.25">
      <c r="A19">
        <v>85</v>
      </c>
      <c r="B19">
        <v>43.462796129462767</v>
      </c>
      <c r="C19">
        <v>40.630630630630598</v>
      </c>
      <c r="D19">
        <v>39.629629629629598</v>
      </c>
      <c r="E19">
        <v>38.628628628628597</v>
      </c>
      <c r="F19">
        <v>35.345345345345287</v>
      </c>
      <c r="G19">
        <v>32.062062062061997</v>
      </c>
      <c r="H19">
        <v>31.501501501501451</v>
      </c>
      <c r="I19">
        <v>30.940940940940902</v>
      </c>
      <c r="J19">
        <v>29.939939939939901</v>
      </c>
      <c r="K19">
        <v>28.9389389389389</v>
      </c>
      <c r="L19">
        <v>28.07807807807805</v>
      </c>
      <c r="M19">
        <v>27.2172172172172</v>
      </c>
      <c r="N19">
        <v>27.057057057057001</v>
      </c>
      <c r="O19">
        <v>26.896896896896799</v>
      </c>
      <c r="P19">
        <v>25.41541541541535</v>
      </c>
      <c r="Q19">
        <v>23.933933933933901</v>
      </c>
      <c r="R19">
        <v>22.013728013727949</v>
      </c>
    </row>
    <row r="20" spans="1:18" x14ac:dyDescent="0.25">
      <c r="A20">
        <v>90</v>
      </c>
      <c r="B20">
        <v>47.534200867534139</v>
      </c>
      <c r="C20">
        <v>45.2552552552552</v>
      </c>
      <c r="D20">
        <v>42.132132132132071</v>
      </c>
      <c r="E20">
        <v>39.009009009008949</v>
      </c>
      <c r="F20">
        <v>36.036036036035973</v>
      </c>
      <c r="G20">
        <v>33.063063063062998</v>
      </c>
      <c r="H20">
        <v>32.082082082082017</v>
      </c>
      <c r="I20">
        <v>31.101101101101051</v>
      </c>
      <c r="J20">
        <v>30.370370370370321</v>
      </c>
      <c r="K20">
        <v>29.639639639639601</v>
      </c>
      <c r="L20">
        <v>28.96896896896892</v>
      </c>
      <c r="M20">
        <v>28.298298298298249</v>
      </c>
      <c r="N20">
        <v>27.517517517517451</v>
      </c>
      <c r="O20">
        <v>26.736736736736649</v>
      </c>
      <c r="P20">
        <v>25.955955955955901</v>
      </c>
      <c r="Q20">
        <v>25.175175175175148</v>
      </c>
      <c r="R20">
        <v>21.94556461223123</v>
      </c>
    </row>
    <row r="21" spans="1:18" x14ac:dyDescent="0.25">
      <c r="A21">
        <v>95</v>
      </c>
      <c r="B21">
        <v>51.605605605605497</v>
      </c>
      <c r="C21">
        <v>49.879879879879802</v>
      </c>
      <c r="D21">
        <v>44.634634634634551</v>
      </c>
      <c r="E21">
        <v>39.389389389389301</v>
      </c>
      <c r="F21">
        <v>36.726726726726653</v>
      </c>
      <c r="G21">
        <v>34.064064064063999</v>
      </c>
      <c r="H21">
        <v>32.662662662662598</v>
      </c>
      <c r="I21">
        <v>31.2612612612612</v>
      </c>
      <c r="J21">
        <v>30.800800800800751</v>
      </c>
      <c r="K21">
        <v>30.340340340340301</v>
      </c>
      <c r="L21">
        <v>29.8598598598598</v>
      </c>
      <c r="M21">
        <v>29.379379379379301</v>
      </c>
      <c r="N21">
        <v>27.977977977977901</v>
      </c>
      <c r="O21">
        <v>26.5765765765765</v>
      </c>
      <c r="P21">
        <v>26.496496496496452</v>
      </c>
      <c r="Q21">
        <v>26.4164164164164</v>
      </c>
      <c r="R21">
        <v>21.877401210734501</v>
      </c>
    </row>
    <row r="22" spans="1:18" x14ac:dyDescent="0.25">
      <c r="A22">
        <v>100</v>
      </c>
      <c r="B22">
        <v>46.658284015009087</v>
      </c>
      <c r="C22">
        <v>44.999560964473183</v>
      </c>
      <c r="D22">
        <v>41.367332244525159</v>
      </c>
      <c r="E22">
        <v>37.735103524577148</v>
      </c>
      <c r="F22">
        <v>35.164813936743698</v>
      </c>
      <c r="G22">
        <v>32.594524348910262</v>
      </c>
      <c r="H22">
        <v>32.121770893700663</v>
      </c>
      <c r="I22">
        <v>31.649017438491079</v>
      </c>
      <c r="J22">
        <v>30.526315789473639</v>
      </c>
      <c r="K22">
        <v>29.40361414045617</v>
      </c>
      <c r="L22">
        <v>28.33219184096372</v>
      </c>
      <c r="M22">
        <v>27.260769541471259</v>
      </c>
      <c r="N22">
        <v>26.48631087227573</v>
      </c>
      <c r="O22">
        <v>25.711852203080209</v>
      </c>
      <c r="P22">
        <v>25.054352598212191</v>
      </c>
      <c r="Q22">
        <v>24.396852993344169</v>
      </c>
      <c r="R22">
        <v>21.155922840133311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E786C-804B-49D4-95FE-C13433EC6608}">
  <dimension ref="A1:R22"/>
  <sheetViews>
    <sheetView workbookViewId="0">
      <selection activeCell="H6" sqref="H6"/>
    </sheetView>
  </sheetViews>
  <sheetFormatPr defaultRowHeight="15" x14ac:dyDescent="0.25"/>
  <sheetData>
    <row r="1" spans="1:18" x14ac:dyDescent="0.25">
      <c r="B1">
        <v>0</v>
      </c>
      <c r="C1">
        <v>2.5</v>
      </c>
      <c r="D1">
        <v>5</v>
      </c>
      <c r="E1">
        <v>7.5</v>
      </c>
      <c r="F1">
        <v>10</v>
      </c>
      <c r="G1">
        <v>12.5</v>
      </c>
      <c r="H1">
        <v>15</v>
      </c>
      <c r="I1">
        <v>17.5</v>
      </c>
      <c r="J1">
        <v>20</v>
      </c>
      <c r="K1">
        <v>22.5</v>
      </c>
      <c r="L1">
        <v>25</v>
      </c>
      <c r="M1">
        <v>27.5</v>
      </c>
      <c r="N1">
        <v>30</v>
      </c>
      <c r="O1">
        <v>32.5</v>
      </c>
      <c r="P1">
        <v>35</v>
      </c>
      <c r="Q1">
        <v>37.5</v>
      </c>
      <c r="R1">
        <v>40</v>
      </c>
    </row>
    <row r="2" spans="1:18" x14ac:dyDescent="0.25">
      <c r="A2">
        <v>0</v>
      </c>
      <c r="B2">
        <v>6.7991541551655654</v>
      </c>
      <c r="C2">
        <v>6.7571619229923741</v>
      </c>
      <c r="D2">
        <v>6.7413631225864385</v>
      </c>
      <c r="E2">
        <v>6.7255643221805039</v>
      </c>
      <c r="F2">
        <v>6.754224005649335</v>
      </c>
      <c r="G2">
        <v>6.782883689118167</v>
      </c>
      <c r="H2">
        <v>6.5729125353360676</v>
      </c>
      <c r="I2">
        <v>6.3629413815539708</v>
      </c>
      <c r="J2">
        <v>6.2457544540647909</v>
      </c>
      <c r="K2">
        <v>6.1285675265756083</v>
      </c>
      <c r="L2">
        <v>5.9738472060916861</v>
      </c>
      <c r="M2">
        <v>5.819126885607762</v>
      </c>
      <c r="N2">
        <v>5.7732594005582758</v>
      </c>
      <c r="O2">
        <v>5.7273919155087887</v>
      </c>
      <c r="P2">
        <v>5.6647962888530161</v>
      </c>
      <c r="Q2">
        <v>5.6022006621972418</v>
      </c>
      <c r="R2">
        <v>5.4483437296671955</v>
      </c>
    </row>
    <row r="3" spans="1:18" x14ac:dyDescent="0.25">
      <c r="A3">
        <v>5</v>
      </c>
      <c r="B3">
        <v>7.7462807476477851</v>
      </c>
      <c r="C3">
        <v>7.4911016412809683</v>
      </c>
      <c r="D3">
        <v>7.3578161259018664</v>
      </c>
      <c r="E3">
        <v>7.2245306105227645</v>
      </c>
      <c r="F3">
        <v>7.0228935487954169</v>
      </c>
      <c r="G3">
        <v>6.8212564870680676</v>
      </c>
      <c r="H3">
        <v>6.5000042192312648</v>
      </c>
      <c r="I3">
        <v>6.1787519513944611</v>
      </c>
      <c r="J3">
        <v>6.2744441162820159</v>
      </c>
      <c r="K3">
        <v>6.3701362811695725</v>
      </c>
      <c r="L3">
        <v>6.1958398379815245</v>
      </c>
      <c r="M3">
        <v>6.0215433947934764</v>
      </c>
      <c r="N3">
        <v>6.0488840133327768</v>
      </c>
      <c r="O3">
        <v>6.0762246318720772</v>
      </c>
      <c r="P3">
        <v>6.0078730855238218</v>
      </c>
      <c r="Q3">
        <v>5.9395215391755665</v>
      </c>
      <c r="R3">
        <v>5.604501317002903</v>
      </c>
    </row>
    <row r="4" spans="1:18" x14ac:dyDescent="0.25">
      <c r="A4">
        <v>10</v>
      </c>
      <c r="B4">
        <v>7.5805282477532696</v>
      </c>
      <c r="C4">
        <v>7.4637610227416671</v>
      </c>
      <c r="D4">
        <v>7.2706679043078424</v>
      </c>
      <c r="E4">
        <v>7.0775747858740177</v>
      </c>
      <c r="F4">
        <v>6.9955529302561121</v>
      </c>
      <c r="G4">
        <v>6.9135310746382057</v>
      </c>
      <c r="H4">
        <v>6.6606303531496609</v>
      </c>
      <c r="I4">
        <v>6.4077296316611179</v>
      </c>
      <c r="J4">
        <v>6.4213999409307689</v>
      </c>
      <c r="K4">
        <v>6.4350702502004182</v>
      </c>
      <c r="L4">
        <v>6.2556474410362481</v>
      </c>
      <c r="M4">
        <v>6.0762246318720772</v>
      </c>
      <c r="N4">
        <v>6.0283785494283002</v>
      </c>
      <c r="O4">
        <v>5.9805324669845215</v>
      </c>
      <c r="P4">
        <v>5.9002194000253194</v>
      </c>
      <c r="Q4">
        <v>5.81990633306612</v>
      </c>
      <c r="R4">
        <v>5.5886990904542957</v>
      </c>
    </row>
    <row r="5" spans="1:18" x14ac:dyDescent="0.25">
      <c r="A5">
        <v>15</v>
      </c>
      <c r="B5">
        <v>7.4147757478587533</v>
      </c>
      <c r="C5">
        <v>7.4364204042023676</v>
      </c>
      <c r="D5">
        <v>7.1835196827138184</v>
      </c>
      <c r="E5">
        <v>6.93061896122527</v>
      </c>
      <c r="F5">
        <v>6.9682123117168064</v>
      </c>
      <c r="G5">
        <v>7.0058056622083447</v>
      </c>
      <c r="H5">
        <v>6.8212564870680596</v>
      </c>
      <c r="I5">
        <v>6.6367073119277755</v>
      </c>
      <c r="J5">
        <v>6.5683557655795202</v>
      </c>
      <c r="K5">
        <v>6.5000042192312648</v>
      </c>
      <c r="L5">
        <v>6.3154550440909718</v>
      </c>
      <c r="M5">
        <v>6.1309058689506779</v>
      </c>
      <c r="N5">
        <v>6.0078730855238218</v>
      </c>
      <c r="O5">
        <v>5.8848403020969657</v>
      </c>
      <c r="P5">
        <v>5.7925657145268197</v>
      </c>
      <c r="Q5">
        <v>5.7002911269566727</v>
      </c>
      <c r="R5">
        <v>5.5728968639056866</v>
      </c>
    </row>
    <row r="6" spans="1:18" x14ac:dyDescent="0.25">
      <c r="A6">
        <v>20</v>
      </c>
      <c r="B6">
        <v>7.4663811653516792</v>
      </c>
      <c r="C6">
        <v>7.4500907134720133</v>
      </c>
      <c r="D6">
        <v>7.2433272857685367</v>
      </c>
      <c r="E6">
        <v>7.0365638580650627</v>
      </c>
      <c r="F6">
        <v>7.0416902240411794</v>
      </c>
      <c r="G6">
        <v>7.0468165900172988</v>
      </c>
      <c r="H6">
        <v>6.8605586262183067</v>
      </c>
      <c r="I6">
        <v>6.674300662419312</v>
      </c>
      <c r="J6">
        <v>6.4812075439854926</v>
      </c>
      <c r="K6">
        <v>6.2881144255516705</v>
      </c>
      <c r="L6">
        <v>6.1616640648073968</v>
      </c>
      <c r="M6">
        <v>6.0352137040631222</v>
      </c>
      <c r="N6">
        <v>5.9668621577148668</v>
      </c>
      <c r="O6">
        <v>5.8985106113666115</v>
      </c>
      <c r="P6">
        <v>5.7925657145268152</v>
      </c>
      <c r="Q6">
        <v>5.6866208176870181</v>
      </c>
      <c r="R6">
        <v>5.4864484319528453</v>
      </c>
    </row>
    <row r="7" spans="1:18" x14ac:dyDescent="0.25">
      <c r="A7">
        <v>25</v>
      </c>
      <c r="B7">
        <v>7.5179865828446042</v>
      </c>
      <c r="C7">
        <v>7.4637610227416582</v>
      </c>
      <c r="D7">
        <v>7.3031348888232568</v>
      </c>
      <c r="E7">
        <v>7.1425087549048545</v>
      </c>
      <c r="F7">
        <v>7.1151681363655541</v>
      </c>
      <c r="G7">
        <v>7.0878275178262538</v>
      </c>
      <c r="H7">
        <v>6.8998607653685511</v>
      </c>
      <c r="I7">
        <v>6.7118940129108493</v>
      </c>
      <c r="J7">
        <v>6.3940593223914632</v>
      </c>
      <c r="K7">
        <v>6.0762246318720772</v>
      </c>
      <c r="L7">
        <v>6.0078730855238218</v>
      </c>
      <c r="M7">
        <v>5.9395215391755665</v>
      </c>
      <c r="N7">
        <v>5.9258512299059118</v>
      </c>
      <c r="O7">
        <v>5.9121809206362581</v>
      </c>
      <c r="P7">
        <v>5.7925657145268108</v>
      </c>
      <c r="Q7">
        <v>5.6729505084173635</v>
      </c>
      <c r="R7">
        <v>5.4</v>
      </c>
    </row>
    <row r="8" spans="1:18" x14ac:dyDescent="0.25">
      <c r="A8">
        <v>30</v>
      </c>
      <c r="B8">
        <v>7.6127673937808602</v>
      </c>
      <c r="C8">
        <v>7.5013543732332053</v>
      </c>
      <c r="D8">
        <v>7.3612337032192805</v>
      </c>
      <c r="E8">
        <v>7.2211130332053557</v>
      </c>
      <c r="F8">
        <v>7.1220032910003859</v>
      </c>
      <c r="G8">
        <v>7.0228935487954169</v>
      </c>
      <c r="H8">
        <v>6.8622674148770146</v>
      </c>
      <c r="I8">
        <v>6.7016412809586123</v>
      </c>
      <c r="J8">
        <v>6.4948778532551419</v>
      </c>
      <c r="K8">
        <v>6.2881144255516705</v>
      </c>
      <c r="L8">
        <v>6.1479937555377457</v>
      </c>
      <c r="M8">
        <v>6.0078730855238218</v>
      </c>
      <c r="N8">
        <v>5.9412303278342709</v>
      </c>
      <c r="O8">
        <v>5.8745875701447208</v>
      </c>
      <c r="P8">
        <v>5.7874393485506914</v>
      </c>
      <c r="Q8">
        <v>5.7002911269566638</v>
      </c>
      <c r="R8">
        <v>5.4387162687529749</v>
      </c>
    </row>
    <row r="9" spans="1:18" x14ac:dyDescent="0.25">
      <c r="A9">
        <v>35</v>
      </c>
      <c r="B9">
        <v>7.7075482047171153</v>
      </c>
      <c r="C9">
        <v>7.5389477237247497</v>
      </c>
      <c r="D9">
        <v>7.4193325176153033</v>
      </c>
      <c r="E9">
        <v>7.299717311505856</v>
      </c>
      <c r="F9">
        <v>7.1288384456352176</v>
      </c>
      <c r="G9">
        <v>6.9579595797645792</v>
      </c>
      <c r="H9">
        <v>6.8246740643854773</v>
      </c>
      <c r="I9">
        <v>6.6913885490063763</v>
      </c>
      <c r="J9">
        <v>6.5956963841188205</v>
      </c>
      <c r="K9">
        <v>6.5000042192312648</v>
      </c>
      <c r="L9">
        <v>6.2881144255516705</v>
      </c>
      <c r="M9">
        <v>6.0762246318720772</v>
      </c>
      <c r="N9">
        <v>5.9566094257626307</v>
      </c>
      <c r="O9">
        <v>5.8369942196531834</v>
      </c>
      <c r="P9">
        <v>5.7823129825745738</v>
      </c>
      <c r="Q9">
        <v>5.7276317454959642</v>
      </c>
      <c r="R9">
        <v>5.4774325375059503</v>
      </c>
    </row>
    <row r="10" spans="1:18" x14ac:dyDescent="0.25">
      <c r="A10">
        <v>40</v>
      </c>
      <c r="B10">
        <v>7.8595164760980589</v>
      </c>
      <c r="C10">
        <v>7.6995738576431432</v>
      </c>
      <c r="D10">
        <v>7.5406565123834497</v>
      </c>
      <c r="E10">
        <v>7.3817391671237571</v>
      </c>
      <c r="F10">
        <v>7.2091515125944143</v>
      </c>
      <c r="G10">
        <v>7.0365638580650707</v>
      </c>
      <c r="H10">
        <v>6.9101134973207969</v>
      </c>
      <c r="I10">
        <v>6.7836631365765232</v>
      </c>
      <c r="J10">
        <v>6.5888612294839923</v>
      </c>
      <c r="K10">
        <v>6.3940593223914632</v>
      </c>
      <c r="L10">
        <v>6.2283068224969425</v>
      </c>
      <c r="M10">
        <v>6.0625543226024226</v>
      </c>
      <c r="N10">
        <v>5.9754061010083985</v>
      </c>
      <c r="O10">
        <v>5.8882578794143754</v>
      </c>
      <c r="P10">
        <v>5.8216151217248244</v>
      </c>
      <c r="Q10">
        <v>5.7549723640352735</v>
      </c>
      <c r="R10">
        <v>5.4468208092485551</v>
      </c>
    </row>
    <row r="11" spans="1:18" x14ac:dyDescent="0.25">
      <c r="A11">
        <v>45</v>
      </c>
      <c r="B11">
        <v>8.0114847474790061</v>
      </c>
      <c r="C11">
        <v>7.8601999915615366</v>
      </c>
      <c r="D11">
        <v>7.6619805071515952</v>
      </c>
      <c r="E11">
        <v>7.4637610227416582</v>
      </c>
      <c r="F11">
        <v>7.289464579553611</v>
      </c>
      <c r="G11">
        <v>7.115168136365563</v>
      </c>
      <c r="H11">
        <v>6.9955529302561157</v>
      </c>
      <c r="I11">
        <v>6.8759377241466693</v>
      </c>
      <c r="J11">
        <v>6.5820260748491659</v>
      </c>
      <c r="K11">
        <v>6.2881144255516617</v>
      </c>
      <c r="L11">
        <v>6.1684992194422152</v>
      </c>
      <c r="M11">
        <v>6.0488840133327688</v>
      </c>
      <c r="N11">
        <v>5.9942027762541672</v>
      </c>
      <c r="O11">
        <v>5.9395215391755665</v>
      </c>
      <c r="P11">
        <v>5.860917260875075</v>
      </c>
      <c r="Q11">
        <v>5.7823129825745827</v>
      </c>
      <c r="R11">
        <v>5.4162090809911625</v>
      </c>
    </row>
    <row r="12" spans="1:18" x14ac:dyDescent="0.25">
      <c r="A12">
        <v>50</v>
      </c>
      <c r="B12">
        <v>7.8892493987595431</v>
      </c>
      <c r="C12">
        <v>7.7405847854520893</v>
      </c>
      <c r="D12">
        <v>7.5953377494620504</v>
      </c>
      <c r="E12">
        <v>7.4500907134720133</v>
      </c>
      <c r="F12">
        <v>7.2962997341884375</v>
      </c>
      <c r="G12">
        <v>7.1425087549048634</v>
      </c>
      <c r="H12">
        <v>7.0092232395257668</v>
      </c>
      <c r="I12">
        <v>6.8759377241466693</v>
      </c>
      <c r="J12">
        <v>6.6418336779038887</v>
      </c>
      <c r="K12">
        <v>6.407729631661109</v>
      </c>
      <c r="L12">
        <v>6.2812792709168388</v>
      </c>
      <c r="M12">
        <v>6.1548289101725695</v>
      </c>
      <c r="N12">
        <v>6.0078730855238218</v>
      </c>
      <c r="O12">
        <v>5.860917260875075</v>
      </c>
      <c r="P12">
        <v>5.8216151217248298</v>
      </c>
      <c r="Q12">
        <v>5.7823129825745827</v>
      </c>
      <c r="R12">
        <v>5.4615977626019445</v>
      </c>
    </row>
    <row r="13" spans="1:18" x14ac:dyDescent="0.25">
      <c r="A13">
        <v>55</v>
      </c>
      <c r="B13">
        <v>7.7670140500400855</v>
      </c>
      <c r="C13">
        <v>7.620969579342642</v>
      </c>
      <c r="D13">
        <v>7.5286949917725048</v>
      </c>
      <c r="E13">
        <v>7.4364204042023676</v>
      </c>
      <c r="F13">
        <v>7.3031348888232657</v>
      </c>
      <c r="G13">
        <v>7.1698493734441637</v>
      </c>
      <c r="H13">
        <v>7.0228935487954169</v>
      </c>
      <c r="I13">
        <v>6.8759377241466693</v>
      </c>
      <c r="J13">
        <v>6.7016412809586123</v>
      </c>
      <c r="K13">
        <v>6.5273448377705563</v>
      </c>
      <c r="L13">
        <v>6.3940593223914632</v>
      </c>
      <c r="M13">
        <v>6.2607738070123702</v>
      </c>
      <c r="N13">
        <v>6.0215433947934764</v>
      </c>
      <c r="O13">
        <v>5.7823129825745827</v>
      </c>
      <c r="P13">
        <v>5.7823129825745827</v>
      </c>
      <c r="Q13">
        <v>5.7823129825745827</v>
      </c>
      <c r="R13">
        <v>5.5069864442127301</v>
      </c>
    </row>
    <row r="14" spans="1:18" x14ac:dyDescent="0.25">
      <c r="A14">
        <v>60</v>
      </c>
      <c r="B14">
        <v>8.1611746339816964</v>
      </c>
      <c r="C14">
        <v>8.0071558162102932</v>
      </c>
      <c r="D14">
        <v>7.7679254039913985</v>
      </c>
      <c r="E14">
        <v>7.5286949917725048</v>
      </c>
      <c r="F14">
        <v>7.3082612547993797</v>
      </c>
      <c r="G14">
        <v>7.0878275178262538</v>
      </c>
      <c r="H14">
        <v>7.0553605333108358</v>
      </c>
      <c r="I14">
        <v>7.0228935487954169</v>
      </c>
      <c r="J14">
        <v>6.7887895025526364</v>
      </c>
      <c r="K14">
        <v>6.5546854563098567</v>
      </c>
      <c r="L14">
        <v>6.3615923378760399</v>
      </c>
      <c r="M14">
        <v>6.1684992194422241</v>
      </c>
      <c r="N14">
        <v>6.0147082401586491</v>
      </c>
      <c r="O14">
        <v>5.860917260875075</v>
      </c>
      <c r="P14">
        <v>5.8421205856293028</v>
      </c>
      <c r="Q14">
        <v>5.8233239103835288</v>
      </c>
      <c r="R14">
        <v>5.4613699241141145</v>
      </c>
    </row>
    <row r="15" spans="1:18" x14ac:dyDescent="0.25">
      <c r="A15">
        <v>65</v>
      </c>
      <c r="B15">
        <v>8.5553352179233073</v>
      </c>
      <c r="C15">
        <v>8.3933420530779426</v>
      </c>
      <c r="D15">
        <v>8.0071558162102932</v>
      </c>
      <c r="E15">
        <v>7.620969579342642</v>
      </c>
      <c r="F15">
        <v>7.3133876207754938</v>
      </c>
      <c r="G15">
        <v>7.0058056622083447</v>
      </c>
      <c r="H15">
        <v>7.0878275178262538</v>
      </c>
      <c r="I15">
        <v>7.1698493734441637</v>
      </c>
      <c r="J15">
        <v>6.8759377241466613</v>
      </c>
      <c r="K15">
        <v>6.582026074849157</v>
      </c>
      <c r="L15">
        <v>6.3291253533606175</v>
      </c>
      <c r="M15">
        <v>6.0762246318720772</v>
      </c>
      <c r="N15">
        <v>6.0078730855238218</v>
      </c>
      <c r="O15">
        <v>5.9395215391755665</v>
      </c>
      <c r="P15">
        <v>5.9019281886840211</v>
      </c>
      <c r="Q15">
        <v>5.8643348381924749</v>
      </c>
      <c r="R15">
        <v>5.4157534040155006</v>
      </c>
    </row>
    <row r="16" spans="1:18" x14ac:dyDescent="0.25">
      <c r="A16">
        <v>70</v>
      </c>
      <c r="B16">
        <v>8.9229526180330048</v>
      </c>
      <c r="C16">
        <v>8.8478798362938402</v>
      </c>
      <c r="D16">
        <v>8.2207543985485909</v>
      </c>
      <c r="E16">
        <v>7.5936289608033398</v>
      </c>
      <c r="F16">
        <v>7.3800303784650438</v>
      </c>
      <c r="G16">
        <v>7.1664317961267461</v>
      </c>
      <c r="H16">
        <v>7.120294502341677</v>
      </c>
      <c r="I16">
        <v>7.074157208556608</v>
      </c>
      <c r="J16">
        <v>6.8947343993924335</v>
      </c>
      <c r="K16">
        <v>6.715311590228259</v>
      </c>
      <c r="L16">
        <v>6.4419054048352402</v>
      </c>
      <c r="M16">
        <v>6.1684992194422241</v>
      </c>
      <c r="N16">
        <v>6.1138179823636181</v>
      </c>
      <c r="O16">
        <v>6.0591367452850138</v>
      </c>
      <c r="P16">
        <v>5.9736973123496906</v>
      </c>
      <c r="Q16">
        <v>5.8882578794143665</v>
      </c>
      <c r="R16">
        <v>5.4349569337038242</v>
      </c>
    </row>
    <row r="17" spans="1:18" x14ac:dyDescent="0.25">
      <c r="A17">
        <v>75</v>
      </c>
      <c r="B17">
        <v>9.2905700181427022</v>
      </c>
      <c r="C17">
        <v>9.3024176195097361</v>
      </c>
      <c r="D17">
        <v>8.4343529808868887</v>
      </c>
      <c r="E17">
        <v>7.5662883422640412</v>
      </c>
      <c r="F17">
        <v>7.4466731361545948</v>
      </c>
      <c r="G17">
        <v>7.3270579300451484</v>
      </c>
      <c r="H17">
        <v>7.1527614868571003</v>
      </c>
      <c r="I17">
        <v>6.9784650436690523</v>
      </c>
      <c r="J17">
        <v>6.9135310746382057</v>
      </c>
      <c r="K17">
        <v>6.84859710560736</v>
      </c>
      <c r="L17">
        <v>6.5546854563098655</v>
      </c>
      <c r="M17">
        <v>6.2607738070123702</v>
      </c>
      <c r="N17">
        <v>6.2197628792034161</v>
      </c>
      <c r="O17">
        <v>6.1787519513944611</v>
      </c>
      <c r="P17">
        <v>6.0454664360153592</v>
      </c>
      <c r="Q17">
        <v>5.9121809206362581</v>
      </c>
      <c r="R17">
        <v>5.454160463392145</v>
      </c>
    </row>
    <row r="18" spans="1:18" x14ac:dyDescent="0.25">
      <c r="A18">
        <v>80</v>
      </c>
      <c r="B18">
        <v>9.3502637019535157</v>
      </c>
      <c r="C18">
        <v>9.1144508670520334</v>
      </c>
      <c r="D18">
        <v>8.594979114805291</v>
      </c>
      <c r="E18">
        <v>8.0755073625585485</v>
      </c>
      <c r="F18">
        <v>7.7354584194759752</v>
      </c>
      <c r="G18">
        <v>7.3954094763934037</v>
      </c>
      <c r="H18">
        <v>7.260415172355601</v>
      </c>
      <c r="I18">
        <v>7.1254208683178</v>
      </c>
      <c r="J18">
        <v>7.0075144508670579</v>
      </c>
      <c r="K18">
        <v>6.889608033416315</v>
      </c>
      <c r="L18">
        <v>6.6691742964431953</v>
      </c>
      <c r="M18">
        <v>6.4487405594700729</v>
      </c>
      <c r="N18">
        <v>6.4145647862959407</v>
      </c>
      <c r="O18">
        <v>6.3803890131218086</v>
      </c>
      <c r="P18">
        <v>6.1872958946879892</v>
      </c>
      <c r="Q18">
        <v>5.9942027762541672</v>
      </c>
      <c r="R18">
        <v>5.601295303995613</v>
      </c>
    </row>
    <row r="19" spans="1:18" x14ac:dyDescent="0.25">
      <c r="A19">
        <v>85</v>
      </c>
      <c r="B19">
        <v>9.4099573857643257</v>
      </c>
      <c r="C19">
        <v>8.9264841145943308</v>
      </c>
      <c r="D19">
        <v>8.7556052487236933</v>
      </c>
      <c r="E19">
        <v>8.584726382853054</v>
      </c>
      <c r="F19">
        <v>8.0242437027973548</v>
      </c>
      <c r="G19">
        <v>7.4637610227416582</v>
      </c>
      <c r="H19">
        <v>7.3680688578541034</v>
      </c>
      <c r="I19">
        <v>7.2723766929665477</v>
      </c>
      <c r="J19">
        <v>7.1014978270959084</v>
      </c>
      <c r="K19">
        <v>6.93061896122527</v>
      </c>
      <c r="L19">
        <v>6.7836631365765232</v>
      </c>
      <c r="M19">
        <v>6.6367073119277755</v>
      </c>
      <c r="N19">
        <v>6.6093666933884663</v>
      </c>
      <c r="O19">
        <v>6.582026074849157</v>
      </c>
      <c r="P19">
        <v>6.3291253533606175</v>
      </c>
      <c r="Q19">
        <v>6.0762246318720772</v>
      </c>
      <c r="R19">
        <v>5.7484301445990811</v>
      </c>
    </row>
    <row r="20" spans="1:18" x14ac:dyDescent="0.25">
      <c r="A20">
        <v>90</v>
      </c>
      <c r="B20">
        <v>10.104978692882163</v>
      </c>
      <c r="C20">
        <v>9.7159444749166788</v>
      </c>
      <c r="D20">
        <v>9.1828024134002852</v>
      </c>
      <c r="E20">
        <v>8.6496603518838917</v>
      </c>
      <c r="F20">
        <v>8.1421501202480933</v>
      </c>
      <c r="G20">
        <v>7.6346398886122966</v>
      </c>
      <c r="H20">
        <v>7.4671786000590714</v>
      </c>
      <c r="I20">
        <v>7.299717311505848</v>
      </c>
      <c r="J20">
        <v>7.1749757394202813</v>
      </c>
      <c r="K20">
        <v>7.0502341673347173</v>
      </c>
      <c r="L20">
        <v>6.9357453272013876</v>
      </c>
      <c r="M20">
        <v>6.8212564870680596</v>
      </c>
      <c r="N20">
        <v>6.6879709716889586</v>
      </c>
      <c r="O20">
        <v>6.5546854563098567</v>
      </c>
      <c r="P20">
        <v>6.4213999409307636</v>
      </c>
      <c r="Q20">
        <v>6.2881144255516705</v>
      </c>
      <c r="R20">
        <v>5.7367941075421784</v>
      </c>
    </row>
    <row r="21" spans="1:18" x14ac:dyDescent="0.25">
      <c r="A21">
        <v>95</v>
      </c>
      <c r="B21">
        <v>10.8</v>
      </c>
      <c r="C21">
        <v>10.505404835239025</v>
      </c>
      <c r="D21">
        <v>9.6099995780768772</v>
      </c>
      <c r="E21">
        <v>8.7145943209147294</v>
      </c>
      <c r="F21">
        <v>8.2600565376988335</v>
      </c>
      <c r="G21">
        <v>7.8055187544829359</v>
      </c>
      <c r="H21">
        <v>7.5662883422640412</v>
      </c>
      <c r="I21">
        <v>7.3270579300451484</v>
      </c>
      <c r="J21">
        <v>7.2484536517446561</v>
      </c>
      <c r="K21">
        <v>7.1698493734441637</v>
      </c>
      <c r="L21">
        <v>7.0878275178262538</v>
      </c>
      <c r="M21">
        <v>7.0058056622083447</v>
      </c>
      <c r="N21">
        <v>6.76657524998945</v>
      </c>
      <c r="O21">
        <v>6.5273448377705563</v>
      </c>
      <c r="P21">
        <v>6.5136745285009106</v>
      </c>
      <c r="Q21">
        <v>6.5000042192312648</v>
      </c>
      <c r="R21">
        <v>5.725158070485274</v>
      </c>
    </row>
    <row r="22" spans="1:18" x14ac:dyDescent="0.25">
      <c r="A22">
        <v>100</v>
      </c>
      <c r="B22">
        <v>9.9554526902040603</v>
      </c>
      <c r="C22">
        <v>9.6722954172486677</v>
      </c>
      <c r="D22">
        <v>9.0522449641254354</v>
      </c>
      <c r="E22">
        <v>8.432194511002205</v>
      </c>
      <c r="F22">
        <v>7.9934255494438418</v>
      </c>
      <c r="G22">
        <v>7.5546565878854803</v>
      </c>
      <c r="H22">
        <v>7.4739537971971011</v>
      </c>
      <c r="I22">
        <v>7.3932510065087245</v>
      </c>
      <c r="J22">
        <v>7.201596867998024</v>
      </c>
      <c r="K22">
        <v>7.0099427294873182</v>
      </c>
      <c r="L22">
        <v>6.8270423855089426</v>
      </c>
      <c r="M22">
        <v>6.6441420415305643</v>
      </c>
      <c r="N22">
        <v>6.5119357610938042</v>
      </c>
      <c r="O22">
        <v>6.379729480657045</v>
      </c>
      <c r="P22">
        <v>6.267489046653596</v>
      </c>
      <c r="Q22">
        <v>6.1552486126501451</v>
      </c>
      <c r="R22">
        <v>5.6019959501724648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6"/>
  <sheetViews>
    <sheetView topLeftCell="A22" workbookViewId="0">
      <selection activeCell="A2" sqref="A2:A41"/>
    </sheetView>
  </sheetViews>
  <sheetFormatPr defaultColWidth="23.140625" defaultRowHeight="15" x14ac:dyDescent="0.25"/>
  <sheetData>
    <row r="1" spans="1:3" x14ac:dyDescent="0.25">
      <c r="A1" t="s">
        <v>0</v>
      </c>
      <c r="B1" t="s">
        <v>41</v>
      </c>
      <c r="C1" t="s">
        <v>42</v>
      </c>
    </row>
    <row r="2" spans="1:3" x14ac:dyDescent="0.25">
      <c r="A2" s="1" t="s">
        <v>43</v>
      </c>
      <c r="B2">
        <v>25.978000000000002</v>
      </c>
      <c r="C2">
        <v>78.215000000000003</v>
      </c>
    </row>
    <row r="3" spans="1:3" x14ac:dyDescent="0.25">
      <c r="A3" s="1" t="s">
        <v>44</v>
      </c>
      <c r="B3">
        <v>14.048999999999999</v>
      </c>
      <c r="C3">
        <v>59.94</v>
      </c>
    </row>
    <row r="4" spans="1:3" x14ac:dyDescent="0.25">
      <c r="A4" s="1" t="s">
        <v>45</v>
      </c>
      <c r="B4">
        <v>14.377000000000001</v>
      </c>
      <c r="C4">
        <v>78.215000000000003</v>
      </c>
    </row>
    <row r="5" spans="1:3" x14ac:dyDescent="0.25">
      <c r="A5" s="1" t="s">
        <v>46</v>
      </c>
      <c r="B5">
        <v>24.207000000000001</v>
      </c>
      <c r="C5">
        <v>48.591999999999999</v>
      </c>
    </row>
    <row r="6" spans="1:3" x14ac:dyDescent="0.25">
      <c r="A6" s="1" t="s">
        <v>47</v>
      </c>
      <c r="B6">
        <v>26.579000000000001</v>
      </c>
      <c r="C6">
        <v>86.658000000000001</v>
      </c>
    </row>
    <row r="7" spans="1:3" x14ac:dyDescent="0.25">
      <c r="A7" s="1" t="s">
        <v>6</v>
      </c>
      <c r="B7">
        <v>17.62</v>
      </c>
      <c r="C7">
        <v>73.042000000000002</v>
      </c>
    </row>
    <row r="8" spans="1:3" x14ac:dyDescent="0.25">
      <c r="A8" s="1" t="s">
        <v>7</v>
      </c>
      <c r="B8">
        <v>13.755000000000001</v>
      </c>
      <c r="C8">
        <v>73.692999999999998</v>
      </c>
    </row>
    <row r="9" spans="1:3" x14ac:dyDescent="0.25">
      <c r="A9" s="1" t="s">
        <v>8</v>
      </c>
      <c r="B9">
        <v>11.824</v>
      </c>
      <c r="C9">
        <v>81.076999999999998</v>
      </c>
    </row>
    <row r="10" spans="1:3" x14ac:dyDescent="0.25">
      <c r="A10" s="1" t="s">
        <v>9</v>
      </c>
      <c r="B10">
        <v>22.067</v>
      </c>
      <c r="C10">
        <v>65.314999999999998</v>
      </c>
    </row>
    <row r="11" spans="1:3" x14ac:dyDescent="0.25">
      <c r="A11" s="1" t="s">
        <v>10</v>
      </c>
      <c r="B11">
        <v>8.6140000000000008</v>
      </c>
      <c r="C11">
        <v>74.891000000000005</v>
      </c>
    </row>
    <row r="12" spans="1:3" x14ac:dyDescent="0.25">
      <c r="A12" s="1" t="s">
        <v>11</v>
      </c>
      <c r="B12">
        <v>13.375</v>
      </c>
      <c r="C12">
        <v>55.444000000000003</v>
      </c>
    </row>
    <row r="13" spans="1:3" x14ac:dyDescent="0.25">
      <c r="A13" s="1" t="s">
        <v>12</v>
      </c>
      <c r="B13">
        <v>10.050000000000001</v>
      </c>
      <c r="C13">
        <v>81.597999999999999</v>
      </c>
    </row>
    <row r="14" spans="1:3" x14ac:dyDescent="0.25">
      <c r="A14" s="1" t="s">
        <v>13</v>
      </c>
      <c r="B14">
        <v>24.207000000000001</v>
      </c>
      <c r="C14">
        <v>48.591999999999999</v>
      </c>
    </row>
    <row r="15" spans="1:3" x14ac:dyDescent="0.25">
      <c r="A15" s="1" t="s">
        <v>14</v>
      </c>
      <c r="B15">
        <v>7.0309999999999997</v>
      </c>
      <c r="C15">
        <v>84.706999999999994</v>
      </c>
    </row>
    <row r="16" spans="1:3" x14ac:dyDescent="0.25">
      <c r="A16" s="1" t="s">
        <v>15</v>
      </c>
      <c r="B16">
        <v>12.446999999999999</v>
      </c>
      <c r="C16">
        <v>80.349000000000004</v>
      </c>
    </row>
    <row r="17" spans="1:3" x14ac:dyDescent="0.25">
      <c r="A17" s="1" t="s">
        <v>16</v>
      </c>
      <c r="B17">
        <v>11.872999999999999</v>
      </c>
      <c r="C17">
        <v>75.099999999999994</v>
      </c>
    </row>
    <row r="18" spans="1:3" x14ac:dyDescent="0.25">
      <c r="A18" s="1" t="s">
        <v>17</v>
      </c>
      <c r="B18">
        <v>3.9990000000000001</v>
      </c>
      <c r="C18">
        <v>79.843000000000004</v>
      </c>
    </row>
    <row r="19" spans="1:3" x14ac:dyDescent="0.25">
      <c r="A19" s="1" t="s">
        <v>18</v>
      </c>
      <c r="B19">
        <v>24.922000000000001</v>
      </c>
      <c r="C19">
        <v>60.936</v>
      </c>
    </row>
    <row r="20" spans="1:3" x14ac:dyDescent="0.25">
      <c r="A20" s="1" t="s">
        <v>19</v>
      </c>
      <c r="B20">
        <v>27.358000000000001</v>
      </c>
      <c r="C20">
        <v>80.641999999999996</v>
      </c>
    </row>
    <row r="21" spans="1:3" x14ac:dyDescent="0.25">
      <c r="A21" s="1" t="s">
        <v>20</v>
      </c>
      <c r="B21">
        <v>17.991</v>
      </c>
      <c r="C21">
        <v>36.76</v>
      </c>
    </row>
    <row r="22" spans="1:3" x14ac:dyDescent="0.25">
      <c r="A22" s="1" t="s">
        <v>21</v>
      </c>
      <c r="B22">
        <v>10.917</v>
      </c>
      <c r="C22">
        <v>81.772999999999996</v>
      </c>
    </row>
    <row r="23" spans="1:3" x14ac:dyDescent="0.25">
      <c r="A23" s="1" t="s">
        <v>22</v>
      </c>
      <c r="B23">
        <v>17.247</v>
      </c>
      <c r="C23">
        <v>73.325999999999993</v>
      </c>
    </row>
    <row r="24" spans="1:3" x14ac:dyDescent="0.25">
      <c r="A24" s="1" t="s">
        <v>23</v>
      </c>
      <c r="B24">
        <v>16.62</v>
      </c>
      <c r="C24">
        <v>73.844999999999999</v>
      </c>
    </row>
    <row r="25" spans="1:3" x14ac:dyDescent="0.25">
      <c r="A25" s="1" t="s">
        <v>24</v>
      </c>
      <c r="B25">
        <v>26.885000000000002</v>
      </c>
      <c r="C25">
        <v>83.260999999999996</v>
      </c>
    </row>
    <row r="26" spans="1:3" x14ac:dyDescent="0.25">
      <c r="A26" s="1" t="s">
        <v>25</v>
      </c>
      <c r="B26">
        <v>17.399000000000001</v>
      </c>
      <c r="C26">
        <v>55.05</v>
      </c>
    </row>
    <row r="27" spans="1:3" x14ac:dyDescent="0.25">
      <c r="A27" s="1" t="s">
        <v>26</v>
      </c>
      <c r="B27">
        <v>11.433</v>
      </c>
      <c r="C27">
        <v>82.555999999999997</v>
      </c>
    </row>
    <row r="28" spans="1:3" x14ac:dyDescent="0.25">
      <c r="A28" s="1" t="s">
        <v>27</v>
      </c>
      <c r="B28">
        <v>13.709</v>
      </c>
      <c r="C28">
        <v>78.281999999999996</v>
      </c>
    </row>
    <row r="29" spans="1:3" x14ac:dyDescent="0.25">
      <c r="A29" s="1" t="s">
        <v>28</v>
      </c>
      <c r="B29">
        <v>7.0570000000000004</v>
      </c>
      <c r="C29">
        <v>80.891000000000005</v>
      </c>
    </row>
    <row r="30" spans="1:3" x14ac:dyDescent="0.25">
      <c r="A30" s="1" t="s">
        <v>29</v>
      </c>
      <c r="B30">
        <v>21.853000000000002</v>
      </c>
      <c r="C30">
        <v>58.561999999999998</v>
      </c>
    </row>
    <row r="31" spans="1:3" x14ac:dyDescent="0.25">
      <c r="A31" s="1" t="s">
        <v>30</v>
      </c>
      <c r="B31">
        <v>11.303000000000001</v>
      </c>
      <c r="C31">
        <v>74.891000000000005</v>
      </c>
    </row>
    <row r="32" spans="1:3" x14ac:dyDescent="0.25">
      <c r="A32" s="1" t="s">
        <v>31</v>
      </c>
      <c r="B32">
        <v>17.52</v>
      </c>
      <c r="C32">
        <v>74.91</v>
      </c>
    </row>
    <row r="33" spans="1:3" x14ac:dyDescent="0.25">
      <c r="A33" s="1" t="s">
        <v>32</v>
      </c>
      <c r="B33">
        <v>6.79</v>
      </c>
      <c r="C33">
        <v>75.421000000000006</v>
      </c>
    </row>
    <row r="34" spans="1:3" x14ac:dyDescent="0.25">
      <c r="A34" s="1" t="s">
        <v>33</v>
      </c>
      <c r="B34">
        <v>27.632999999999999</v>
      </c>
      <c r="C34">
        <v>26.367000000000001</v>
      </c>
    </row>
    <row r="35" spans="1:3" x14ac:dyDescent="0.25">
      <c r="A35" s="1" t="s">
        <v>34</v>
      </c>
      <c r="B35">
        <v>19.710999999999999</v>
      </c>
      <c r="C35">
        <v>47.597999999999999</v>
      </c>
    </row>
    <row r="36" spans="1:3" x14ac:dyDescent="0.25">
      <c r="A36" s="1" t="s">
        <v>35</v>
      </c>
      <c r="B36">
        <v>13.148999999999999</v>
      </c>
      <c r="C36">
        <v>72.808999999999997</v>
      </c>
    </row>
    <row r="37" spans="1:3" x14ac:dyDescent="0.25">
      <c r="A37" s="1" t="s">
        <v>36</v>
      </c>
      <c r="B37">
        <v>15.643000000000001</v>
      </c>
      <c r="C37">
        <v>60.923999999999999</v>
      </c>
    </row>
    <row r="38" spans="1:3" x14ac:dyDescent="0.25">
      <c r="A38" s="1" t="s">
        <v>37</v>
      </c>
      <c r="B38">
        <v>8.0030000000000001</v>
      </c>
      <c r="C38">
        <v>80.516999999999996</v>
      </c>
    </row>
    <row r="39" spans="1:3" x14ac:dyDescent="0.25">
      <c r="A39" s="1" t="s">
        <v>38</v>
      </c>
      <c r="B39">
        <v>10.331</v>
      </c>
      <c r="C39">
        <v>79.775000000000006</v>
      </c>
    </row>
    <row r="40" spans="1:3" x14ac:dyDescent="0.25">
      <c r="A40" s="1" t="s">
        <v>39</v>
      </c>
      <c r="B40">
        <v>11.816000000000001</v>
      </c>
      <c r="C40">
        <v>79.584999999999994</v>
      </c>
    </row>
    <row r="41" spans="1:3" x14ac:dyDescent="0.25">
      <c r="A41" s="1" t="s">
        <v>40</v>
      </c>
      <c r="B41">
        <v>14.715</v>
      </c>
      <c r="C41">
        <v>70.638000000000005</v>
      </c>
    </row>
    <row r="42" spans="1:3" x14ac:dyDescent="0.25">
      <c r="A42" s="1"/>
    </row>
    <row r="43" spans="1:3" x14ac:dyDescent="0.25">
      <c r="A43" s="1"/>
    </row>
    <row r="44" spans="1:3" x14ac:dyDescent="0.25">
      <c r="A44" s="1"/>
    </row>
    <row r="45" spans="1:3" x14ac:dyDescent="0.25">
      <c r="A45" s="1"/>
    </row>
    <row r="46" spans="1:3" x14ac:dyDescent="0.25">
      <c r="A46" s="1"/>
    </row>
    <row r="47" spans="1:3" x14ac:dyDescent="0.25">
      <c r="A47" s="1"/>
    </row>
    <row r="48" spans="1:3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93"/>
  <sheetViews>
    <sheetView topLeftCell="A8" workbookViewId="0">
      <selection sqref="A1:P41"/>
    </sheetView>
  </sheetViews>
  <sheetFormatPr defaultRowHeight="15" x14ac:dyDescent="0.25"/>
  <cols>
    <col min="1" max="1" width="22.28515625" customWidth="1"/>
  </cols>
  <sheetData>
    <row r="1" spans="1:16" x14ac:dyDescent="0.25">
      <c r="A1" t="s">
        <v>0</v>
      </c>
      <c r="B1">
        <v>2030</v>
      </c>
      <c r="C1">
        <v>2035</v>
      </c>
      <c r="D1">
        <v>2040</v>
      </c>
      <c r="E1">
        <v>2045</v>
      </c>
      <c r="F1">
        <v>2050</v>
      </c>
      <c r="G1">
        <v>2055</v>
      </c>
      <c r="H1">
        <v>2060</v>
      </c>
      <c r="I1">
        <v>2065</v>
      </c>
      <c r="J1">
        <v>2070</v>
      </c>
      <c r="K1">
        <v>2075</v>
      </c>
      <c r="L1">
        <v>2080</v>
      </c>
      <c r="M1">
        <v>2085</v>
      </c>
      <c r="N1">
        <v>2090</v>
      </c>
      <c r="O1">
        <v>2095</v>
      </c>
      <c r="P1">
        <v>2100</v>
      </c>
    </row>
    <row r="2" spans="1:16" x14ac:dyDescent="0.25">
      <c r="A2" s="1" t="s">
        <v>43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5">
      <c r="A3" s="1" t="s">
        <v>44</v>
      </c>
      <c r="B3">
        <v>5.6530555555555564</v>
      </c>
      <c r="C3">
        <v>5.6530555555555564</v>
      </c>
      <c r="D3">
        <v>5.6530555555555564</v>
      </c>
      <c r="E3">
        <v>5.6530555555555564</v>
      </c>
      <c r="F3">
        <v>5.6530555555555564</v>
      </c>
      <c r="G3">
        <v>5.6530555555555564</v>
      </c>
      <c r="H3">
        <v>5.6530555555555564</v>
      </c>
      <c r="I3">
        <v>5.6530555555555564</v>
      </c>
      <c r="J3">
        <v>5.6530555555555564</v>
      </c>
      <c r="K3">
        <v>5.6530555555555564</v>
      </c>
      <c r="L3">
        <v>5.6530555555555564</v>
      </c>
      <c r="M3">
        <v>5.6530555555555564</v>
      </c>
      <c r="N3">
        <v>5.6530555555555564</v>
      </c>
      <c r="O3">
        <v>5.6530555555555564</v>
      </c>
      <c r="P3">
        <v>5.6530555555555564</v>
      </c>
    </row>
    <row r="4" spans="1:16" x14ac:dyDescent="0.25">
      <c r="A4" s="1" t="s">
        <v>45</v>
      </c>
      <c r="B4">
        <v>6.3871428571428561</v>
      </c>
      <c r="C4">
        <v>6.3871428571428561</v>
      </c>
      <c r="D4">
        <v>6.3871428571428561</v>
      </c>
      <c r="E4">
        <v>6.3871428571428561</v>
      </c>
      <c r="F4">
        <v>6.3871428571428561</v>
      </c>
      <c r="G4">
        <v>6.3871428571428561</v>
      </c>
      <c r="H4">
        <v>6.3871428571428561</v>
      </c>
      <c r="I4">
        <v>6.3871428571428561</v>
      </c>
      <c r="J4">
        <v>6.3871428571428561</v>
      </c>
      <c r="K4">
        <v>6.3871428571428561</v>
      </c>
      <c r="L4">
        <v>6.3871428571428561</v>
      </c>
      <c r="M4">
        <v>6.3871428571428561</v>
      </c>
      <c r="N4">
        <v>6.3871428571428561</v>
      </c>
      <c r="O4">
        <v>6.3871428571428561</v>
      </c>
      <c r="P4">
        <v>6.3871428571428561</v>
      </c>
    </row>
    <row r="5" spans="1:16" x14ac:dyDescent="0.25">
      <c r="A5" s="1" t="s">
        <v>46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s="1" t="s">
        <v>47</v>
      </c>
      <c r="B6" s="7">
        <v>0.97210526315789469</v>
      </c>
      <c r="C6">
        <v>0.97210526315789469</v>
      </c>
      <c r="D6">
        <v>0.97210526315789469</v>
      </c>
      <c r="E6">
        <v>0.97210526315789469</v>
      </c>
      <c r="F6">
        <v>0.97210526315789469</v>
      </c>
      <c r="G6">
        <v>0.97210526315789469</v>
      </c>
      <c r="H6">
        <v>0.97210526315789469</v>
      </c>
      <c r="I6">
        <v>0.97210526315789469</v>
      </c>
      <c r="J6">
        <v>0.97210526315789469</v>
      </c>
      <c r="K6">
        <v>0.97210526315789469</v>
      </c>
      <c r="L6">
        <v>0.97210526315789469</v>
      </c>
      <c r="M6">
        <v>0.97210526315789469</v>
      </c>
      <c r="N6">
        <v>0.97210526315789469</v>
      </c>
      <c r="O6">
        <v>0.97210526315789469</v>
      </c>
      <c r="P6">
        <v>0.97210526315789469</v>
      </c>
    </row>
    <row r="7" spans="1:16" x14ac:dyDescent="0.25">
      <c r="A7" s="1" t="s">
        <v>6</v>
      </c>
      <c r="B7">
        <v>0.81</v>
      </c>
      <c r="C7">
        <v>0.81</v>
      </c>
      <c r="D7">
        <v>0.81</v>
      </c>
      <c r="E7">
        <v>0.81</v>
      </c>
      <c r="F7">
        <v>0.81</v>
      </c>
      <c r="G7">
        <v>0.81</v>
      </c>
      <c r="H7">
        <v>0.81</v>
      </c>
      <c r="I7">
        <v>0.81</v>
      </c>
      <c r="J7">
        <v>0.81</v>
      </c>
      <c r="K7">
        <v>0.81</v>
      </c>
      <c r="L7">
        <v>0.81</v>
      </c>
      <c r="M7">
        <v>0.81</v>
      </c>
      <c r="N7">
        <v>0.81</v>
      </c>
      <c r="O7">
        <v>0.81</v>
      </c>
      <c r="P7">
        <v>0.81</v>
      </c>
    </row>
    <row r="8" spans="1:16" x14ac:dyDescent="0.25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25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25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5">
      <c r="A11" s="1" t="s">
        <v>10</v>
      </c>
      <c r="B11">
        <v>58.94</v>
      </c>
      <c r="C11">
        <v>58.94</v>
      </c>
      <c r="D11">
        <v>58.94</v>
      </c>
      <c r="E11">
        <v>58.94</v>
      </c>
      <c r="F11">
        <v>58.94</v>
      </c>
      <c r="G11">
        <v>58.94</v>
      </c>
      <c r="H11">
        <v>58.94</v>
      </c>
      <c r="I11">
        <v>58.94</v>
      </c>
      <c r="J11">
        <v>58.94</v>
      </c>
      <c r="K11">
        <v>58.94</v>
      </c>
      <c r="L11">
        <v>58.94</v>
      </c>
      <c r="M11">
        <v>58.94</v>
      </c>
      <c r="N11">
        <v>58.94</v>
      </c>
      <c r="O11">
        <v>58.94</v>
      </c>
      <c r="P11">
        <v>58.94</v>
      </c>
    </row>
    <row r="12" spans="1:16" x14ac:dyDescent="0.25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25">
      <c r="A13" s="1" t="s">
        <v>12</v>
      </c>
      <c r="B13">
        <v>28.2</v>
      </c>
      <c r="C13">
        <v>28.2</v>
      </c>
      <c r="D13">
        <v>28.2</v>
      </c>
      <c r="E13">
        <v>28.2</v>
      </c>
      <c r="F13">
        <v>28.2</v>
      </c>
      <c r="G13">
        <v>28.2</v>
      </c>
      <c r="H13">
        <v>28.2</v>
      </c>
      <c r="I13">
        <v>28.2</v>
      </c>
      <c r="J13">
        <v>28.2</v>
      </c>
      <c r="K13">
        <v>28.2</v>
      </c>
      <c r="L13">
        <v>28.2</v>
      </c>
      <c r="M13">
        <v>28.2</v>
      </c>
      <c r="N13">
        <v>28.2</v>
      </c>
      <c r="O13">
        <v>28.2</v>
      </c>
      <c r="P13">
        <v>28.2</v>
      </c>
    </row>
    <row r="14" spans="1:16" x14ac:dyDescent="0.25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25">
      <c r="A15" s="1" t="s">
        <v>14</v>
      </c>
      <c r="B15">
        <v>99.98</v>
      </c>
      <c r="C15">
        <v>99.98</v>
      </c>
      <c r="D15">
        <v>99.98</v>
      </c>
      <c r="E15">
        <v>99.98</v>
      </c>
      <c r="F15">
        <v>99.98</v>
      </c>
      <c r="G15">
        <v>99.98</v>
      </c>
      <c r="H15">
        <v>99.98</v>
      </c>
      <c r="I15">
        <v>99.98</v>
      </c>
      <c r="J15">
        <v>99.98</v>
      </c>
      <c r="K15">
        <v>99.98</v>
      </c>
      <c r="L15">
        <v>99.98</v>
      </c>
      <c r="M15">
        <v>99.98</v>
      </c>
      <c r="N15">
        <v>99.98</v>
      </c>
      <c r="O15">
        <v>99.98</v>
      </c>
      <c r="P15">
        <v>99.98</v>
      </c>
    </row>
    <row r="16" spans="1:16" x14ac:dyDescent="0.25">
      <c r="A16" s="1" t="s">
        <v>15</v>
      </c>
      <c r="B16">
        <v>47.94</v>
      </c>
      <c r="C16">
        <v>47.94</v>
      </c>
      <c r="D16">
        <v>47.94</v>
      </c>
      <c r="E16">
        <v>47.94</v>
      </c>
      <c r="F16">
        <v>47.94</v>
      </c>
      <c r="G16">
        <v>47.94</v>
      </c>
      <c r="H16">
        <v>47.94</v>
      </c>
      <c r="I16">
        <v>47.94</v>
      </c>
      <c r="J16">
        <v>47.94</v>
      </c>
      <c r="K16">
        <v>47.94</v>
      </c>
      <c r="L16">
        <v>47.94</v>
      </c>
      <c r="M16">
        <v>47.94</v>
      </c>
      <c r="N16">
        <v>47.94</v>
      </c>
      <c r="O16">
        <v>47.94</v>
      </c>
      <c r="P16">
        <v>47.94</v>
      </c>
    </row>
    <row r="17" spans="1:16" x14ac:dyDescent="0.25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s="1" t="s">
        <v>17</v>
      </c>
      <c r="B18">
        <v>36.5</v>
      </c>
      <c r="C18">
        <v>36.5</v>
      </c>
      <c r="D18">
        <v>36.5</v>
      </c>
      <c r="E18">
        <v>36.5</v>
      </c>
      <c r="F18">
        <v>36.5</v>
      </c>
      <c r="G18">
        <v>36.5</v>
      </c>
      <c r="H18">
        <v>36.5</v>
      </c>
      <c r="I18">
        <v>36.5</v>
      </c>
      <c r="J18">
        <v>36.5</v>
      </c>
      <c r="K18">
        <v>36.5</v>
      </c>
      <c r="L18">
        <v>36.5</v>
      </c>
      <c r="M18">
        <v>36.5</v>
      </c>
      <c r="N18">
        <v>36.5</v>
      </c>
      <c r="O18">
        <v>36.5</v>
      </c>
      <c r="P18">
        <v>36.5</v>
      </c>
    </row>
    <row r="19" spans="1:16" x14ac:dyDescent="0.25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25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25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25">
      <c r="A22" s="1" t="s">
        <v>21</v>
      </c>
      <c r="B22">
        <v>60.19</v>
      </c>
      <c r="C22">
        <v>60.19</v>
      </c>
      <c r="D22">
        <v>60.19</v>
      </c>
      <c r="E22">
        <v>60.19</v>
      </c>
      <c r="F22">
        <v>60.19</v>
      </c>
      <c r="G22">
        <v>60.19</v>
      </c>
      <c r="H22">
        <v>60.19</v>
      </c>
      <c r="I22">
        <v>60.19</v>
      </c>
      <c r="J22">
        <v>60.19</v>
      </c>
      <c r="K22">
        <v>60.19</v>
      </c>
      <c r="L22">
        <v>60.19</v>
      </c>
      <c r="M22">
        <v>60.19</v>
      </c>
      <c r="N22">
        <v>60.19</v>
      </c>
      <c r="O22">
        <v>60.19</v>
      </c>
      <c r="P22">
        <v>60.19</v>
      </c>
    </row>
    <row r="23" spans="1:16" x14ac:dyDescent="0.25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25">
      <c r="A24" s="1" t="s">
        <v>23</v>
      </c>
      <c r="B24">
        <v>1.9</v>
      </c>
      <c r="C24">
        <v>1.9</v>
      </c>
      <c r="D24">
        <v>1.9</v>
      </c>
      <c r="E24">
        <v>1.9</v>
      </c>
      <c r="F24">
        <v>1.9</v>
      </c>
      <c r="G24">
        <v>1.9</v>
      </c>
      <c r="H24">
        <v>1.9</v>
      </c>
      <c r="I24">
        <v>1.9</v>
      </c>
      <c r="J24">
        <v>1.9</v>
      </c>
      <c r="K24">
        <v>1.9</v>
      </c>
      <c r="L24">
        <v>1.9</v>
      </c>
      <c r="M24">
        <v>1.9</v>
      </c>
      <c r="N24">
        <v>1.9</v>
      </c>
      <c r="O24">
        <v>1.9</v>
      </c>
      <c r="P24">
        <v>1.9</v>
      </c>
    </row>
    <row r="25" spans="1:16" x14ac:dyDescent="0.25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25">
      <c r="A26" s="1" t="s">
        <v>25</v>
      </c>
      <c r="B26">
        <v>4.3</v>
      </c>
      <c r="C26">
        <v>4.3</v>
      </c>
      <c r="D26">
        <v>4.3</v>
      </c>
      <c r="E26">
        <v>4.3</v>
      </c>
      <c r="F26">
        <v>4.3</v>
      </c>
      <c r="G26">
        <v>4.3</v>
      </c>
      <c r="H26">
        <v>4.3</v>
      </c>
      <c r="I26">
        <v>4.3</v>
      </c>
      <c r="J26">
        <v>4.3</v>
      </c>
      <c r="K26">
        <v>4.3</v>
      </c>
      <c r="L26">
        <v>4.3</v>
      </c>
      <c r="M26">
        <v>4.3</v>
      </c>
      <c r="N26">
        <v>4.3</v>
      </c>
      <c r="O26">
        <v>4.3</v>
      </c>
      <c r="P26">
        <v>4.3</v>
      </c>
    </row>
    <row r="27" spans="1:16" x14ac:dyDescent="0.25">
      <c r="A27" s="1" t="s">
        <v>26</v>
      </c>
      <c r="B27">
        <v>71.48</v>
      </c>
      <c r="C27">
        <v>71.48</v>
      </c>
      <c r="D27">
        <v>71.48</v>
      </c>
      <c r="E27">
        <v>71.48</v>
      </c>
      <c r="F27">
        <v>71.48</v>
      </c>
      <c r="G27">
        <v>71.48</v>
      </c>
      <c r="H27">
        <v>71.48</v>
      </c>
      <c r="I27">
        <v>71.48</v>
      </c>
      <c r="J27">
        <v>71.48</v>
      </c>
      <c r="K27">
        <v>71.48</v>
      </c>
      <c r="L27">
        <v>71.48</v>
      </c>
      <c r="M27">
        <v>71.48</v>
      </c>
      <c r="N27">
        <v>71.48</v>
      </c>
      <c r="O27">
        <v>71.48</v>
      </c>
      <c r="P27">
        <v>71.48</v>
      </c>
    </row>
    <row r="28" spans="1:16" x14ac:dyDescent="0.25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25">
      <c r="A29" s="1" t="s">
        <v>28</v>
      </c>
      <c r="B29">
        <v>107.78</v>
      </c>
      <c r="C29">
        <v>107.78</v>
      </c>
      <c r="D29">
        <v>107.78</v>
      </c>
      <c r="E29">
        <v>107.78</v>
      </c>
      <c r="F29">
        <v>107.78</v>
      </c>
      <c r="G29">
        <v>107.78</v>
      </c>
      <c r="H29">
        <v>107.78</v>
      </c>
      <c r="I29">
        <v>107.78</v>
      </c>
      <c r="J29">
        <v>107.78</v>
      </c>
      <c r="K29">
        <v>107.78</v>
      </c>
      <c r="L29">
        <v>107.78</v>
      </c>
      <c r="M29">
        <v>107.78</v>
      </c>
      <c r="N29">
        <v>107.78</v>
      </c>
      <c r="O29">
        <v>107.78</v>
      </c>
      <c r="P29">
        <v>107.78</v>
      </c>
    </row>
    <row r="30" spans="1:16" x14ac:dyDescent="0.25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25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25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25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25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25">
      <c r="A35" s="1" t="s">
        <v>34</v>
      </c>
      <c r="B35">
        <v>10.08</v>
      </c>
      <c r="C35">
        <v>10.08</v>
      </c>
      <c r="D35">
        <v>10.08</v>
      </c>
      <c r="E35">
        <v>10.08</v>
      </c>
      <c r="F35">
        <v>10.08</v>
      </c>
      <c r="G35">
        <v>10.08</v>
      </c>
      <c r="H35">
        <v>10.08</v>
      </c>
      <c r="I35">
        <v>10.08</v>
      </c>
      <c r="J35">
        <v>10.08</v>
      </c>
      <c r="K35">
        <v>10.08</v>
      </c>
      <c r="L35">
        <v>10.08</v>
      </c>
      <c r="M35">
        <v>10.08</v>
      </c>
      <c r="N35">
        <v>10.08</v>
      </c>
      <c r="O35">
        <v>10.08</v>
      </c>
      <c r="P35">
        <v>10.08</v>
      </c>
    </row>
    <row r="36" spans="1:16" x14ac:dyDescent="0.25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25">
      <c r="A37" s="1" t="s">
        <v>36</v>
      </c>
      <c r="B37">
        <v>16.12</v>
      </c>
      <c r="C37">
        <v>16.12</v>
      </c>
      <c r="D37">
        <v>16.12</v>
      </c>
      <c r="E37">
        <v>16.12</v>
      </c>
      <c r="F37">
        <v>16.12</v>
      </c>
      <c r="G37">
        <v>16.12</v>
      </c>
      <c r="H37">
        <v>16.12</v>
      </c>
      <c r="I37">
        <v>16.12</v>
      </c>
      <c r="J37">
        <v>16.12</v>
      </c>
      <c r="K37">
        <v>16.12</v>
      </c>
      <c r="L37">
        <v>16.12</v>
      </c>
      <c r="M37">
        <v>16.12</v>
      </c>
      <c r="N37">
        <v>16.12</v>
      </c>
      <c r="O37">
        <v>16.12</v>
      </c>
      <c r="P37">
        <v>16.12</v>
      </c>
    </row>
    <row r="38" spans="1:16" x14ac:dyDescent="0.25">
      <c r="A38" s="1" t="s">
        <v>37</v>
      </c>
      <c r="B38">
        <v>127.25</v>
      </c>
      <c r="C38">
        <v>127.25</v>
      </c>
      <c r="D38">
        <v>127.25</v>
      </c>
      <c r="E38">
        <v>127.25</v>
      </c>
      <c r="F38">
        <v>127.25</v>
      </c>
      <c r="G38">
        <v>127.25</v>
      </c>
      <c r="H38">
        <v>127.25</v>
      </c>
      <c r="I38">
        <v>127.25</v>
      </c>
      <c r="J38">
        <v>127.25</v>
      </c>
      <c r="K38">
        <v>127.25</v>
      </c>
      <c r="L38">
        <v>127.25</v>
      </c>
      <c r="M38">
        <v>127.25</v>
      </c>
      <c r="N38">
        <v>127.25</v>
      </c>
      <c r="O38">
        <v>127.25</v>
      </c>
      <c r="P38">
        <v>127.25</v>
      </c>
    </row>
    <row r="39" spans="1:16" x14ac:dyDescent="0.25">
      <c r="A39" s="1" t="s">
        <v>38</v>
      </c>
      <c r="B39">
        <v>132.12</v>
      </c>
      <c r="C39">
        <v>132.12</v>
      </c>
      <c r="D39">
        <v>132.12</v>
      </c>
      <c r="E39">
        <v>132.12</v>
      </c>
      <c r="F39">
        <v>132.12</v>
      </c>
      <c r="G39">
        <v>132.12</v>
      </c>
      <c r="H39">
        <v>132.12</v>
      </c>
      <c r="I39">
        <v>132.12</v>
      </c>
      <c r="J39">
        <v>132.12</v>
      </c>
      <c r="K39">
        <v>132.12</v>
      </c>
      <c r="L39">
        <v>132.12</v>
      </c>
      <c r="M39">
        <v>132.12</v>
      </c>
      <c r="N39">
        <v>132.12</v>
      </c>
      <c r="O39">
        <v>132.12</v>
      </c>
      <c r="P39">
        <v>132.12</v>
      </c>
    </row>
    <row r="40" spans="1:16" x14ac:dyDescent="0.25">
      <c r="A40" s="1" t="s">
        <v>39</v>
      </c>
      <c r="B40">
        <v>22.61</v>
      </c>
      <c r="C40">
        <v>22.61</v>
      </c>
      <c r="D40">
        <v>22.61</v>
      </c>
      <c r="E40">
        <v>22.61</v>
      </c>
      <c r="F40">
        <v>22.61</v>
      </c>
      <c r="G40">
        <v>22.61</v>
      </c>
      <c r="H40">
        <v>22.61</v>
      </c>
      <c r="I40">
        <v>22.61</v>
      </c>
      <c r="J40">
        <v>22.61</v>
      </c>
      <c r="K40">
        <v>22.61</v>
      </c>
      <c r="L40">
        <v>22.61</v>
      </c>
      <c r="M40">
        <v>22.61</v>
      </c>
      <c r="N40">
        <v>22.61</v>
      </c>
      <c r="O40">
        <v>22.61</v>
      </c>
      <c r="P40">
        <v>22.61</v>
      </c>
    </row>
    <row r="41" spans="1:16" x14ac:dyDescent="0.25">
      <c r="A41" s="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25">
      <c r="A42" s="1"/>
    </row>
    <row r="43" spans="1:16" x14ac:dyDescent="0.25">
      <c r="A43" s="1"/>
    </row>
    <row r="44" spans="1:16" x14ac:dyDescent="0.25">
      <c r="A44" s="1"/>
    </row>
    <row r="45" spans="1:16" x14ac:dyDescent="0.25">
      <c r="A45" s="1"/>
    </row>
    <row r="46" spans="1:16" x14ac:dyDescent="0.25">
      <c r="A46" s="1"/>
    </row>
    <row r="47" spans="1:16" x14ac:dyDescent="0.25">
      <c r="A47" s="1"/>
    </row>
    <row r="48" spans="1:16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97"/>
  <sheetViews>
    <sheetView workbookViewId="0">
      <selection activeCell="B6" sqref="B6"/>
    </sheetView>
  </sheetViews>
  <sheetFormatPr defaultRowHeight="15" x14ac:dyDescent="0.25"/>
  <cols>
    <col min="1" max="1" width="22.5703125" bestFit="1" customWidth="1"/>
    <col min="2" max="2" width="15.5703125" bestFit="1" customWidth="1"/>
  </cols>
  <sheetData>
    <row r="1" spans="1:2" x14ac:dyDescent="0.25">
      <c r="A1" t="s">
        <v>0</v>
      </c>
      <c r="B1" t="s">
        <v>48</v>
      </c>
    </row>
    <row r="2" spans="1:2" x14ac:dyDescent="0.25">
      <c r="A2" s="1" t="s">
        <v>43</v>
      </c>
      <c r="B2" s="3">
        <v>223.03</v>
      </c>
    </row>
    <row r="3" spans="1:2" x14ac:dyDescent="0.25">
      <c r="A3" s="1" t="s">
        <v>44</v>
      </c>
      <c r="B3" s="3">
        <v>1043.653224938</v>
      </c>
    </row>
    <row r="4" spans="1:2" x14ac:dyDescent="0.25">
      <c r="A4" s="1" t="s">
        <v>45</v>
      </c>
      <c r="B4" s="3">
        <v>1.0233699999999999</v>
      </c>
    </row>
    <row r="5" spans="1:2" x14ac:dyDescent="0.25">
      <c r="A5" s="1" t="s">
        <v>46</v>
      </c>
      <c r="B5" s="3">
        <v>260.70909499999999</v>
      </c>
    </row>
    <row r="6" spans="1:2" x14ac:dyDescent="0.25">
      <c r="A6" s="1" t="s">
        <v>47</v>
      </c>
      <c r="B6">
        <v>85.24221</v>
      </c>
    </row>
    <row r="7" spans="1:2" x14ac:dyDescent="0.25">
      <c r="A7" t="s">
        <v>6</v>
      </c>
      <c r="B7">
        <v>2.7</v>
      </c>
    </row>
    <row r="8" spans="1:2" x14ac:dyDescent="0.25">
      <c r="A8" t="s">
        <v>7</v>
      </c>
      <c r="B8">
        <v>2984.5</v>
      </c>
    </row>
    <row r="9" spans="1:2" x14ac:dyDescent="0.25">
      <c r="A9" t="s">
        <v>8</v>
      </c>
      <c r="B9">
        <v>0.19900000000000001</v>
      </c>
    </row>
    <row r="10" spans="1:2" x14ac:dyDescent="0.25">
      <c r="A10" t="s">
        <v>9</v>
      </c>
      <c r="B10">
        <v>1489</v>
      </c>
    </row>
    <row r="11" spans="1:2" x14ac:dyDescent="0.25">
      <c r="A11" t="s">
        <v>10</v>
      </c>
      <c r="B11">
        <v>1595</v>
      </c>
    </row>
    <row r="12" spans="1:2" x14ac:dyDescent="0.25">
      <c r="A12" t="s">
        <v>11</v>
      </c>
      <c r="B12">
        <v>2019.5</v>
      </c>
    </row>
    <row r="13" spans="1:2" x14ac:dyDescent="0.25">
      <c r="A13" t="s">
        <v>12</v>
      </c>
      <c r="B13">
        <v>16.027940000000001</v>
      </c>
    </row>
    <row r="14" spans="1:2" x14ac:dyDescent="0.25">
      <c r="A14" t="s">
        <v>13</v>
      </c>
      <c r="B14">
        <v>667.17</v>
      </c>
    </row>
    <row r="15" spans="1:2" x14ac:dyDescent="0.25">
      <c r="A15" t="s">
        <v>14</v>
      </c>
      <c r="B15">
        <v>2</v>
      </c>
    </row>
    <row r="16" spans="1:2" x14ac:dyDescent="0.25">
      <c r="A16" t="s">
        <v>15</v>
      </c>
      <c r="B16">
        <v>7.2078509999999998</v>
      </c>
    </row>
    <row r="17" spans="1:2" x14ac:dyDescent="0.25">
      <c r="A17" t="s">
        <v>16</v>
      </c>
      <c r="B17">
        <v>51.207599999999999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497</v>
      </c>
    </row>
    <row r="20" spans="1:2" x14ac:dyDescent="0.25">
      <c r="A20" t="s">
        <v>19</v>
      </c>
      <c r="B20">
        <v>653.5</v>
      </c>
    </row>
    <row r="21" spans="1:2" x14ac:dyDescent="0.25">
      <c r="A21" t="s">
        <v>20</v>
      </c>
      <c r="B21">
        <v>117.6264</v>
      </c>
    </row>
    <row r="22" spans="1:2" x14ac:dyDescent="0.25">
      <c r="A22" t="s">
        <v>21</v>
      </c>
      <c r="B22">
        <v>90.634079999999997</v>
      </c>
    </row>
    <row r="23" spans="1:2" x14ac:dyDescent="0.25">
      <c r="A23" t="s">
        <v>22</v>
      </c>
      <c r="B23">
        <v>8.2027305049999999</v>
      </c>
    </row>
    <row r="24" spans="1:2" x14ac:dyDescent="0.25">
      <c r="A24" t="s">
        <v>23</v>
      </c>
      <c r="B24">
        <v>41.5</v>
      </c>
    </row>
    <row r="25" spans="1:2" x14ac:dyDescent="0.25">
      <c r="A25" t="s">
        <v>24</v>
      </c>
      <c r="B25">
        <v>149.5729</v>
      </c>
    </row>
    <row r="26" spans="1:2" x14ac:dyDescent="0.25">
      <c r="A26" t="s">
        <v>25</v>
      </c>
      <c r="B26">
        <v>690.5</v>
      </c>
    </row>
    <row r="27" spans="1:2" x14ac:dyDescent="0.25">
      <c r="A27" t="s">
        <v>26</v>
      </c>
      <c r="B27">
        <v>3.21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104.40813</v>
      </c>
    </row>
    <row r="30" spans="1:2" x14ac:dyDescent="0.25">
      <c r="A30" t="s">
        <v>29</v>
      </c>
      <c r="B30">
        <v>31.701730000000001</v>
      </c>
    </row>
    <row r="31" spans="1:2" x14ac:dyDescent="0.25">
      <c r="A31" t="s">
        <v>30</v>
      </c>
      <c r="B31">
        <v>2.94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6187.5</v>
      </c>
    </row>
    <row r="34" spans="1:2" x14ac:dyDescent="0.25">
      <c r="A34" t="s">
        <v>33</v>
      </c>
      <c r="B34">
        <v>446</v>
      </c>
    </row>
    <row r="35" spans="1:2" x14ac:dyDescent="0.25">
      <c r="A35" t="s">
        <v>34</v>
      </c>
      <c r="B35">
        <v>342.92928999999998</v>
      </c>
    </row>
    <row r="36" spans="1:2" x14ac:dyDescent="0.25">
      <c r="A36" t="s">
        <v>35</v>
      </c>
      <c r="B36">
        <v>16.5</v>
      </c>
    </row>
    <row r="37" spans="1:2" x14ac:dyDescent="0.25">
      <c r="A37" t="s">
        <v>36</v>
      </c>
      <c r="B37">
        <v>20.770600000000002</v>
      </c>
    </row>
    <row r="38" spans="1:2" x14ac:dyDescent="0.25">
      <c r="A38" t="s">
        <v>37</v>
      </c>
      <c r="B38">
        <v>14.9</v>
      </c>
    </row>
    <row r="39" spans="1:2" x14ac:dyDescent="0.25">
      <c r="A39" t="s">
        <v>38</v>
      </c>
      <c r="B39">
        <v>0</v>
      </c>
    </row>
    <row r="40" spans="1:2" x14ac:dyDescent="0.25">
      <c r="A40" t="s">
        <v>39</v>
      </c>
      <c r="B40">
        <v>81.344399999999993</v>
      </c>
    </row>
    <row r="41" spans="1:2" x14ac:dyDescent="0.25">
      <c r="A41" t="s">
        <v>40</v>
      </c>
      <c r="B41">
        <v>3050</v>
      </c>
    </row>
    <row r="42" spans="1:2" x14ac:dyDescent="0.25">
      <c r="A42" s="1"/>
      <c r="B42" s="3"/>
    </row>
    <row r="43" spans="1:2" x14ac:dyDescent="0.25">
      <c r="A43" s="1"/>
      <c r="B43" s="3"/>
    </row>
    <row r="44" spans="1:2" x14ac:dyDescent="0.25">
      <c r="A44" s="1"/>
      <c r="B44" s="3"/>
    </row>
    <row r="45" spans="1:2" x14ac:dyDescent="0.25">
      <c r="A45" s="1"/>
    </row>
    <row r="46" spans="1:2" x14ac:dyDescent="0.25">
      <c r="A46" s="1"/>
    </row>
    <row r="47" spans="1:2" x14ac:dyDescent="0.25">
      <c r="A47" s="1"/>
    </row>
    <row r="48" spans="1:2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2" x14ac:dyDescent="0.25">
      <c r="A193" s="1"/>
    </row>
    <row r="194" spans="1:2" x14ac:dyDescent="0.25">
      <c r="A194" s="1"/>
    </row>
    <row r="195" spans="1:2" x14ac:dyDescent="0.25">
      <c r="A195" s="1"/>
    </row>
    <row r="196" spans="1:2" x14ac:dyDescent="0.25">
      <c r="A196" s="1"/>
    </row>
    <row r="197" spans="1:2" x14ac:dyDescent="0.25">
      <c r="B197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293E5-05BD-4D63-94E1-5C7B4B83DF7F}">
  <dimension ref="A1:B16"/>
  <sheetViews>
    <sheetView workbookViewId="0">
      <selection activeCell="G8" sqref="G8"/>
    </sheetView>
  </sheetViews>
  <sheetFormatPr defaultRowHeight="15" x14ac:dyDescent="0.25"/>
  <sheetData>
    <row r="1" spans="1:2" x14ac:dyDescent="0.25">
      <c r="A1" t="s">
        <v>49</v>
      </c>
      <c r="B1" t="s">
        <v>50</v>
      </c>
    </row>
    <row r="2" spans="1:2" x14ac:dyDescent="0.25">
      <c r="A2">
        <v>2030</v>
      </c>
      <c r="B2">
        <v>2965.5</v>
      </c>
    </row>
    <row r="3" spans="1:2" x14ac:dyDescent="0.25">
      <c r="A3">
        <v>2035</v>
      </c>
      <c r="B3">
        <v>2959.3</v>
      </c>
    </row>
    <row r="4" spans="1:2" x14ac:dyDescent="0.25">
      <c r="A4">
        <v>2040</v>
      </c>
      <c r="B4">
        <v>2953.3</v>
      </c>
    </row>
    <row r="5" spans="1:2" x14ac:dyDescent="0.25">
      <c r="A5">
        <v>2045</v>
      </c>
      <c r="B5">
        <v>2947.3</v>
      </c>
    </row>
    <row r="6" spans="1:2" x14ac:dyDescent="0.25">
      <c r="A6">
        <v>2050</v>
      </c>
      <c r="B6">
        <v>2941.3</v>
      </c>
    </row>
    <row r="7" spans="1:2" x14ac:dyDescent="0.25">
      <c r="A7">
        <v>2055</v>
      </c>
      <c r="B7">
        <v>2935.5</v>
      </c>
    </row>
    <row r="8" spans="1:2" x14ac:dyDescent="0.25">
      <c r="A8">
        <v>2060</v>
      </c>
      <c r="B8">
        <v>2929.7</v>
      </c>
    </row>
    <row r="9" spans="1:2" x14ac:dyDescent="0.25">
      <c r="A9">
        <v>2065</v>
      </c>
      <c r="B9">
        <v>2924</v>
      </c>
    </row>
    <row r="10" spans="1:2" x14ac:dyDescent="0.25">
      <c r="A10">
        <v>2070</v>
      </c>
      <c r="B10">
        <v>2918.3</v>
      </c>
    </row>
    <row r="11" spans="1:2" x14ac:dyDescent="0.25">
      <c r="A11">
        <v>2075</v>
      </c>
      <c r="B11">
        <v>2912.8</v>
      </c>
    </row>
    <row r="12" spans="1:2" x14ac:dyDescent="0.25">
      <c r="A12">
        <v>2080</v>
      </c>
      <c r="B12">
        <v>2907.2</v>
      </c>
    </row>
    <row r="13" spans="1:2" x14ac:dyDescent="0.25">
      <c r="A13">
        <v>2085</v>
      </c>
      <c r="B13">
        <v>2901.8</v>
      </c>
    </row>
    <row r="14" spans="1:2" x14ac:dyDescent="0.25">
      <c r="A14">
        <v>2090</v>
      </c>
      <c r="B14">
        <v>2896.4</v>
      </c>
    </row>
    <row r="15" spans="1:2" x14ac:dyDescent="0.25">
      <c r="A15">
        <v>2095</v>
      </c>
      <c r="B15">
        <v>2891.1</v>
      </c>
    </row>
    <row r="16" spans="1:2" x14ac:dyDescent="0.25">
      <c r="A16">
        <v>2100</v>
      </c>
      <c r="B16">
        <v>2885.8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6"/>
  <sheetViews>
    <sheetView workbookViewId="0">
      <selection activeCell="C10" sqref="C10"/>
    </sheetView>
  </sheetViews>
  <sheetFormatPr defaultRowHeight="15" x14ac:dyDescent="0.25"/>
  <sheetData>
    <row r="1" spans="1:2" x14ac:dyDescent="0.25">
      <c r="A1" t="s">
        <v>49</v>
      </c>
      <c r="B1" t="s">
        <v>50</v>
      </c>
    </row>
    <row r="2" spans="1:2" x14ac:dyDescent="0.25">
      <c r="A2">
        <v>2030</v>
      </c>
      <c r="B2">
        <v>233.08</v>
      </c>
    </row>
    <row r="3" spans="1:2" x14ac:dyDescent="0.25">
      <c r="A3">
        <v>2035</v>
      </c>
      <c r="B3">
        <v>186.16717944773211</v>
      </c>
    </row>
    <row r="4" spans="1:2" x14ac:dyDescent="0.25">
      <c r="A4">
        <v>2040</v>
      </c>
      <c r="B4">
        <v>170.66131715978099</v>
      </c>
    </row>
    <row r="5" spans="1:2" x14ac:dyDescent="0.25">
      <c r="A5">
        <v>2045</v>
      </c>
      <c r="B5">
        <v>161.53334582222581</v>
      </c>
    </row>
    <row r="6" spans="1:2" x14ac:dyDescent="0.25">
      <c r="A6">
        <v>2050</v>
      </c>
      <c r="B6">
        <v>155.15538859522951</v>
      </c>
    </row>
    <row r="7" spans="1:2" x14ac:dyDescent="0.25">
      <c r="A7">
        <v>2055</v>
      </c>
      <c r="B7">
        <v>150.29697293386201</v>
      </c>
    </row>
    <row r="8" spans="1:2" x14ac:dyDescent="0.25">
      <c r="A8">
        <v>2060</v>
      </c>
      <c r="B8">
        <v>146.39656085150179</v>
      </c>
    </row>
    <row r="9" spans="1:2" x14ac:dyDescent="0.25">
      <c r="A9">
        <v>2065</v>
      </c>
      <c r="B9">
        <v>143.15239457669179</v>
      </c>
    </row>
    <row r="10" spans="1:2" x14ac:dyDescent="0.25">
      <c r="A10">
        <v>2070</v>
      </c>
      <c r="B10">
        <v>140.38429574012969</v>
      </c>
    </row>
    <row r="11" spans="1:2" x14ac:dyDescent="0.25">
      <c r="A11">
        <v>2075</v>
      </c>
      <c r="B11">
        <v>137.97640232435299</v>
      </c>
    </row>
    <row r="12" spans="1:2" x14ac:dyDescent="0.25">
      <c r="A12">
        <v>2080</v>
      </c>
      <c r="B12">
        <v>135.84998360388681</v>
      </c>
    </row>
    <row r="13" spans="1:2" x14ac:dyDescent="0.25">
      <c r="A13">
        <v>2085</v>
      </c>
      <c r="B13">
        <v>133.94920328986731</v>
      </c>
    </row>
    <row r="14" spans="1:2" x14ac:dyDescent="0.25">
      <c r="A14">
        <v>2090</v>
      </c>
      <c r="B14">
        <v>132.23308652359191</v>
      </c>
    </row>
    <row r="15" spans="1:2" x14ac:dyDescent="0.25">
      <c r="A15">
        <v>2095</v>
      </c>
      <c r="B15">
        <v>130.67071310315899</v>
      </c>
    </row>
    <row r="16" spans="1:2" x14ac:dyDescent="0.25">
      <c r="A16">
        <v>2100</v>
      </c>
      <c r="B16">
        <v>129.23820108874631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B8336-8877-41CC-BF1C-470767E3A354}">
  <dimension ref="A1:B41"/>
  <sheetViews>
    <sheetView tabSelected="1" workbookViewId="0">
      <selection activeCell="C5" sqref="C5"/>
    </sheetView>
  </sheetViews>
  <sheetFormatPr defaultRowHeight="15" x14ac:dyDescent="0.25"/>
  <cols>
    <col min="1" max="1" width="16.85546875" bestFit="1" customWidth="1"/>
    <col min="3" max="3" width="12" bestFit="1" customWidth="1"/>
  </cols>
  <sheetData>
    <row r="1" spans="1:2" x14ac:dyDescent="0.25">
      <c r="A1" t="s">
        <v>0</v>
      </c>
      <c r="B1" t="s">
        <v>57</v>
      </c>
    </row>
    <row r="2" spans="1:2" x14ac:dyDescent="0.25">
      <c r="A2" s="1" t="s">
        <v>43</v>
      </c>
      <c r="B2">
        <v>0.11656999999999999</v>
      </c>
    </row>
    <row r="3" spans="1:2" x14ac:dyDescent="0.25">
      <c r="A3" s="1" t="s">
        <v>44</v>
      </c>
      <c r="B3">
        <v>0.10674</v>
      </c>
    </row>
    <row r="4" spans="1:2" x14ac:dyDescent="0.25">
      <c r="A4" s="1" t="s">
        <v>45</v>
      </c>
      <c r="B4">
        <v>8.0729999999999996E-2</v>
      </c>
    </row>
    <row r="5" spans="1:2" x14ac:dyDescent="0.25">
      <c r="A5" s="1" t="s">
        <v>46</v>
      </c>
      <c r="B5">
        <v>0.16347999999999999</v>
      </c>
    </row>
    <row r="6" spans="1:2" x14ac:dyDescent="0.25">
      <c r="A6" s="1" t="s">
        <v>47</v>
      </c>
      <c r="B6" s="7">
        <v>0.14380000000000001</v>
      </c>
    </row>
    <row r="7" spans="1:2" x14ac:dyDescent="0.25">
      <c r="A7" s="1" t="s">
        <v>6</v>
      </c>
      <c r="B7">
        <v>9.7470000000000001E-2</v>
      </c>
    </row>
    <row r="8" spans="1:2" x14ac:dyDescent="0.25">
      <c r="A8" s="1" t="s">
        <v>7</v>
      </c>
      <c r="B8">
        <v>0.15464</v>
      </c>
    </row>
    <row r="9" spans="1:2" x14ac:dyDescent="0.25">
      <c r="A9" s="1" t="s">
        <v>8</v>
      </c>
      <c r="B9">
        <v>3.7400000000000003E-2</v>
      </c>
    </row>
    <row r="10" spans="1:2" x14ac:dyDescent="0.25">
      <c r="A10" s="1" t="s">
        <v>9</v>
      </c>
      <c r="B10">
        <v>2.674E-2</v>
      </c>
    </row>
    <row r="11" spans="1:2" x14ac:dyDescent="0.25">
      <c r="A11" s="1" t="s">
        <v>10</v>
      </c>
      <c r="B11">
        <v>4.8439999999999997E-2</v>
      </c>
    </row>
    <row r="12" spans="1:2" x14ac:dyDescent="0.25">
      <c r="A12" s="1" t="s">
        <v>11</v>
      </c>
      <c r="B12">
        <v>0.16195999999999999</v>
      </c>
    </row>
    <row r="13" spans="1:2" x14ac:dyDescent="0.25">
      <c r="A13" s="1" t="s">
        <v>12</v>
      </c>
      <c r="B13">
        <v>4.206E-2</v>
      </c>
    </row>
    <row r="14" spans="1:2" x14ac:dyDescent="0.25">
      <c r="A14" s="1" t="s">
        <v>13</v>
      </c>
      <c r="B14">
        <v>0.15869</v>
      </c>
    </row>
    <row r="15" spans="1:2" x14ac:dyDescent="0.25">
      <c r="A15" s="1" t="s">
        <v>14</v>
      </c>
      <c r="B15">
        <v>2.266E-2</v>
      </c>
    </row>
    <row r="16" spans="1:2" x14ac:dyDescent="0.25">
      <c r="A16" s="1" t="s">
        <v>15</v>
      </c>
      <c r="B16">
        <v>1.49E-2</v>
      </c>
    </row>
    <row r="17" spans="1:2" x14ac:dyDescent="0.25">
      <c r="A17" s="1" t="s">
        <v>16</v>
      </c>
      <c r="B17">
        <v>0.1014</v>
      </c>
    </row>
    <row r="18" spans="1:2" x14ac:dyDescent="0.25">
      <c r="A18" s="1" t="s">
        <v>17</v>
      </c>
      <c r="B18">
        <v>7.8700000000000003E-3</v>
      </c>
    </row>
    <row r="19" spans="1:2" x14ac:dyDescent="0.25">
      <c r="A19" s="1" t="s">
        <v>18</v>
      </c>
      <c r="B19">
        <v>0.19808999999999999</v>
      </c>
    </row>
    <row r="20" spans="1:2" x14ac:dyDescent="0.25">
      <c r="A20" s="1" t="s">
        <v>19</v>
      </c>
      <c r="B20">
        <v>0.18911</v>
      </c>
    </row>
    <row r="21" spans="1:2" x14ac:dyDescent="0.25">
      <c r="A21" s="1" t="s">
        <v>20</v>
      </c>
      <c r="B21">
        <v>0.17816000000000001</v>
      </c>
    </row>
    <row r="22" spans="1:2" x14ac:dyDescent="0.25">
      <c r="A22" s="1" t="s">
        <v>21</v>
      </c>
      <c r="B22">
        <v>7.8990000000000005E-2</v>
      </c>
    </row>
    <row r="23" spans="1:2" x14ac:dyDescent="0.25">
      <c r="A23" s="1" t="s">
        <v>22</v>
      </c>
      <c r="B23">
        <v>8.9800000000000005E-2</v>
      </c>
    </row>
    <row r="24" spans="1:2" x14ac:dyDescent="0.25">
      <c r="A24" s="1" t="s">
        <v>23</v>
      </c>
      <c r="B24">
        <v>0.13678999999999999</v>
      </c>
    </row>
    <row r="25" spans="1:2" x14ac:dyDescent="0.25">
      <c r="A25" s="1" t="s">
        <v>24</v>
      </c>
      <c r="B25">
        <v>0.16886000000000001</v>
      </c>
    </row>
    <row r="26" spans="1:2" x14ac:dyDescent="0.25">
      <c r="A26" s="1" t="s">
        <v>25</v>
      </c>
      <c r="B26">
        <v>0.13585</v>
      </c>
    </row>
    <row r="27" spans="1:2" x14ac:dyDescent="0.25">
      <c r="A27" s="1" t="s">
        <v>26</v>
      </c>
      <c r="B27">
        <v>7.4380000000000002E-2</v>
      </c>
    </row>
    <row r="28" spans="1:2" x14ac:dyDescent="0.25">
      <c r="A28" s="1" t="s">
        <v>27</v>
      </c>
      <c r="B28">
        <v>2.894E-2</v>
      </c>
    </row>
    <row r="29" spans="1:2" x14ac:dyDescent="0.25">
      <c r="A29" s="1" t="s">
        <v>28</v>
      </c>
      <c r="B29">
        <v>8.4700000000000001E-3</v>
      </c>
    </row>
    <row r="30" spans="1:2" x14ac:dyDescent="0.25">
      <c r="A30" s="1" t="s">
        <v>29</v>
      </c>
      <c r="B30">
        <v>0.11808</v>
      </c>
    </row>
    <row r="31" spans="1:2" x14ac:dyDescent="0.25">
      <c r="A31" s="1" t="s">
        <v>30</v>
      </c>
      <c r="B31">
        <v>0.18189</v>
      </c>
    </row>
    <row r="32" spans="1:2" x14ac:dyDescent="0.25">
      <c r="A32" s="1" t="s">
        <v>31</v>
      </c>
      <c r="B32">
        <v>4.3959999999999999E-2</v>
      </c>
    </row>
    <row r="33" spans="1:2" x14ac:dyDescent="0.25">
      <c r="A33" s="1" t="s">
        <v>32</v>
      </c>
      <c r="B33">
        <v>0.12298000000000001</v>
      </c>
    </row>
    <row r="34" spans="1:2" x14ac:dyDescent="0.25">
      <c r="A34" s="1" t="s">
        <v>33</v>
      </c>
      <c r="B34">
        <v>0.19370000000000001</v>
      </c>
    </row>
    <row r="35" spans="1:2" x14ac:dyDescent="0.25">
      <c r="A35" s="1" t="s">
        <v>34</v>
      </c>
      <c r="B35">
        <v>0.19785</v>
      </c>
    </row>
    <row r="36" spans="1:2" x14ac:dyDescent="0.25">
      <c r="A36" s="1" t="s">
        <v>35</v>
      </c>
      <c r="B36">
        <v>0.11869</v>
      </c>
    </row>
    <row r="37" spans="1:2" x14ac:dyDescent="0.25">
      <c r="A37" s="1" t="s">
        <v>36</v>
      </c>
      <c r="B37">
        <v>4.7019999999999999E-2</v>
      </c>
    </row>
    <row r="38" spans="1:2" x14ac:dyDescent="0.25">
      <c r="A38" s="1" t="s">
        <v>37</v>
      </c>
      <c r="B38">
        <v>1.068E-2</v>
      </c>
    </row>
    <row r="39" spans="1:2" x14ac:dyDescent="0.25">
      <c r="A39" s="1" t="s">
        <v>38</v>
      </c>
      <c r="B39">
        <v>8.1099999999999992E-3</v>
      </c>
    </row>
    <row r="40" spans="1:2" x14ac:dyDescent="0.25">
      <c r="A40" s="1" t="s">
        <v>39</v>
      </c>
      <c r="B40">
        <v>6.5449999999999994E-2</v>
      </c>
    </row>
    <row r="41" spans="1:2" x14ac:dyDescent="0.25">
      <c r="A41" s="1" t="s">
        <v>40</v>
      </c>
      <c r="B41">
        <v>0.10914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F5F58-EC4B-47BA-8769-7B536BF8EA8B}">
  <dimension ref="A1:P41"/>
  <sheetViews>
    <sheetView workbookViewId="0">
      <selection activeCell="O22" sqref="O22"/>
    </sheetView>
  </sheetViews>
  <sheetFormatPr defaultRowHeight="15" x14ac:dyDescent="0.25"/>
  <cols>
    <col min="1" max="1" width="16.85546875" bestFit="1" customWidth="1"/>
    <col min="2" max="11" width="18" bestFit="1" customWidth="1"/>
    <col min="12" max="16" width="19" bestFit="1" customWidth="1"/>
  </cols>
  <sheetData>
    <row r="1" spans="1:16" x14ac:dyDescent="0.25">
      <c r="A1" t="s">
        <v>0</v>
      </c>
      <c r="B1">
        <v>2030</v>
      </c>
      <c r="C1">
        <v>2035</v>
      </c>
      <c r="D1">
        <v>2040</v>
      </c>
      <c r="E1">
        <v>2045</v>
      </c>
      <c r="F1">
        <v>2050</v>
      </c>
      <c r="G1">
        <v>2055</v>
      </c>
      <c r="H1">
        <v>2060</v>
      </c>
      <c r="I1">
        <v>2065</v>
      </c>
      <c r="J1">
        <v>2070</v>
      </c>
      <c r="K1">
        <v>2075</v>
      </c>
      <c r="L1">
        <v>2080</v>
      </c>
      <c r="M1">
        <v>2085</v>
      </c>
      <c r="N1">
        <v>2090</v>
      </c>
      <c r="O1">
        <v>2095</v>
      </c>
      <c r="P1">
        <v>2100</v>
      </c>
    </row>
    <row r="2" spans="1:16" x14ac:dyDescent="0.25">
      <c r="A2" s="1" t="s">
        <v>43</v>
      </c>
      <c r="B2" s="8">
        <v>883149141</v>
      </c>
      <c r="C2" s="8">
        <v>991539584</v>
      </c>
      <c r="D2" s="8">
        <v>1099930028</v>
      </c>
      <c r="E2" s="8">
        <v>1208320471</v>
      </c>
      <c r="F2" s="8">
        <v>1316710915</v>
      </c>
      <c r="G2" s="8">
        <v>1425101358</v>
      </c>
      <c r="H2" s="8">
        <v>1533491802</v>
      </c>
      <c r="I2" s="8">
        <v>1641882245</v>
      </c>
      <c r="J2" s="8">
        <v>1750272689</v>
      </c>
      <c r="K2" s="8">
        <v>1858663132</v>
      </c>
      <c r="L2" s="8">
        <v>1967053576</v>
      </c>
      <c r="M2" s="8">
        <v>2075444019</v>
      </c>
      <c r="N2" s="8">
        <v>2183834463</v>
      </c>
      <c r="O2" s="8">
        <v>2292224906</v>
      </c>
      <c r="P2" s="8">
        <v>2400615350</v>
      </c>
    </row>
    <row r="3" spans="1:16" x14ac:dyDescent="0.25">
      <c r="A3" s="1" t="s">
        <v>44</v>
      </c>
      <c r="B3" s="8">
        <v>4467744527</v>
      </c>
      <c r="C3" s="8">
        <v>4777390075</v>
      </c>
      <c r="D3" s="8">
        <v>5087035623</v>
      </c>
      <c r="E3" s="8">
        <v>5396681170</v>
      </c>
      <c r="F3" s="8">
        <v>5706326718</v>
      </c>
      <c r="G3" s="8">
        <v>6015972266</v>
      </c>
      <c r="H3" s="8">
        <v>6325617814</v>
      </c>
      <c r="I3" s="8">
        <v>6635263362</v>
      </c>
      <c r="J3" s="8">
        <v>6944908910</v>
      </c>
      <c r="K3" s="8">
        <v>7254554457</v>
      </c>
      <c r="L3" s="8">
        <v>7564200005</v>
      </c>
      <c r="M3" s="8">
        <v>7873845553</v>
      </c>
      <c r="N3" s="8">
        <v>8183491101</v>
      </c>
      <c r="O3" s="8">
        <v>8493136649</v>
      </c>
      <c r="P3" s="8">
        <v>8802782197</v>
      </c>
    </row>
    <row r="4" spans="1:16" x14ac:dyDescent="0.25">
      <c r="A4" s="1" t="s">
        <v>45</v>
      </c>
      <c r="B4" s="8">
        <v>1744453237</v>
      </c>
      <c r="C4" s="8">
        <v>1932395463</v>
      </c>
      <c r="D4" s="8">
        <v>2120337689</v>
      </c>
      <c r="E4" s="8">
        <v>2308279915</v>
      </c>
      <c r="F4" s="8">
        <v>2496222141</v>
      </c>
      <c r="G4" s="8">
        <v>2684164367</v>
      </c>
      <c r="H4" s="8">
        <v>2872106593</v>
      </c>
      <c r="I4" s="8">
        <v>3060048819</v>
      </c>
      <c r="J4" s="8">
        <v>3247991045</v>
      </c>
      <c r="K4" s="8">
        <v>3435933271</v>
      </c>
      <c r="L4" s="8">
        <v>3623875497</v>
      </c>
      <c r="M4" s="8">
        <v>3811817723</v>
      </c>
      <c r="N4" s="8">
        <v>3999759950</v>
      </c>
      <c r="O4" s="8">
        <v>4187702176</v>
      </c>
      <c r="P4" s="8">
        <v>4375644402</v>
      </c>
    </row>
    <row r="5" spans="1:16" x14ac:dyDescent="0.25">
      <c r="A5" s="1" t="s">
        <v>46</v>
      </c>
      <c r="B5" s="8">
        <v>3583999409</v>
      </c>
      <c r="C5" s="8">
        <v>4046048843</v>
      </c>
      <c r="D5" s="8">
        <v>4508098278</v>
      </c>
      <c r="E5" s="8">
        <v>4970147713</v>
      </c>
      <c r="F5" s="8">
        <v>5432197148</v>
      </c>
      <c r="G5" s="8">
        <v>5894246583</v>
      </c>
      <c r="H5" s="8">
        <v>6356296017</v>
      </c>
      <c r="I5" s="8">
        <v>6818345452</v>
      </c>
      <c r="J5" s="8">
        <v>7280394887</v>
      </c>
      <c r="K5" s="8">
        <v>7742444322</v>
      </c>
      <c r="L5" s="8">
        <v>8204493757</v>
      </c>
      <c r="M5" s="8">
        <v>8666543191</v>
      </c>
      <c r="N5" s="8">
        <v>9128592626</v>
      </c>
      <c r="O5" s="8">
        <v>9590642061</v>
      </c>
      <c r="P5" s="8">
        <v>10052691496</v>
      </c>
    </row>
    <row r="6" spans="1:16" x14ac:dyDescent="0.25">
      <c r="A6" s="1" t="s">
        <v>47</v>
      </c>
      <c r="B6" s="8">
        <v>1958940240</v>
      </c>
      <c r="C6" s="8">
        <v>2198185440</v>
      </c>
      <c r="D6" s="8">
        <v>2437430640</v>
      </c>
      <c r="E6" s="8">
        <v>2676675840</v>
      </c>
      <c r="F6" s="8">
        <v>2915921040</v>
      </c>
      <c r="G6" s="8">
        <v>3155166240</v>
      </c>
      <c r="H6" s="8">
        <v>3394411440</v>
      </c>
      <c r="I6" s="8">
        <v>3633656640</v>
      </c>
      <c r="J6" s="8">
        <v>3872901840</v>
      </c>
      <c r="K6" s="8">
        <v>4112147040</v>
      </c>
      <c r="L6" s="8">
        <v>4351392240</v>
      </c>
      <c r="M6" s="8">
        <v>4590637440</v>
      </c>
      <c r="N6" s="8">
        <v>4829882640</v>
      </c>
      <c r="O6" s="8">
        <v>5069127840</v>
      </c>
      <c r="P6" s="8">
        <v>5308373040</v>
      </c>
    </row>
    <row r="7" spans="1:16" x14ac:dyDescent="0.25">
      <c r="A7" s="1" t="s">
        <v>6</v>
      </c>
      <c r="B7" s="8">
        <v>695914430</v>
      </c>
      <c r="C7" s="8">
        <v>754826708</v>
      </c>
      <c r="D7" s="8">
        <v>813738986</v>
      </c>
      <c r="E7" s="8">
        <v>872651264</v>
      </c>
      <c r="F7" s="8">
        <v>931563543</v>
      </c>
      <c r="G7" s="8">
        <v>990475821</v>
      </c>
      <c r="H7" s="8">
        <v>1049388099</v>
      </c>
      <c r="I7" s="8">
        <v>1108300377</v>
      </c>
      <c r="J7" s="8">
        <v>1167212656</v>
      </c>
      <c r="K7" s="8">
        <v>1226124934</v>
      </c>
      <c r="L7" s="8">
        <v>1285037212</v>
      </c>
      <c r="M7" s="8">
        <v>1343949490</v>
      </c>
      <c r="N7" s="8">
        <v>1402861769</v>
      </c>
      <c r="O7" s="8">
        <v>1461774047</v>
      </c>
      <c r="P7" s="8">
        <v>1520686325</v>
      </c>
    </row>
    <row r="8" spans="1:16" x14ac:dyDescent="0.25">
      <c r="A8" s="1" t="s">
        <v>7</v>
      </c>
      <c r="B8" s="8">
        <v>1044287170</v>
      </c>
      <c r="C8" s="8">
        <v>1084887892</v>
      </c>
      <c r="D8" s="8">
        <v>1125488614</v>
      </c>
      <c r="E8" s="8">
        <v>1166089336</v>
      </c>
      <c r="F8" s="8">
        <v>1206690057</v>
      </c>
      <c r="G8" s="8">
        <v>1247290779</v>
      </c>
      <c r="H8" s="8">
        <v>1287891501</v>
      </c>
      <c r="I8" s="8">
        <v>1328492223</v>
      </c>
      <c r="J8" s="8">
        <v>1369092944</v>
      </c>
      <c r="K8" s="8">
        <v>1409693666</v>
      </c>
      <c r="L8" s="8">
        <v>1450294388</v>
      </c>
      <c r="M8" s="8">
        <v>1490895110</v>
      </c>
      <c r="N8" s="8">
        <v>1531495831</v>
      </c>
      <c r="O8" s="8">
        <v>1572096553</v>
      </c>
      <c r="P8" s="8">
        <v>1612697275</v>
      </c>
    </row>
    <row r="9" spans="1:16" x14ac:dyDescent="0.25">
      <c r="A9" s="1" t="s">
        <v>8</v>
      </c>
      <c r="B9" s="8">
        <v>320323857</v>
      </c>
      <c r="C9" s="8">
        <v>319166927</v>
      </c>
      <c r="D9" s="8">
        <v>318009997</v>
      </c>
      <c r="E9" s="8">
        <v>316853066</v>
      </c>
      <c r="F9" s="8">
        <v>315696136</v>
      </c>
      <c r="G9" s="8">
        <v>314539205</v>
      </c>
      <c r="H9" s="8">
        <v>313382275</v>
      </c>
      <c r="I9" s="8">
        <v>312225344</v>
      </c>
      <c r="J9" s="8">
        <v>311068414</v>
      </c>
      <c r="K9" s="8">
        <v>309911483</v>
      </c>
      <c r="L9" s="8">
        <v>308754553</v>
      </c>
      <c r="M9" s="8">
        <v>307597623</v>
      </c>
      <c r="N9" s="8">
        <v>306440692</v>
      </c>
      <c r="O9" s="8">
        <v>305283762</v>
      </c>
      <c r="P9" s="8">
        <v>304126831</v>
      </c>
    </row>
    <row r="10" spans="1:16" x14ac:dyDescent="0.25">
      <c r="A10" s="1" t="s">
        <v>9</v>
      </c>
      <c r="B10" s="8">
        <v>2994598450</v>
      </c>
      <c r="C10" s="8">
        <v>3268223572</v>
      </c>
      <c r="D10" s="8">
        <v>3541848694</v>
      </c>
      <c r="E10" s="8">
        <v>3815473816</v>
      </c>
      <c r="F10" s="8">
        <v>4089098937</v>
      </c>
      <c r="G10" s="8">
        <v>4362724059</v>
      </c>
      <c r="H10" s="8">
        <v>4636349181</v>
      </c>
      <c r="I10" s="8">
        <v>4909974303</v>
      </c>
      <c r="J10" s="8">
        <v>5183599424</v>
      </c>
      <c r="K10" s="8">
        <v>5457224546</v>
      </c>
      <c r="L10" s="8">
        <v>5730849668</v>
      </c>
      <c r="M10" s="8">
        <v>6004474790</v>
      </c>
      <c r="N10" s="8">
        <v>6278099911</v>
      </c>
      <c r="O10" s="8">
        <v>6551725033</v>
      </c>
      <c r="P10" s="8">
        <v>6825350155</v>
      </c>
    </row>
    <row r="11" spans="1:16" x14ac:dyDescent="0.25">
      <c r="A11" s="1" t="s">
        <v>10</v>
      </c>
      <c r="B11" s="8">
        <v>2253202163</v>
      </c>
      <c r="C11" s="8">
        <v>2282321937</v>
      </c>
      <c r="D11" s="8">
        <v>2311441711</v>
      </c>
      <c r="E11" s="8">
        <v>2340561485</v>
      </c>
      <c r="F11" s="8">
        <v>2369681259</v>
      </c>
      <c r="G11" s="8">
        <v>2398801033</v>
      </c>
      <c r="H11" s="8">
        <v>2427920807</v>
      </c>
      <c r="I11" s="8">
        <v>2457040581</v>
      </c>
      <c r="J11" s="8">
        <v>2486160355</v>
      </c>
      <c r="K11" s="8">
        <v>2515280129</v>
      </c>
      <c r="L11" s="8">
        <v>2544399903</v>
      </c>
      <c r="M11" s="8">
        <v>2573519677</v>
      </c>
      <c r="N11" s="8">
        <v>2602639450</v>
      </c>
      <c r="O11" s="8">
        <v>2631759224</v>
      </c>
      <c r="P11" s="8">
        <v>2660878998</v>
      </c>
    </row>
    <row r="12" spans="1:16" x14ac:dyDescent="0.25">
      <c r="A12" s="1" t="s">
        <v>11</v>
      </c>
      <c r="B12" s="8">
        <v>40977897323</v>
      </c>
      <c r="C12" s="8">
        <v>47303193897</v>
      </c>
      <c r="D12" s="8">
        <v>53628490471</v>
      </c>
      <c r="E12" s="8">
        <v>59953787045</v>
      </c>
      <c r="F12" s="8">
        <v>66279083619</v>
      </c>
      <c r="G12" s="8">
        <v>72604380193</v>
      </c>
      <c r="H12" s="8">
        <v>78929676767</v>
      </c>
      <c r="I12" s="8">
        <v>85254973341</v>
      </c>
      <c r="J12" s="8">
        <v>91580269915</v>
      </c>
      <c r="K12" s="8">
        <v>97905566489</v>
      </c>
      <c r="L12" s="8">
        <v>104230863063</v>
      </c>
      <c r="M12" s="8">
        <v>110556159637</v>
      </c>
      <c r="N12" s="8">
        <v>116881456210</v>
      </c>
      <c r="O12" s="8">
        <v>123206752784</v>
      </c>
      <c r="P12" s="8">
        <v>129532049358</v>
      </c>
    </row>
    <row r="13" spans="1:16" x14ac:dyDescent="0.25">
      <c r="A13" s="1" t="s">
        <v>12</v>
      </c>
      <c r="B13" s="8">
        <v>126748722</v>
      </c>
      <c r="C13" s="8">
        <v>125430809</v>
      </c>
      <c r="D13" s="8">
        <v>124112896</v>
      </c>
      <c r="E13" s="8">
        <v>122794983</v>
      </c>
      <c r="F13" s="8">
        <v>121477070</v>
      </c>
      <c r="G13" s="8">
        <v>120159157</v>
      </c>
      <c r="H13" s="8">
        <v>118841243</v>
      </c>
      <c r="I13" s="8">
        <v>117523330</v>
      </c>
      <c r="J13" s="8">
        <v>116205417</v>
      </c>
      <c r="K13" s="8">
        <v>114887504</v>
      </c>
      <c r="L13" s="8">
        <v>113569591</v>
      </c>
      <c r="M13" s="8">
        <v>112251678</v>
      </c>
      <c r="N13" s="8">
        <v>110933765</v>
      </c>
      <c r="O13" s="8">
        <v>109615852</v>
      </c>
      <c r="P13" s="8">
        <v>108297939</v>
      </c>
    </row>
    <row r="14" spans="1:16" x14ac:dyDescent="0.25">
      <c r="A14" s="1" t="s">
        <v>13</v>
      </c>
      <c r="B14" s="8">
        <v>984021485</v>
      </c>
      <c r="C14" s="8">
        <v>1103461346</v>
      </c>
      <c r="D14" s="8">
        <v>1222901207</v>
      </c>
      <c r="E14" s="8">
        <v>1342341068</v>
      </c>
      <c r="F14" s="8">
        <v>1461780929</v>
      </c>
      <c r="G14" s="8">
        <v>1581220790</v>
      </c>
      <c r="H14" s="8">
        <v>1700660650</v>
      </c>
      <c r="I14" s="8">
        <v>1820100511</v>
      </c>
      <c r="J14" s="8">
        <v>1939540372</v>
      </c>
      <c r="K14" s="8">
        <v>2058980233</v>
      </c>
      <c r="L14" s="8">
        <v>2178420094</v>
      </c>
      <c r="M14" s="8">
        <v>2297859955</v>
      </c>
      <c r="N14" s="8">
        <v>2417299816</v>
      </c>
      <c r="O14" s="8">
        <v>2536739677</v>
      </c>
      <c r="P14" s="8">
        <v>2656179537</v>
      </c>
    </row>
    <row r="15" spans="1:16" x14ac:dyDescent="0.25">
      <c r="A15" s="1" t="s">
        <v>14</v>
      </c>
      <c r="B15" s="8">
        <v>311139490</v>
      </c>
      <c r="C15" s="8">
        <v>309983812</v>
      </c>
      <c r="D15" s="8">
        <v>308828134</v>
      </c>
      <c r="E15" s="8">
        <v>307672456</v>
      </c>
      <c r="F15" s="8">
        <v>306516777</v>
      </c>
      <c r="G15" s="8">
        <v>305361099</v>
      </c>
      <c r="H15" s="8">
        <v>304205421</v>
      </c>
      <c r="I15" s="8">
        <v>303049743</v>
      </c>
      <c r="J15" s="8">
        <v>301894064</v>
      </c>
      <c r="K15" s="8">
        <v>300738386</v>
      </c>
      <c r="L15" s="8">
        <v>299582708</v>
      </c>
      <c r="M15" s="8">
        <v>298427030</v>
      </c>
      <c r="N15" s="8">
        <v>297271351</v>
      </c>
      <c r="O15" s="8">
        <v>296115673</v>
      </c>
      <c r="P15" s="8">
        <v>294959995</v>
      </c>
    </row>
    <row r="16" spans="1:16" x14ac:dyDescent="0.25">
      <c r="A16" s="1" t="s">
        <v>15</v>
      </c>
      <c r="B16" s="8">
        <v>1833913257</v>
      </c>
      <c r="C16" s="8">
        <v>1841333327</v>
      </c>
      <c r="D16" s="8">
        <v>1848753397</v>
      </c>
      <c r="E16" s="8">
        <v>1856173466</v>
      </c>
      <c r="F16" s="8">
        <v>1863593536</v>
      </c>
      <c r="G16" s="8">
        <v>1871013605</v>
      </c>
      <c r="H16" s="8">
        <v>1878433675</v>
      </c>
      <c r="I16" s="8">
        <v>1885853744</v>
      </c>
      <c r="J16" s="8">
        <v>1893273814</v>
      </c>
      <c r="K16" s="8">
        <v>1900693883</v>
      </c>
      <c r="L16" s="8">
        <v>1908113953</v>
      </c>
      <c r="M16" s="8">
        <v>1915534023</v>
      </c>
      <c r="N16" s="8">
        <v>1922954092</v>
      </c>
      <c r="O16" s="8">
        <v>1930374162</v>
      </c>
      <c r="P16" s="8">
        <v>1937794231</v>
      </c>
    </row>
    <row r="17" spans="1:16" x14ac:dyDescent="0.25">
      <c r="A17" s="1" t="s">
        <v>16</v>
      </c>
      <c r="B17" s="8">
        <v>1955701837</v>
      </c>
      <c r="C17" s="8">
        <v>1914432063</v>
      </c>
      <c r="D17" s="8">
        <v>1873162289</v>
      </c>
      <c r="E17" s="8">
        <v>1831892515</v>
      </c>
      <c r="F17" s="8">
        <v>1790622741</v>
      </c>
      <c r="G17" s="8">
        <v>1749352967</v>
      </c>
      <c r="H17" s="8">
        <v>1708083193</v>
      </c>
      <c r="I17" s="8">
        <v>1666813419</v>
      </c>
      <c r="J17" s="8">
        <v>1625543645</v>
      </c>
      <c r="K17" s="8">
        <v>1584273871</v>
      </c>
      <c r="L17" s="8">
        <v>1543004097</v>
      </c>
      <c r="M17" s="8">
        <v>1501734323</v>
      </c>
      <c r="N17" s="8">
        <v>1460464550</v>
      </c>
      <c r="O17" s="8">
        <v>1419194776</v>
      </c>
      <c r="P17" s="8">
        <v>1377925002</v>
      </c>
    </row>
    <row r="18" spans="1:16" x14ac:dyDescent="0.25">
      <c r="A18" s="1" t="s">
        <v>17</v>
      </c>
      <c r="B18" s="8">
        <v>95575054</v>
      </c>
      <c r="C18" s="8">
        <v>106646150</v>
      </c>
      <c r="D18" s="8">
        <v>117717245</v>
      </c>
      <c r="E18" s="8">
        <v>128788341</v>
      </c>
      <c r="F18" s="8">
        <v>139859437</v>
      </c>
      <c r="G18" s="8">
        <v>150930532</v>
      </c>
      <c r="H18" s="8">
        <v>162001628</v>
      </c>
      <c r="I18" s="8">
        <v>173072723</v>
      </c>
      <c r="J18" s="8">
        <v>184143819</v>
      </c>
      <c r="K18" s="8">
        <v>195214915</v>
      </c>
      <c r="L18" s="8">
        <v>206286010</v>
      </c>
      <c r="M18" s="8">
        <v>217357106</v>
      </c>
      <c r="N18" s="8">
        <v>228428202</v>
      </c>
      <c r="O18" s="8">
        <v>239499297</v>
      </c>
      <c r="P18" s="8">
        <v>250570393</v>
      </c>
    </row>
    <row r="19" spans="1:16" x14ac:dyDescent="0.25">
      <c r="A19" s="1" t="s">
        <v>18</v>
      </c>
      <c r="B19" s="8">
        <v>7986137734</v>
      </c>
      <c r="C19" s="8">
        <v>9054930230</v>
      </c>
      <c r="D19" s="8">
        <v>10123722725</v>
      </c>
      <c r="E19" s="8">
        <v>11192515221</v>
      </c>
      <c r="F19" s="8">
        <v>12261307717</v>
      </c>
      <c r="G19" s="8">
        <v>13330100212</v>
      </c>
      <c r="H19" s="8">
        <v>14398892708</v>
      </c>
      <c r="I19" s="8">
        <v>15467685203</v>
      </c>
      <c r="J19" s="8">
        <v>16536477699</v>
      </c>
      <c r="K19" s="8">
        <v>17605270195</v>
      </c>
      <c r="L19" s="8">
        <v>18674062690</v>
      </c>
      <c r="M19" s="8">
        <v>19742855186</v>
      </c>
      <c r="N19" s="8">
        <v>20811647682</v>
      </c>
      <c r="O19" s="8">
        <v>21880440177</v>
      </c>
      <c r="P19" s="8">
        <v>22949232673</v>
      </c>
    </row>
    <row r="20" spans="1:16" x14ac:dyDescent="0.25">
      <c r="A20" s="1" t="s">
        <v>19</v>
      </c>
      <c r="B20" s="8">
        <v>1484655908</v>
      </c>
      <c r="C20" s="8">
        <v>1684062099</v>
      </c>
      <c r="D20" s="8">
        <v>1883468290</v>
      </c>
      <c r="E20" s="8">
        <v>2082874482</v>
      </c>
      <c r="F20" s="8">
        <v>2282280673</v>
      </c>
      <c r="G20" s="8">
        <v>2481686864</v>
      </c>
      <c r="H20" s="8">
        <v>2681093056</v>
      </c>
      <c r="I20" s="8">
        <v>2880499247</v>
      </c>
      <c r="J20" s="8">
        <v>3079905438</v>
      </c>
      <c r="K20" s="8">
        <v>3279311630</v>
      </c>
      <c r="L20" s="8">
        <v>3478717821</v>
      </c>
      <c r="M20" s="8">
        <v>3678124012</v>
      </c>
      <c r="N20" s="8">
        <v>3877530203</v>
      </c>
      <c r="O20" s="8">
        <v>4076936395</v>
      </c>
      <c r="P20" s="8">
        <v>4276342586</v>
      </c>
    </row>
    <row r="21" spans="1:16" x14ac:dyDescent="0.25">
      <c r="A21" s="1" t="s">
        <v>20</v>
      </c>
      <c r="B21" s="8">
        <v>1586744150</v>
      </c>
      <c r="C21" s="8">
        <v>1779427028</v>
      </c>
      <c r="D21" s="8">
        <v>1972109906</v>
      </c>
      <c r="E21" s="8">
        <v>2164792784</v>
      </c>
      <c r="F21" s="8">
        <v>2357475663</v>
      </c>
      <c r="G21" s="8">
        <v>2550158541</v>
      </c>
      <c r="H21" s="8">
        <v>2742841419</v>
      </c>
      <c r="I21" s="8">
        <v>2935524297</v>
      </c>
      <c r="J21" s="8">
        <v>3128207176</v>
      </c>
      <c r="K21" s="8">
        <v>3320890054</v>
      </c>
      <c r="L21" s="8">
        <v>3513572932</v>
      </c>
      <c r="M21" s="8">
        <v>3706255810</v>
      </c>
      <c r="N21" s="8">
        <v>3898938689</v>
      </c>
      <c r="O21" s="8">
        <v>4091621567</v>
      </c>
      <c r="P21" s="8">
        <v>4284304445</v>
      </c>
    </row>
    <row r="22" spans="1:16" x14ac:dyDescent="0.25">
      <c r="A22" s="1" t="s">
        <v>21</v>
      </c>
      <c r="B22" s="8">
        <v>127420137</v>
      </c>
      <c r="C22" s="8">
        <v>133702607</v>
      </c>
      <c r="D22" s="8">
        <v>139985077</v>
      </c>
      <c r="E22" s="8">
        <v>146267546</v>
      </c>
      <c r="F22" s="8">
        <v>152550016</v>
      </c>
      <c r="G22" s="8">
        <v>158832485</v>
      </c>
      <c r="H22" s="8">
        <v>165114955</v>
      </c>
      <c r="I22" s="8">
        <v>171397424</v>
      </c>
      <c r="J22" s="8">
        <v>177679894</v>
      </c>
      <c r="K22" s="8">
        <v>183962363</v>
      </c>
      <c r="L22" s="8">
        <v>190244833</v>
      </c>
      <c r="M22" s="8">
        <v>196527303</v>
      </c>
      <c r="N22" s="8">
        <v>202809772</v>
      </c>
      <c r="O22" s="8">
        <v>209092242</v>
      </c>
      <c r="P22" s="8">
        <v>215374711</v>
      </c>
    </row>
    <row r="23" spans="1:16" x14ac:dyDescent="0.25">
      <c r="A23" s="1" t="s">
        <v>22</v>
      </c>
      <c r="B23" s="8">
        <v>1147143621</v>
      </c>
      <c r="C23" s="8">
        <v>1134849464</v>
      </c>
      <c r="D23" s="8">
        <v>1122555308</v>
      </c>
      <c r="E23" s="8">
        <v>1110261151</v>
      </c>
      <c r="F23" s="8">
        <v>1097966995</v>
      </c>
      <c r="G23" s="8">
        <v>1085672838</v>
      </c>
      <c r="H23" s="8">
        <v>1073378682</v>
      </c>
      <c r="I23" s="8">
        <v>1061084525</v>
      </c>
      <c r="J23" s="8">
        <v>1048790369</v>
      </c>
      <c r="K23" s="8">
        <v>1036496212</v>
      </c>
      <c r="L23" s="8">
        <v>1024202056</v>
      </c>
      <c r="M23" s="8">
        <v>1011907899</v>
      </c>
      <c r="N23" s="8">
        <v>999613743</v>
      </c>
      <c r="O23" s="8">
        <v>987319586</v>
      </c>
      <c r="P23" s="8">
        <v>975025430</v>
      </c>
    </row>
    <row r="24" spans="1:16" x14ac:dyDescent="0.25">
      <c r="A24" s="1" t="s">
        <v>23</v>
      </c>
      <c r="B24" s="8">
        <v>3604343223</v>
      </c>
      <c r="C24" s="8">
        <v>3516063553</v>
      </c>
      <c r="D24" s="8">
        <v>3427783883</v>
      </c>
      <c r="E24" s="8">
        <v>3339504214</v>
      </c>
      <c r="F24" s="8">
        <v>3251224544</v>
      </c>
      <c r="G24" s="8">
        <v>3162944875</v>
      </c>
      <c r="H24" s="8">
        <v>3074665205</v>
      </c>
      <c r="I24" s="8">
        <v>2986385536</v>
      </c>
      <c r="J24" s="8">
        <v>2898105866</v>
      </c>
      <c r="K24" s="8">
        <v>2809826197</v>
      </c>
      <c r="L24" s="8">
        <v>2721546527</v>
      </c>
      <c r="M24" s="8">
        <v>2633266857</v>
      </c>
      <c r="N24" s="8">
        <v>2544987188</v>
      </c>
      <c r="O24" s="8">
        <v>2456707518</v>
      </c>
      <c r="P24" s="8">
        <v>2368427849</v>
      </c>
    </row>
    <row r="25" spans="1:16" x14ac:dyDescent="0.25">
      <c r="A25" s="1" t="s">
        <v>24</v>
      </c>
      <c r="B25" s="8">
        <v>816771083</v>
      </c>
      <c r="C25" s="8">
        <v>910172457</v>
      </c>
      <c r="D25" s="8">
        <v>1003573831</v>
      </c>
      <c r="E25" s="8">
        <v>1096975205</v>
      </c>
      <c r="F25" s="8">
        <v>1190376579</v>
      </c>
      <c r="G25" s="8">
        <v>1283777953</v>
      </c>
      <c r="H25" s="8">
        <v>1377179327</v>
      </c>
      <c r="I25" s="8">
        <v>1470580701</v>
      </c>
      <c r="J25" s="8">
        <v>1563982075</v>
      </c>
      <c r="K25" s="8">
        <v>1657383449</v>
      </c>
      <c r="L25" s="8">
        <v>1750784823</v>
      </c>
      <c r="M25" s="8">
        <v>1844186197</v>
      </c>
      <c r="N25" s="8">
        <v>1937587570</v>
      </c>
      <c r="O25" s="8">
        <v>2030988944</v>
      </c>
      <c r="P25" s="8">
        <v>2124390318</v>
      </c>
    </row>
    <row r="26" spans="1:16" x14ac:dyDescent="0.25">
      <c r="A26" s="1" t="s">
        <v>25</v>
      </c>
      <c r="B26" s="8">
        <v>1465745118</v>
      </c>
      <c r="C26" s="8">
        <v>1583701231</v>
      </c>
      <c r="D26" s="8">
        <v>1701657344</v>
      </c>
      <c r="E26" s="8">
        <v>1819613457</v>
      </c>
      <c r="F26" s="8">
        <v>1937569570</v>
      </c>
      <c r="G26" s="8">
        <v>2055525683</v>
      </c>
      <c r="H26" s="8">
        <v>2173481797</v>
      </c>
      <c r="I26" s="8">
        <v>2291437910</v>
      </c>
      <c r="J26" s="8">
        <v>2409394023</v>
      </c>
      <c r="K26" s="8">
        <v>2527350136</v>
      </c>
      <c r="L26" s="8">
        <v>2645306249</v>
      </c>
      <c r="M26" s="8">
        <v>2763262362</v>
      </c>
      <c r="N26" s="8">
        <v>2881218475</v>
      </c>
      <c r="O26" s="8">
        <v>2999174588</v>
      </c>
      <c r="P26" s="8">
        <v>3117130701</v>
      </c>
    </row>
    <row r="27" spans="1:16" x14ac:dyDescent="0.25">
      <c r="A27" s="1" t="s">
        <v>26</v>
      </c>
      <c r="B27" s="8">
        <v>442440063</v>
      </c>
      <c r="C27" s="8">
        <v>447758593</v>
      </c>
      <c r="D27" s="8">
        <v>453077123</v>
      </c>
      <c r="E27" s="8">
        <v>458395654</v>
      </c>
      <c r="F27" s="8">
        <v>463714184</v>
      </c>
      <c r="G27" s="8">
        <v>469032715</v>
      </c>
      <c r="H27" s="8">
        <v>474351245</v>
      </c>
      <c r="I27" s="8">
        <v>479669776</v>
      </c>
      <c r="J27" s="8">
        <v>484988306</v>
      </c>
      <c r="K27" s="8">
        <v>490306837</v>
      </c>
      <c r="L27" s="8">
        <v>495625367</v>
      </c>
      <c r="M27" s="8">
        <v>500943897</v>
      </c>
      <c r="N27" s="8">
        <v>506262428</v>
      </c>
      <c r="O27" s="8">
        <v>511580958</v>
      </c>
      <c r="P27" s="8">
        <v>516899489</v>
      </c>
    </row>
    <row r="28" spans="1:16" x14ac:dyDescent="0.25">
      <c r="A28" s="1" t="s">
        <v>27</v>
      </c>
      <c r="B28" s="8">
        <v>164410628</v>
      </c>
      <c r="C28" s="8">
        <v>167242419</v>
      </c>
      <c r="D28" s="8">
        <v>170074210</v>
      </c>
      <c r="E28" s="8">
        <v>172906002</v>
      </c>
      <c r="F28" s="8">
        <v>175737793</v>
      </c>
      <c r="G28" s="8">
        <v>178569584</v>
      </c>
      <c r="H28" s="8">
        <v>181401376</v>
      </c>
      <c r="I28" s="8">
        <v>184233167</v>
      </c>
      <c r="J28" s="8">
        <v>187064958</v>
      </c>
      <c r="K28" s="8">
        <v>189896750</v>
      </c>
      <c r="L28" s="8">
        <v>192728541</v>
      </c>
      <c r="M28" s="8">
        <v>195560332</v>
      </c>
      <c r="N28" s="8">
        <v>198392123</v>
      </c>
      <c r="O28" s="8">
        <v>201223915</v>
      </c>
      <c r="P28" s="8">
        <v>204055706</v>
      </c>
    </row>
    <row r="29" spans="1:16" x14ac:dyDescent="0.25">
      <c r="A29" s="1" t="s">
        <v>28</v>
      </c>
      <c r="B29" s="8">
        <v>508136003</v>
      </c>
      <c r="C29" s="8">
        <v>521098977</v>
      </c>
      <c r="D29" s="8">
        <v>534061951</v>
      </c>
      <c r="E29" s="8">
        <v>547024925</v>
      </c>
      <c r="F29" s="8">
        <v>559987899</v>
      </c>
      <c r="G29" s="8">
        <v>572950873</v>
      </c>
      <c r="H29" s="8">
        <v>585913847</v>
      </c>
      <c r="I29" s="8">
        <v>598876821</v>
      </c>
      <c r="J29" s="8">
        <v>611839795</v>
      </c>
      <c r="K29" s="8">
        <v>624802769</v>
      </c>
      <c r="L29" s="8">
        <v>637765743</v>
      </c>
      <c r="M29" s="8">
        <v>650728717</v>
      </c>
      <c r="N29" s="8">
        <v>663691690</v>
      </c>
      <c r="O29" s="8">
        <v>676654664</v>
      </c>
      <c r="P29" s="8">
        <v>689617638</v>
      </c>
    </row>
    <row r="30" spans="1:16" x14ac:dyDescent="0.25">
      <c r="A30" s="1" t="s">
        <v>29</v>
      </c>
      <c r="B30" s="8">
        <v>672321637</v>
      </c>
      <c r="C30" s="8">
        <v>746305863</v>
      </c>
      <c r="D30" s="8">
        <v>820290089</v>
      </c>
      <c r="E30" s="8">
        <v>894274315</v>
      </c>
      <c r="F30" s="8">
        <v>968258541</v>
      </c>
      <c r="G30" s="8">
        <v>1042242767</v>
      </c>
      <c r="H30" s="8">
        <v>1116226993</v>
      </c>
      <c r="I30" s="8">
        <v>1190211219</v>
      </c>
      <c r="J30" s="8">
        <v>1264195445</v>
      </c>
      <c r="K30" s="8">
        <v>1338179671</v>
      </c>
      <c r="L30" s="8">
        <v>1412163897</v>
      </c>
      <c r="M30" s="8">
        <v>1486148123</v>
      </c>
      <c r="N30" s="8">
        <v>1560132350</v>
      </c>
      <c r="O30" s="8">
        <v>1634116576</v>
      </c>
      <c r="P30" s="8">
        <v>1708100802</v>
      </c>
    </row>
    <row r="31" spans="1:16" x14ac:dyDescent="0.25">
      <c r="A31" s="1" t="s">
        <v>30</v>
      </c>
      <c r="B31" s="8">
        <v>691946525</v>
      </c>
      <c r="C31" s="8">
        <v>725650586</v>
      </c>
      <c r="D31" s="8">
        <v>759354647</v>
      </c>
      <c r="E31" s="8">
        <v>793058708</v>
      </c>
      <c r="F31" s="8">
        <v>826762769</v>
      </c>
      <c r="G31" s="8">
        <v>860466830</v>
      </c>
      <c r="H31" s="8">
        <v>894170890</v>
      </c>
      <c r="I31" s="8">
        <v>927874951</v>
      </c>
      <c r="J31" s="8">
        <v>961579012</v>
      </c>
      <c r="K31" s="8">
        <v>995283073</v>
      </c>
      <c r="L31" s="8">
        <v>1028987134</v>
      </c>
      <c r="M31" s="8">
        <v>1062691195</v>
      </c>
      <c r="N31" s="8">
        <v>1096395256</v>
      </c>
      <c r="O31" s="8">
        <v>1130099317</v>
      </c>
      <c r="P31" s="8">
        <v>1163803377</v>
      </c>
    </row>
    <row r="32" spans="1:16" x14ac:dyDescent="0.25">
      <c r="A32" s="1" t="s">
        <v>31</v>
      </c>
      <c r="B32" s="8">
        <v>211906993</v>
      </c>
      <c r="C32" s="8">
        <v>217706045</v>
      </c>
      <c r="D32" s="8">
        <v>223505097</v>
      </c>
      <c r="E32" s="8">
        <v>229304150</v>
      </c>
      <c r="F32" s="8">
        <v>235103202</v>
      </c>
      <c r="G32" s="8">
        <v>240902254</v>
      </c>
      <c r="H32" s="8">
        <v>246701306</v>
      </c>
      <c r="I32" s="8">
        <v>252500358</v>
      </c>
      <c r="J32" s="8">
        <v>258299410</v>
      </c>
      <c r="K32" s="8">
        <v>264098463</v>
      </c>
      <c r="L32" s="8">
        <v>269897515</v>
      </c>
      <c r="M32" s="8">
        <v>275696567</v>
      </c>
      <c r="N32" s="8">
        <v>281495619</v>
      </c>
      <c r="O32" s="8">
        <v>287294671</v>
      </c>
      <c r="P32" s="8">
        <v>293093723</v>
      </c>
    </row>
    <row r="33" spans="1:16" x14ac:dyDescent="0.25">
      <c r="A33" s="1" t="s">
        <v>32</v>
      </c>
      <c r="B33" s="8">
        <v>4475708995</v>
      </c>
      <c r="C33" s="8">
        <v>4691749534</v>
      </c>
      <c r="D33" s="8">
        <v>4907790073</v>
      </c>
      <c r="E33" s="8">
        <v>5123830612</v>
      </c>
      <c r="F33" s="8">
        <v>5339871151</v>
      </c>
      <c r="G33" s="8">
        <v>5555911690</v>
      </c>
      <c r="H33" s="8">
        <v>5771952230</v>
      </c>
      <c r="I33" s="8">
        <v>5987992769</v>
      </c>
      <c r="J33" s="8">
        <v>6204033308</v>
      </c>
      <c r="K33" s="8">
        <v>6420073847</v>
      </c>
      <c r="L33" s="8">
        <v>6636114386</v>
      </c>
      <c r="M33" s="8">
        <v>6852154925</v>
      </c>
      <c r="N33" s="8">
        <v>7068195464</v>
      </c>
      <c r="O33" s="8">
        <v>7284236003</v>
      </c>
      <c r="P33" s="8">
        <v>7500276543</v>
      </c>
    </row>
    <row r="34" spans="1:16" x14ac:dyDescent="0.25">
      <c r="A34" s="1" t="s">
        <v>33</v>
      </c>
      <c r="B34" s="8">
        <v>1902928190</v>
      </c>
      <c r="C34" s="8">
        <v>2146675268</v>
      </c>
      <c r="D34" s="8">
        <v>2390422346</v>
      </c>
      <c r="E34" s="8">
        <v>2634169424</v>
      </c>
      <c r="F34" s="8">
        <v>2877916503</v>
      </c>
      <c r="G34" s="8">
        <v>3121663581</v>
      </c>
      <c r="H34" s="8">
        <v>3365410659</v>
      </c>
      <c r="I34" s="8">
        <v>3609157737</v>
      </c>
      <c r="J34" s="8">
        <v>3852904816</v>
      </c>
      <c r="K34" s="8">
        <v>4096651894</v>
      </c>
      <c r="L34" s="8">
        <v>4340398972</v>
      </c>
      <c r="M34" s="8">
        <v>4584146050</v>
      </c>
      <c r="N34" s="8">
        <v>4827893129</v>
      </c>
      <c r="O34" s="8">
        <v>5071640207</v>
      </c>
      <c r="P34" s="8">
        <v>5315387285</v>
      </c>
    </row>
    <row r="35" spans="1:16" x14ac:dyDescent="0.25">
      <c r="A35" s="1" t="s">
        <v>34</v>
      </c>
      <c r="B35" s="8">
        <v>911125503</v>
      </c>
      <c r="C35" s="8">
        <v>920195233</v>
      </c>
      <c r="D35" s="8">
        <v>929264963</v>
      </c>
      <c r="E35" s="8">
        <v>938334694</v>
      </c>
      <c r="F35" s="8">
        <v>947404424</v>
      </c>
      <c r="G35" s="8">
        <v>956474155</v>
      </c>
      <c r="H35" s="8">
        <v>965543885</v>
      </c>
      <c r="I35" s="8">
        <v>974613616</v>
      </c>
      <c r="J35" s="8">
        <v>983683346</v>
      </c>
      <c r="K35" s="8">
        <v>992753077</v>
      </c>
      <c r="L35" s="8">
        <v>1001822807</v>
      </c>
      <c r="M35" s="8">
        <v>1010892537</v>
      </c>
      <c r="N35" s="8">
        <v>1019962268</v>
      </c>
      <c r="O35" s="8">
        <v>1029031998</v>
      </c>
      <c r="P35" s="8">
        <v>1038101729</v>
      </c>
    </row>
    <row r="36" spans="1:16" x14ac:dyDescent="0.25">
      <c r="A36" s="1" t="s">
        <v>35</v>
      </c>
      <c r="B36" s="8">
        <v>2723763835</v>
      </c>
      <c r="C36" s="8">
        <v>2986692574</v>
      </c>
      <c r="D36" s="8">
        <v>3249621313</v>
      </c>
      <c r="E36" s="8">
        <v>3512550052</v>
      </c>
      <c r="F36" s="8">
        <v>3775478791</v>
      </c>
      <c r="G36" s="8">
        <v>4038407530</v>
      </c>
      <c r="H36" s="8">
        <v>4301336270</v>
      </c>
      <c r="I36" s="8">
        <v>4564265009</v>
      </c>
      <c r="J36" s="8">
        <v>4827193748</v>
      </c>
      <c r="K36" s="8">
        <v>5090122487</v>
      </c>
      <c r="L36" s="8">
        <v>5353051226</v>
      </c>
      <c r="M36" s="8">
        <v>5615979965</v>
      </c>
      <c r="N36" s="8">
        <v>5878908704</v>
      </c>
      <c r="O36" s="8">
        <v>6141837443</v>
      </c>
      <c r="P36" s="8">
        <v>6404766183</v>
      </c>
    </row>
    <row r="37" spans="1:16" x14ac:dyDescent="0.25">
      <c r="A37" s="1" t="s">
        <v>36</v>
      </c>
      <c r="B37" s="8">
        <v>1031094334</v>
      </c>
      <c r="C37" s="8">
        <v>1043619830</v>
      </c>
      <c r="D37" s="8">
        <v>1056145325</v>
      </c>
      <c r="E37" s="8">
        <v>1068670821</v>
      </c>
      <c r="F37" s="8">
        <v>1081196317</v>
      </c>
      <c r="G37" s="8">
        <v>1093721812</v>
      </c>
      <c r="H37" s="8">
        <v>1106247308</v>
      </c>
      <c r="I37" s="8">
        <v>1118772803</v>
      </c>
      <c r="J37" s="8">
        <v>1131298299</v>
      </c>
      <c r="K37" s="8">
        <v>1143823795</v>
      </c>
      <c r="L37" s="8">
        <v>1156349290</v>
      </c>
      <c r="M37" s="8">
        <v>1168874786</v>
      </c>
      <c r="N37" s="8">
        <v>1181400282</v>
      </c>
      <c r="O37" s="8">
        <v>1193925777</v>
      </c>
      <c r="P37" s="8">
        <v>1206451273</v>
      </c>
    </row>
    <row r="38" spans="1:16" x14ac:dyDescent="0.25">
      <c r="A38" s="1" t="s">
        <v>37</v>
      </c>
      <c r="B38" s="8">
        <v>488606337</v>
      </c>
      <c r="C38" s="8">
        <v>478994807</v>
      </c>
      <c r="D38" s="8">
        <v>469383277</v>
      </c>
      <c r="E38" s="8">
        <v>459771746</v>
      </c>
      <c r="F38" s="8">
        <v>450160216</v>
      </c>
      <c r="G38" s="8">
        <v>440548685</v>
      </c>
      <c r="H38" s="8">
        <v>430937155</v>
      </c>
      <c r="I38" s="8">
        <v>421325624</v>
      </c>
      <c r="J38" s="8">
        <v>411714094</v>
      </c>
      <c r="K38" s="8">
        <v>402102563</v>
      </c>
      <c r="L38" s="8">
        <v>392491033</v>
      </c>
      <c r="M38" s="8">
        <v>382879503</v>
      </c>
      <c r="N38" s="8">
        <v>373267972</v>
      </c>
      <c r="O38" s="8">
        <v>363656442</v>
      </c>
      <c r="P38" s="8">
        <v>354044911</v>
      </c>
    </row>
    <row r="39" spans="1:16" x14ac:dyDescent="0.25">
      <c r="A39" s="1" t="s">
        <v>38</v>
      </c>
      <c r="B39" s="8">
        <v>238442092</v>
      </c>
      <c r="C39" s="8">
        <v>240545901</v>
      </c>
      <c r="D39" s="8">
        <v>242649710</v>
      </c>
      <c r="E39" s="8">
        <v>244753518</v>
      </c>
      <c r="F39" s="8">
        <v>246857327</v>
      </c>
      <c r="G39" s="8">
        <v>248961136</v>
      </c>
      <c r="H39" s="8">
        <v>251064944</v>
      </c>
      <c r="I39" s="8">
        <v>253168753</v>
      </c>
      <c r="J39" s="8">
        <v>255272562</v>
      </c>
      <c r="K39" s="8">
        <v>257376370</v>
      </c>
      <c r="L39" s="8">
        <v>259480179</v>
      </c>
      <c r="M39" s="8">
        <v>261583988</v>
      </c>
      <c r="N39" s="8">
        <v>263687797</v>
      </c>
      <c r="O39" s="8">
        <v>265791605</v>
      </c>
      <c r="P39" s="8">
        <v>267895414</v>
      </c>
    </row>
    <row r="40" spans="1:16" x14ac:dyDescent="0.25">
      <c r="A40" s="1" t="s">
        <v>39</v>
      </c>
      <c r="B40" s="8">
        <v>1087217666</v>
      </c>
      <c r="C40" s="8">
        <v>1019792170</v>
      </c>
      <c r="D40" s="8">
        <v>952366675</v>
      </c>
      <c r="E40" s="8">
        <v>884941179</v>
      </c>
      <c r="F40" s="8">
        <v>817515683</v>
      </c>
      <c r="G40" s="8">
        <v>750090188</v>
      </c>
      <c r="H40" s="8">
        <v>682664692</v>
      </c>
      <c r="I40" s="8">
        <v>615239197</v>
      </c>
      <c r="J40" s="8">
        <v>547813701</v>
      </c>
      <c r="K40" s="8">
        <v>480388205</v>
      </c>
      <c r="L40" s="8">
        <v>412962710</v>
      </c>
      <c r="M40" s="8">
        <v>345537214</v>
      </c>
      <c r="N40" s="8">
        <v>278111718</v>
      </c>
      <c r="O40" s="8">
        <v>210686223</v>
      </c>
      <c r="P40" s="8">
        <v>143260727</v>
      </c>
    </row>
    <row r="41" spans="1:16" x14ac:dyDescent="0.25">
      <c r="A41" s="1" t="s">
        <v>40</v>
      </c>
      <c r="B41" s="8">
        <v>15842545414</v>
      </c>
      <c r="C41" s="8">
        <v>16148899310</v>
      </c>
      <c r="D41" s="8">
        <v>16455253205</v>
      </c>
      <c r="E41" s="8">
        <v>16761607101</v>
      </c>
      <c r="F41" s="8">
        <v>17067960997</v>
      </c>
      <c r="G41" s="8">
        <v>17374314892</v>
      </c>
      <c r="H41" s="8">
        <v>17680668788</v>
      </c>
      <c r="I41" s="8">
        <v>17987022683</v>
      </c>
      <c r="J41" s="8">
        <v>18293376579</v>
      </c>
      <c r="K41" s="8">
        <v>18599730475</v>
      </c>
      <c r="L41" s="8">
        <v>18906084370</v>
      </c>
      <c r="M41" s="8">
        <v>19212438266</v>
      </c>
      <c r="N41" s="8">
        <v>19518792162</v>
      </c>
      <c r="O41" s="8">
        <v>19825146057</v>
      </c>
      <c r="P41" s="8">
        <v>20131499953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96"/>
  <sheetViews>
    <sheetView topLeftCell="G1" workbookViewId="0">
      <selection activeCell="O5" sqref="O5"/>
    </sheetView>
  </sheetViews>
  <sheetFormatPr defaultRowHeight="15" x14ac:dyDescent="0.25"/>
  <cols>
    <col min="1" max="1" width="22.5703125" bestFit="1" customWidth="1"/>
    <col min="2" max="2" width="12.42578125" customWidth="1"/>
    <col min="3" max="7" width="13.7109375" bestFit="1" customWidth="1"/>
    <col min="8" max="16" width="14.7109375" bestFit="1" customWidth="1"/>
  </cols>
  <sheetData>
    <row r="1" spans="1:16" x14ac:dyDescent="0.25">
      <c r="A1" t="s">
        <v>0</v>
      </c>
      <c r="B1">
        <f>co2_tax!B1</f>
        <v>2030</v>
      </c>
      <c r="C1">
        <f>co2_tax!C1</f>
        <v>2035</v>
      </c>
      <c r="D1">
        <f>co2_tax!D1</f>
        <v>2040</v>
      </c>
      <c r="E1">
        <f>co2_tax!E1</f>
        <v>2045</v>
      </c>
      <c r="F1">
        <f>co2_tax!F1</f>
        <v>2050</v>
      </c>
      <c r="G1">
        <f>co2_tax!G1</f>
        <v>2055</v>
      </c>
      <c r="H1">
        <f>co2_tax!H1</f>
        <v>2060</v>
      </c>
      <c r="I1">
        <f>co2_tax!I1</f>
        <v>2065</v>
      </c>
      <c r="J1">
        <f>co2_tax!J1</f>
        <v>2070</v>
      </c>
      <c r="K1">
        <f>co2_tax!K1</f>
        <v>2075</v>
      </c>
      <c r="L1">
        <f>co2_tax!L1</f>
        <v>2080</v>
      </c>
      <c r="M1">
        <f>co2_tax!M1</f>
        <v>2085</v>
      </c>
      <c r="N1">
        <f>co2_tax!N1</f>
        <v>2090</v>
      </c>
      <c r="O1">
        <f>co2_tax!O1</f>
        <v>2095</v>
      </c>
      <c r="P1">
        <f>co2_tax!P1</f>
        <v>2100</v>
      </c>
    </row>
    <row r="2" spans="1:16" x14ac:dyDescent="0.25">
      <c r="A2" t="s">
        <v>43</v>
      </c>
      <c r="B2" s="6">
        <v>2156078.3999999901</v>
      </c>
      <c r="C2" s="6">
        <v>2878708.184021872</v>
      </c>
      <c r="D2" s="6">
        <v>3812699.46731738</v>
      </c>
      <c r="E2" s="6">
        <v>5007638.5979177924</v>
      </c>
      <c r="F2" s="6">
        <v>6520886.1428833753</v>
      </c>
      <c r="G2" s="6">
        <v>8417790.1750627197</v>
      </c>
      <c r="H2" s="6">
        <v>10771665.93962929</v>
      </c>
      <c r="I2" s="6">
        <v>13663509.4655417</v>
      </c>
      <c r="J2" s="6">
        <v>17181423.617378861</v>
      </c>
      <c r="K2" s="6">
        <v>21419748.277049519</v>
      </c>
      <c r="L2" s="6">
        <v>26477900.902948201</v>
      </c>
      <c r="M2" s="6">
        <v>32458948.602444679</v>
      </c>
      <c r="N2" s="6">
        <v>39467947.007911712</v>
      </c>
      <c r="O2" s="6">
        <v>47610093.674672604</v>
      </c>
      <c r="P2" s="6">
        <v>56988753.590426259</v>
      </c>
    </row>
    <row r="3" spans="1:16" x14ac:dyDescent="0.25">
      <c r="A3" t="s">
        <v>44</v>
      </c>
      <c r="B3" s="6">
        <v>6849115.0000000373</v>
      </c>
      <c r="C3" s="6">
        <v>9136804.9135950096</v>
      </c>
      <c r="D3" s="6">
        <v>12083453.9975214</v>
      </c>
      <c r="E3" s="6">
        <v>15842021.67645188</v>
      </c>
      <c r="F3" s="6">
        <v>20589652.149590239</v>
      </c>
      <c r="G3" s="6">
        <v>26528570.209199499</v>
      </c>
      <c r="H3" s="6">
        <v>33886322.808909021</v>
      </c>
      <c r="I3" s="6">
        <v>42915259.730983317</v>
      </c>
      <c r="J3" s="6">
        <v>53891173.469152227</v>
      </c>
      <c r="K3" s="6">
        <v>67111052.503255531</v>
      </c>
      <c r="L3" s="6">
        <v>82889941.509817615</v>
      </c>
      <c r="M3" s="6">
        <v>101556944.239645</v>
      </c>
      <c r="N3" s="6">
        <v>123450447.0274502</v>
      </c>
      <c r="O3" s="6">
        <v>148912680.37319559</v>
      </c>
      <c r="P3" s="6">
        <v>178283770.15741751</v>
      </c>
    </row>
    <row r="4" spans="1:16" x14ac:dyDescent="0.25">
      <c r="A4" t="s">
        <v>45</v>
      </c>
      <c r="B4" s="6">
        <v>2628384.13333333</v>
      </c>
      <c r="C4" s="6">
        <v>3376253.1756511042</v>
      </c>
      <c r="D4" s="6">
        <v>4297508.5931651033</v>
      </c>
      <c r="E4" s="6">
        <v>5421874.4463028815</v>
      </c>
      <c r="F4" s="6">
        <v>6781775.0243688906</v>
      </c>
      <c r="G4" s="6">
        <v>8412099.2788464222</v>
      </c>
      <c r="H4" s="6">
        <v>10349864.53062072</v>
      </c>
      <c r="I4" s="6">
        <v>12633780.981238719</v>
      </c>
      <c r="J4" s="6">
        <v>15303723.40986887</v>
      </c>
      <c r="K4" s="6">
        <v>18400121.22239688</v>
      </c>
      <c r="L4" s="6">
        <v>21963282.39901698</v>
      </c>
      <c r="M4" s="6">
        <v>26032670.554174028</v>
      </c>
      <c r="N4" s="6">
        <v>30646157.0289548</v>
      </c>
      <c r="O4" s="6">
        <v>35839271.511508621</v>
      </c>
      <c r="P4" s="6">
        <v>41644475.046678878</v>
      </c>
    </row>
    <row r="5" spans="1:16" x14ac:dyDescent="0.25">
      <c r="A5" t="s">
        <v>46</v>
      </c>
      <c r="B5" s="6">
        <v>3477264.1333333221</v>
      </c>
      <c r="C5" s="6">
        <v>4425486.1010528952</v>
      </c>
      <c r="D5" s="6">
        <v>5602611.285937299</v>
      </c>
      <c r="E5" s="6">
        <v>7050867.5991883595</v>
      </c>
      <c r="F5" s="6">
        <v>8817496.5423207022</v>
      </c>
      <c r="G5" s="6">
        <v>10954570.5559988</v>
      </c>
      <c r="H5" s="6">
        <v>13518656.253657909</v>
      </c>
      <c r="I5" s="6">
        <v>16570309.55968147</v>
      </c>
      <c r="J5" s="6">
        <v>20173398.620849758</v>
      </c>
      <c r="K5" s="6">
        <v>24394260.22403881</v>
      </c>
      <c r="L5" s="6">
        <v>29300704.981858611</v>
      </c>
      <c r="M5" s="6">
        <v>34960895.261032671</v>
      </c>
      <c r="N5" s="6">
        <v>41442127.228261769</v>
      </c>
      <c r="O5" s="6">
        <v>48809554.042287193</v>
      </c>
      <c r="P5" s="6">
        <v>57124890.817174681</v>
      </c>
    </row>
    <row r="6" spans="1:16" x14ac:dyDescent="0.25">
      <c r="A6" t="s">
        <v>47</v>
      </c>
      <c r="B6" s="6">
        <v>3905987.2666666559</v>
      </c>
      <c r="C6" s="6">
        <v>5114729.6588292513</v>
      </c>
      <c r="D6" s="6">
        <v>6656764.5079738013</v>
      </c>
      <c r="E6" s="6">
        <v>8607464.3348687645</v>
      </c>
      <c r="F6" s="6">
        <v>11053559.59813077</v>
      </c>
      <c r="G6" s="6">
        <v>14093297.32375575</v>
      </c>
      <c r="H6" s="6">
        <v>17836224.92399345</v>
      </c>
      <c r="I6" s="6">
        <v>22402559.30963527</v>
      </c>
      <c r="J6" s="6">
        <v>27922120.639447808</v>
      </c>
      <c r="K6" s="6">
        <v>34532831.808024064</v>
      </c>
      <c r="L6" s="6">
        <v>42378807.450033851</v>
      </c>
      <c r="M6" s="6">
        <v>51608078.168061383</v>
      </c>
      <c r="N6" s="6">
        <v>62370015.302422732</v>
      </c>
      <c r="O6" s="6">
        <v>74812537.522902668</v>
      </c>
      <c r="P6" s="6">
        <v>89079191.848006383</v>
      </c>
    </row>
    <row r="7" spans="1:16" x14ac:dyDescent="0.25">
      <c r="A7" t="s">
        <v>6</v>
      </c>
      <c r="B7" s="6">
        <v>741024.39999999851</v>
      </c>
      <c r="C7" s="6">
        <v>889406.99323496595</v>
      </c>
      <c r="D7" s="6">
        <v>1058157.6110344571</v>
      </c>
      <c r="E7" s="6">
        <v>1248426.156202592</v>
      </c>
      <c r="F7" s="6">
        <v>1461203.2845122339</v>
      </c>
      <c r="G7" s="6">
        <v>1697299.058258642</v>
      </c>
      <c r="H7" s="6">
        <v>1957325.822518243</v>
      </c>
      <c r="I7" s="6">
        <v>2241685.673133872</v>
      </c>
      <c r="J7" s="6">
        <v>2550562.69542201</v>
      </c>
      <c r="K7" s="6">
        <v>2883919.971731782</v>
      </c>
      <c r="L7" s="6">
        <v>3241501.1923436951</v>
      </c>
      <c r="M7" s="6">
        <v>3622836.5637234878</v>
      </c>
      <c r="N7" s="6">
        <v>4027252.594630348</v>
      </c>
      <c r="O7" s="6">
        <v>4453885.2557726009</v>
      </c>
      <c r="P7" s="6">
        <v>4901695.9525707606</v>
      </c>
    </row>
    <row r="8" spans="1:16" x14ac:dyDescent="0.25">
      <c r="A8" t="s">
        <v>7</v>
      </c>
      <c r="B8" s="6">
        <v>2295761.2000000179</v>
      </c>
      <c r="C8" s="6">
        <v>2828465.4020741908</v>
      </c>
      <c r="D8" s="6">
        <v>3450011.9724084162</v>
      </c>
      <c r="E8" s="6">
        <v>4168129.4503849382</v>
      </c>
      <c r="F8" s="6">
        <v>4990092.9917014381</v>
      </c>
      <c r="G8" s="6">
        <v>5922566.9408476427</v>
      </c>
      <c r="H8" s="6">
        <v>6971459.7101859218</v>
      </c>
      <c r="I8" s="6">
        <v>8141795.4913708847</v>
      </c>
      <c r="J8" s="6">
        <v>9437606.4658668712</v>
      </c>
      <c r="K8" s="6">
        <v>10861848.2114389</v>
      </c>
      <c r="L8" s="6">
        <v>12416339.984544059</v>
      </c>
      <c r="M8" s="6">
        <v>14101730.5533472</v>
      </c>
      <c r="N8" s="6">
        <v>15917489.313051119</v>
      </c>
      <c r="O8" s="6">
        <v>17861921.574276362</v>
      </c>
      <c r="P8" s="6">
        <v>19932206.204792749</v>
      </c>
    </row>
    <row r="9" spans="1:16" x14ac:dyDescent="0.25">
      <c r="A9" t="s">
        <v>8</v>
      </c>
      <c r="B9" s="6">
        <v>810436.93333332986</v>
      </c>
      <c r="C9" s="6">
        <v>999695.26071435725</v>
      </c>
      <c r="D9" s="6">
        <v>1220778.6478325811</v>
      </c>
      <c r="E9" s="6">
        <v>1476500.1955347781</v>
      </c>
      <c r="F9" s="6">
        <v>1769515.765553117</v>
      </c>
      <c r="G9" s="6">
        <v>2102266.5890082731</v>
      </c>
      <c r="H9" s="6">
        <v>2476926.1202311348</v>
      </c>
      <c r="I9" s="6">
        <v>2895352.8069511619</v>
      </c>
      <c r="J9" s="6">
        <v>3359050.1431961409</v>
      </c>
      <c r="K9" s="6">
        <v>3869135.0236399579</v>
      </c>
      <c r="L9" s="6">
        <v>4426315.0508468756</v>
      </c>
      <c r="M9" s="6">
        <v>5030875.0814669644</v>
      </c>
      <c r="N9" s="6">
        <v>5682672.9525955133</v>
      </c>
      <c r="O9" s="6">
        <v>6381144.0201384146</v>
      </c>
      <c r="P9" s="6">
        <v>7125313.8779138047</v>
      </c>
    </row>
    <row r="10" spans="1:16" x14ac:dyDescent="0.25">
      <c r="A10" t="s">
        <v>9</v>
      </c>
      <c r="B10" s="6">
        <v>3025341.8666666751</v>
      </c>
      <c r="C10" s="6">
        <v>4151341.5876260409</v>
      </c>
      <c r="D10" s="6">
        <v>5611341.5500429077</v>
      </c>
      <c r="E10" s="6">
        <v>7476720.9430382522</v>
      </c>
      <c r="F10" s="6">
        <v>9826768.8068460822</v>
      </c>
      <c r="G10" s="6">
        <v>12747987.32241231</v>
      </c>
      <c r="H10" s="6">
        <v>16333072.16856014</v>
      </c>
      <c r="I10" s="6">
        <v>20679587.999093089</v>
      </c>
      <c r="J10" s="6">
        <v>25888373.688403081</v>
      </c>
      <c r="K10" s="6">
        <v>32061726.598058239</v>
      </c>
      <c r="L10" s="6">
        <v>39301426.742702767</v>
      </c>
      <c r="M10" s="6">
        <v>47706669.689370409</v>
      </c>
      <c r="N10" s="6">
        <v>57371980.949018829</v>
      </c>
      <c r="O10" s="6">
        <v>68385184.483111739</v>
      </c>
      <c r="P10" s="6">
        <v>80825494.021453053</v>
      </c>
    </row>
    <row r="11" spans="1:16" x14ac:dyDescent="0.25">
      <c r="A11" t="s">
        <v>10</v>
      </c>
      <c r="B11" s="6">
        <v>2896526.933333308</v>
      </c>
      <c r="C11" s="6">
        <v>4047459.5244416082</v>
      </c>
      <c r="D11" s="6">
        <v>5566576.7279347153</v>
      </c>
      <c r="E11" s="6">
        <v>7540712.0552325249</v>
      </c>
      <c r="F11" s="6">
        <v>10068365.77903235</v>
      </c>
      <c r="G11" s="6">
        <v>13259246.902689179</v>
      </c>
      <c r="H11" s="6">
        <v>17233362.799087752</v>
      </c>
      <c r="I11" s="6">
        <v>22119653.870767251</v>
      </c>
      <c r="J11" s="6">
        <v>28054194.99364429</v>
      </c>
      <c r="K11" s="6">
        <v>35178009.078181289</v>
      </c>
      <c r="L11" s="6">
        <v>43634559.090318441</v>
      </c>
      <c r="M11" s="6">
        <v>53567001.883031517</v>
      </c>
      <c r="N11" s="6">
        <v>65115299.161084928</v>
      </c>
      <c r="O11" s="6">
        <v>78413287.259864569</v>
      </c>
      <c r="P11" s="6">
        <v>93585808.05565086</v>
      </c>
    </row>
    <row r="12" spans="1:16" x14ac:dyDescent="0.25">
      <c r="A12" t="s">
        <v>11</v>
      </c>
      <c r="B12" s="6">
        <v>24944049.733333349</v>
      </c>
      <c r="C12" s="6">
        <v>30881341.310261961</v>
      </c>
      <c r="D12" s="6">
        <v>37841802.663933434</v>
      </c>
      <c r="E12" s="6">
        <v>45920194.943001509</v>
      </c>
      <c r="F12" s="6">
        <v>55206746.16539605</v>
      </c>
      <c r="G12" s="6">
        <v>65785211.037069537</v>
      </c>
      <c r="H12" s="6">
        <v>77731050.335020974</v>
      </c>
      <c r="I12" s="6">
        <v>91109788.393826202</v>
      </c>
      <c r="J12" s="6">
        <v>105975597.7993298</v>
      </c>
      <c r="K12" s="6">
        <v>122370149.2605682</v>
      </c>
      <c r="L12" s="6">
        <v>140321752.5791494</v>
      </c>
      <c r="M12" s="6">
        <v>159844802.40520501</v>
      </c>
      <c r="N12" s="6">
        <v>180939530.7178475</v>
      </c>
      <c r="O12" s="6">
        <v>203592057.23671269</v>
      </c>
      <c r="P12" s="6">
        <v>227774719.66643539</v>
      </c>
    </row>
    <row r="13" spans="1:16" x14ac:dyDescent="0.25">
      <c r="A13" t="s">
        <v>12</v>
      </c>
      <c r="B13" s="6">
        <v>509516.66666666791</v>
      </c>
      <c r="C13" s="6">
        <v>619231.78280126397</v>
      </c>
      <c r="D13" s="6">
        <v>745544.02482212917</v>
      </c>
      <c r="E13" s="6">
        <v>889633.55901160452</v>
      </c>
      <c r="F13" s="6">
        <v>1052569.165766337</v>
      </c>
      <c r="G13" s="6">
        <v>1235284.966835185</v>
      </c>
      <c r="H13" s="6">
        <v>1438560.21149564</v>
      </c>
      <c r="I13" s="6">
        <v>1663002.6752161209</v>
      </c>
      <c r="J13" s="6">
        <v>1909036.058172608</v>
      </c>
      <c r="K13" s="6">
        <v>2176891.6007530619</v>
      </c>
      <c r="L13" s="6">
        <v>2466603.9682472278</v>
      </c>
      <c r="M13" s="6">
        <v>2778011.3050800511</v>
      </c>
      <c r="N13" s="6">
        <v>3110759.226163724</v>
      </c>
      <c r="O13" s="6">
        <v>3464308.4032459948</v>
      </c>
      <c r="P13" s="6">
        <v>3837945.3196857488</v>
      </c>
    </row>
    <row r="14" spans="1:16" x14ac:dyDescent="0.25">
      <c r="A14" t="s">
        <v>13</v>
      </c>
      <c r="B14" s="6">
        <v>472622.79999999702</v>
      </c>
      <c r="C14" s="6">
        <v>603593.18811936327</v>
      </c>
      <c r="D14" s="6">
        <v>761880.82852306229</v>
      </c>
      <c r="E14" s="6">
        <v>951001.15436257084</v>
      </c>
      <c r="F14" s="6">
        <v>1174502.3602898419</v>
      </c>
      <c r="G14" s="6">
        <v>1435895.8267868829</v>
      </c>
      <c r="H14" s="6">
        <v>1738584.045182297</v>
      </c>
      <c r="I14" s="6">
        <v>2085788.5777997151</v>
      </c>
      <c r="J14" s="6">
        <v>2480480.546664461</v>
      </c>
      <c r="K14" s="6">
        <v>2925315.9757894399</v>
      </c>
      <c r="L14" s="6">
        <v>3422578.0359488628</v>
      </c>
      <c r="M14" s="6">
        <v>3974127.882050728</v>
      </c>
      <c r="N14" s="6">
        <v>4581365.3594935723</v>
      </c>
      <c r="O14" s="6">
        <v>5245200.4152955059</v>
      </c>
      <c r="P14" s="6">
        <v>5966035.6085950062</v>
      </c>
    </row>
    <row r="15" spans="1:16" x14ac:dyDescent="0.25">
      <c r="A15" t="s">
        <v>14</v>
      </c>
      <c r="B15" s="6">
        <v>378051.13333333278</v>
      </c>
      <c r="C15" s="6">
        <v>449952.92232596659</v>
      </c>
      <c r="D15" s="6">
        <v>531053.6323928074</v>
      </c>
      <c r="E15" s="6">
        <v>621780.97641181061</v>
      </c>
      <c r="F15" s="6">
        <v>722485.66190305341</v>
      </c>
      <c r="G15" s="6">
        <v>833433.96935965051</v>
      </c>
      <c r="H15" s="6">
        <v>954802.2926328748</v>
      </c>
      <c r="I15" s="6">
        <v>1086673.7216475951</v>
      </c>
      <c r="J15" s="6">
        <v>1229036.6699748361</v>
      </c>
      <c r="K15" s="6">
        <v>1381785.479283344</v>
      </c>
      <c r="L15" s="6">
        <v>1544722.872020154</v>
      </c>
      <c r="M15" s="6">
        <v>1717564.0744947779</v>
      </c>
      <c r="N15" s="6">
        <v>1899942.3956510001</v>
      </c>
      <c r="O15" s="6">
        <v>2091416.0222200779</v>
      </c>
      <c r="P15" s="6">
        <v>2291475.778037433</v>
      </c>
    </row>
    <row r="16" spans="1:16" x14ac:dyDescent="0.25">
      <c r="A16" t="s">
        <v>15</v>
      </c>
      <c r="B16" s="6">
        <v>3845393.1333333249</v>
      </c>
      <c r="C16" s="6">
        <v>4532468.9298121436</v>
      </c>
      <c r="D16" s="6">
        <v>5300100.1858273698</v>
      </c>
      <c r="E16" s="6">
        <v>6151092.0979662286</v>
      </c>
      <c r="F16" s="6">
        <v>7087539.4115401739</v>
      </c>
      <c r="G16" s="6">
        <v>8110783.7679854576</v>
      </c>
      <c r="H16" s="6">
        <v>9221388.0782398302</v>
      </c>
      <c r="I16" s="6">
        <v>10419127.842845021</v>
      </c>
      <c r="J16" s="6">
        <v>11702998.765407501</v>
      </c>
      <c r="K16" s="6">
        <v>13071239.516456779</v>
      </c>
      <c r="L16" s="6">
        <v>14521368.11227341</v>
      </c>
      <c r="M16" s="6">
        <v>16050230.08335858</v>
      </c>
      <c r="N16" s="6">
        <v>17654056.41906831</v>
      </c>
      <c r="O16" s="6">
        <v>19328529.182620529</v>
      </c>
      <c r="P16" s="6">
        <v>21068852.68444806</v>
      </c>
    </row>
    <row r="17" spans="1:16" x14ac:dyDescent="0.25">
      <c r="A17" t="s">
        <v>16</v>
      </c>
      <c r="B17" s="6">
        <v>5784681.9333333373</v>
      </c>
      <c r="C17" s="6">
        <v>6977779.1153443083</v>
      </c>
      <c r="D17" s="6">
        <v>8341306.5674698493</v>
      </c>
      <c r="E17" s="6">
        <v>9885887.4624967854</v>
      </c>
      <c r="F17" s="6">
        <v>11620880.88495004</v>
      </c>
      <c r="G17" s="6">
        <v>13554178.89828817</v>
      </c>
      <c r="H17" s="6">
        <v>15692037.733351581</v>
      </c>
      <c r="I17" s="6">
        <v>18038947.197780199</v>
      </c>
      <c r="J17" s="6">
        <v>20597540.75263159</v>
      </c>
      <c r="K17" s="6">
        <v>23368547.08293777</v>
      </c>
      <c r="L17" s="6">
        <v>26350782.482565619</v>
      </c>
      <c r="M17" s="6">
        <v>29541182.04216785</v>
      </c>
      <c r="N17" s="6">
        <v>32934866.515204102</v>
      </c>
      <c r="O17" s="6">
        <v>36525240.865597367</v>
      </c>
      <c r="P17" s="6">
        <v>40304119.879429251</v>
      </c>
    </row>
    <row r="18" spans="1:16" x14ac:dyDescent="0.25">
      <c r="A18" t="s">
        <v>17</v>
      </c>
      <c r="B18" s="6">
        <v>49642.066666666418</v>
      </c>
      <c r="C18" s="6">
        <v>71534.87278402214</v>
      </c>
      <c r="D18" s="6">
        <v>101315.0200626868</v>
      </c>
      <c r="E18" s="6">
        <v>141143.8296775799</v>
      </c>
      <c r="F18" s="6">
        <v>193558.0655559377</v>
      </c>
      <c r="G18" s="6">
        <v>261479.1605397565</v>
      </c>
      <c r="H18" s="6">
        <v>348209.65299882338</v>
      </c>
      <c r="I18" s="6">
        <v>457415.42079246079</v>
      </c>
      <c r="J18" s="6">
        <v>593092.9964342661</v>
      </c>
      <c r="K18" s="6">
        <v>759522.02587813837</v>
      </c>
      <c r="L18" s="6">
        <v>961203.73374897696</v>
      </c>
      <c r="M18" s="6">
        <v>1202787.019624515</v>
      </c>
      <c r="N18" s="6">
        <v>1488984.4779769799</v>
      </c>
      <c r="O18" s="6">
        <v>1824481.163681871</v>
      </c>
      <c r="P18" s="6">
        <v>2213839.2843036759</v>
      </c>
    </row>
    <row r="19" spans="1:16" x14ac:dyDescent="0.25">
      <c r="A19" t="s">
        <v>18</v>
      </c>
      <c r="B19" s="6">
        <v>6405675.6666666269</v>
      </c>
      <c r="C19" s="6">
        <v>9741789.5163357221</v>
      </c>
      <c r="D19" s="6">
        <v>14525668.305333421</v>
      </c>
      <c r="E19" s="6">
        <v>21254254.097676869</v>
      </c>
      <c r="F19" s="6">
        <v>30545026.397928629</v>
      </c>
      <c r="G19" s="6">
        <v>43149608.728005193</v>
      </c>
      <c r="H19" s="6">
        <v>59964832.107171617</v>
      </c>
      <c r="I19" s="6">
        <v>82040228.198766291</v>
      </c>
      <c r="J19" s="6">
        <v>110581015.0694942</v>
      </c>
      <c r="K19" s="6">
        <v>146945807.2038112</v>
      </c>
      <c r="L19" s="6">
        <v>192638518.45750609</v>
      </c>
      <c r="M19" s="6">
        <v>249294215.00988391</v>
      </c>
      <c r="N19" s="6">
        <v>318658993.17048693</v>
      </c>
      <c r="O19" s="6">
        <v>402564279.73506302</v>
      </c>
      <c r="P19" s="6">
        <v>502896256.19515949</v>
      </c>
    </row>
    <row r="20" spans="1:16" x14ac:dyDescent="0.25">
      <c r="A20" t="s">
        <v>19</v>
      </c>
      <c r="B20" s="6">
        <v>2062571.266666681</v>
      </c>
      <c r="C20" s="6">
        <v>2888866.208361892</v>
      </c>
      <c r="D20" s="6">
        <v>3981988.8705293718</v>
      </c>
      <c r="E20" s="6">
        <v>5405632.7805184443</v>
      </c>
      <c r="F20" s="6">
        <v>7232240.364799032</v>
      </c>
      <c r="G20" s="6">
        <v>9542707.5313979331</v>
      </c>
      <c r="H20" s="6">
        <v>12425751.662336109</v>
      </c>
      <c r="I20" s="6">
        <v>15976938.45333677</v>
      </c>
      <c r="J20" s="6">
        <v>20297381.273984291</v>
      </c>
      <c r="K20" s="6">
        <v>25492144.52522222</v>
      </c>
      <c r="L20" s="6">
        <v>31668398.531363081</v>
      </c>
      <c r="M20" s="6">
        <v>38933386.709100977</v>
      </c>
      <c r="N20" s="6">
        <v>47392275.284270637</v>
      </c>
      <c r="O20" s="6">
        <v>57145961.196537413</v>
      </c>
      <c r="P20" s="6">
        <v>68288914.912669078</v>
      </c>
    </row>
    <row r="21" spans="1:16" x14ac:dyDescent="0.25">
      <c r="A21" t="s">
        <v>20</v>
      </c>
      <c r="B21" s="6">
        <v>658182.33333334327</v>
      </c>
      <c r="C21" s="6">
        <v>907347.61438974563</v>
      </c>
      <c r="D21" s="6">
        <v>1231891.7241521601</v>
      </c>
      <c r="E21" s="6">
        <v>1648347.4779015051</v>
      </c>
      <c r="F21" s="6">
        <v>2175179.6612031031</v>
      </c>
      <c r="G21" s="6">
        <v>2832641.285101274</v>
      </c>
      <c r="H21" s="6">
        <v>3642551.8999035521</v>
      </c>
      <c r="I21" s="6">
        <v>4628001.0573512437</v>
      </c>
      <c r="J21" s="6">
        <v>5812984.0801109839</v>
      </c>
      <c r="K21" s="6">
        <v>7221980.9706632774</v>
      </c>
      <c r="L21" s="6">
        <v>8879492.314424511</v>
      </c>
      <c r="M21" s="6">
        <v>10809548.215923959</v>
      </c>
      <c r="N21" s="6">
        <v>13035207.541365281</v>
      </c>
      <c r="O21" s="6">
        <v>15578064.99556133</v>
      </c>
      <c r="P21" s="6">
        <v>18457782.880515922</v>
      </c>
    </row>
    <row r="22" spans="1:16" x14ac:dyDescent="0.25">
      <c r="A22" t="s">
        <v>21</v>
      </c>
      <c r="B22" s="6">
        <v>713611.39999999851</v>
      </c>
      <c r="C22" s="6">
        <v>867856.16511665168</v>
      </c>
      <c r="D22" s="6">
        <v>1045550.923866897</v>
      </c>
      <c r="E22" s="6">
        <v>1248381.4706304739</v>
      </c>
      <c r="F22" s="6">
        <v>1477877.8452927801</v>
      </c>
      <c r="G22" s="6">
        <v>1735381.0131551111</v>
      </c>
      <c r="H22" s="6">
        <v>2022013.8261372009</v>
      </c>
      <c r="I22" s="6">
        <v>2338657.067278571</v>
      </c>
      <c r="J22" s="6">
        <v>2685931.145473863</v>
      </c>
      <c r="K22" s="6">
        <v>3064183.765553725</v>
      </c>
      <c r="L22" s="6">
        <v>3473483.66366548</v>
      </c>
      <c r="M22" s="6">
        <v>3913620.2806609021</v>
      </c>
      <c r="N22" s="6">
        <v>4384109.0555147855</v>
      </c>
      <c r="O22" s="6">
        <v>4884201.8625909695</v>
      </c>
      <c r="P22" s="6">
        <v>5412901.9940941706</v>
      </c>
    </row>
    <row r="23" spans="1:16" x14ac:dyDescent="0.25">
      <c r="A23" t="s">
        <v>22</v>
      </c>
      <c r="B23" s="6">
        <v>2855608.400000006</v>
      </c>
      <c r="C23" s="6">
        <v>3303622.0090414868</v>
      </c>
      <c r="D23" s="6">
        <v>3795095.8718111739</v>
      </c>
      <c r="E23" s="6">
        <v>4330537.3089712299</v>
      </c>
      <c r="F23" s="6">
        <v>4910057.7745715361</v>
      </c>
      <c r="G23" s="6">
        <v>5533372.1044044662</v>
      </c>
      <c r="H23" s="6">
        <v>6199805.7625572151</v>
      </c>
      <c r="I23" s="6">
        <v>6908309.4171551643</v>
      </c>
      <c r="J23" s="6">
        <v>7657480.0006070882</v>
      </c>
      <c r="K23" s="6">
        <v>8445587.2859097421</v>
      </c>
      <c r="L23" s="6">
        <v>9270604.9371391851</v>
      </c>
      <c r="M23" s="6">
        <v>10130244.965242891</v>
      </c>
      <c r="N23" s="6">
        <v>11021994.53408609</v>
      </c>
      <c r="O23" s="6">
        <v>11943154.10979395</v>
      </c>
      <c r="P23" s="6">
        <v>12890876.02167902</v>
      </c>
    </row>
    <row r="24" spans="1:16" x14ac:dyDescent="0.25">
      <c r="A24" t="s">
        <v>23</v>
      </c>
      <c r="B24" s="6">
        <v>4750463.7333333343</v>
      </c>
      <c r="C24" s="6">
        <v>5081726.2152685076</v>
      </c>
      <c r="D24" s="6">
        <v>5418273.2452738294</v>
      </c>
      <c r="E24" s="6">
        <v>5759090.8077099808</v>
      </c>
      <c r="F24" s="6">
        <v>6103177.9751477661</v>
      </c>
      <c r="G24" s="6">
        <v>6449555.4761045789</v>
      </c>
      <c r="H24" s="6">
        <v>6797273.2272060541</v>
      </c>
      <c r="I24" s="6">
        <v>7145416.8166346997</v>
      </c>
      <c r="J24" s="6">
        <v>7493112.9496502876</v>
      </c>
      <c r="K24" s="6">
        <v>7839533.8869216451</v>
      </c>
      <c r="L24" s="6">
        <v>8183900.9224923253</v>
      </c>
      <c r="M24" s="6">
        <v>8525486.9606251381</v>
      </c>
      <c r="N24" s="6">
        <v>8863618.2598256078</v>
      </c>
      <c r="O24" s="6">
        <v>9197675.418379005</v>
      </c>
      <c r="P24" s="6">
        <v>9527093.6791251842</v>
      </c>
    </row>
    <row r="25" spans="1:16" x14ac:dyDescent="0.25">
      <c r="A25" t="s">
        <v>24</v>
      </c>
      <c r="B25" s="6">
        <v>646078.46666666865</v>
      </c>
      <c r="C25" s="6">
        <v>919964.96062901337</v>
      </c>
      <c r="D25" s="6">
        <v>1288197.738255569</v>
      </c>
      <c r="E25" s="6">
        <v>1775222.7460549599</v>
      </c>
      <c r="F25" s="6">
        <v>2409360.4456671039</v>
      </c>
      <c r="G25" s="6">
        <v>3222812.3907749201</v>
      </c>
      <c r="H25" s="6">
        <v>4251527.9473962551</v>
      </c>
      <c r="I25" s="6">
        <v>5534921.5755588608</v>
      </c>
      <c r="J25" s="6">
        <v>7115438.7682657167</v>
      </c>
      <c r="K25" s="6">
        <v>9037976.8368393723</v>
      </c>
      <c r="L25" s="6">
        <v>11349174.6239588</v>
      </c>
      <c r="M25" s="6">
        <v>14096592.33612987</v>
      </c>
      <c r="N25" s="6">
        <v>17327808.524437301</v>
      </c>
      <c r="O25" s="6">
        <v>21089465.443591461</v>
      </c>
      <c r="P25" s="6">
        <v>25426296.37310943</v>
      </c>
    </row>
    <row r="26" spans="1:16" x14ac:dyDescent="0.25">
      <c r="A26" t="s">
        <v>25</v>
      </c>
      <c r="B26" s="6">
        <v>2347205.0666666632</v>
      </c>
      <c r="C26" s="6">
        <v>2982097.5200602328</v>
      </c>
      <c r="D26" s="6">
        <v>3745513.9869180662</v>
      </c>
      <c r="E26" s="6">
        <v>4653216.7486709747</v>
      </c>
      <c r="F26" s="6">
        <v>5720980.3150595259</v>
      </c>
      <c r="G26" s="6">
        <v>6964275.207746583</v>
      </c>
      <c r="H26" s="6">
        <v>8397945.5400268044</v>
      </c>
      <c r="I26" s="6">
        <v>10035891.67774535</v>
      </c>
      <c r="J26" s="6">
        <v>11890768.826352781</v>
      </c>
      <c r="K26" s="6">
        <v>13973711.416068699</v>
      </c>
      <c r="L26" s="6">
        <v>16294091.75093675</v>
      </c>
      <c r="M26" s="6">
        <v>18859319.66634861</v>
      </c>
      <c r="N26" s="6">
        <v>21674688.028896041</v>
      </c>
      <c r="O26" s="6">
        <v>24743266.934717849</v>
      </c>
      <c r="P26" s="6">
        <v>28065847.529099889</v>
      </c>
    </row>
    <row r="27" spans="1:16" x14ac:dyDescent="0.25">
      <c r="A27" t="s">
        <v>26</v>
      </c>
      <c r="B27" s="6">
        <v>1547472.8666666751</v>
      </c>
      <c r="C27" s="6">
        <v>2289723.101842314</v>
      </c>
      <c r="D27" s="6">
        <v>3325882.8027942558</v>
      </c>
      <c r="E27" s="6">
        <v>4746364.8491813485</v>
      </c>
      <c r="F27" s="6">
        <v>6660336.5213945433</v>
      </c>
      <c r="G27" s="6">
        <v>9197035.1972810011</v>
      </c>
      <c r="H27" s="6">
        <v>12506549.25303722</v>
      </c>
      <c r="I27" s="6">
        <v>16759945.631404189</v>
      </c>
      <c r="J27" s="6">
        <v>22148652.238674428</v>
      </c>
      <c r="K27" s="6">
        <v>28883038.42993724</v>
      </c>
      <c r="L27" s="6">
        <v>37190177.741289876</v>
      </c>
      <c r="M27" s="6">
        <v>47310820.59551084</v>
      </c>
      <c r="N27" s="6">
        <v>59495647.618215479</v>
      </c>
      <c r="O27" s="6">
        <v>74000913.27808325</v>
      </c>
      <c r="P27" s="6">
        <v>91083622.078748286</v>
      </c>
    </row>
    <row r="28" spans="1:16" x14ac:dyDescent="0.25">
      <c r="A28" t="s">
        <v>27</v>
      </c>
      <c r="B28" s="6">
        <v>315392.86666666722</v>
      </c>
      <c r="C28" s="6">
        <v>384088.13150903228</v>
      </c>
      <c r="D28" s="6">
        <v>463333.14970941568</v>
      </c>
      <c r="E28" s="6">
        <v>553903.13262505014</v>
      </c>
      <c r="F28" s="6">
        <v>656504.73954023013</v>
      </c>
      <c r="G28" s="6">
        <v>771760.6874603387</v>
      </c>
      <c r="H28" s="6">
        <v>900196.24801562785</v>
      </c>
      <c r="I28" s="6">
        <v>1042228.010598721</v>
      </c>
      <c r="J28" s="6">
        <v>1198155.184940964</v>
      </c>
      <c r="K28" s="6">
        <v>1368153.6064199279</v>
      </c>
      <c r="L28" s="6">
        <v>1552272.499701598</v>
      </c>
      <c r="M28" s="6">
        <v>1750433.9561227569</v>
      </c>
      <c r="N28" s="6">
        <v>1962434.991619308</v>
      </c>
      <c r="O28" s="6">
        <v>2187951.9778692098</v>
      </c>
      <c r="P28" s="6">
        <v>2426547.1812885259</v>
      </c>
    </row>
    <row r="29" spans="1:16" x14ac:dyDescent="0.25">
      <c r="A29" t="s">
        <v>28</v>
      </c>
      <c r="B29" s="6">
        <v>561054.80000000075</v>
      </c>
      <c r="C29" s="6">
        <v>635613.54347780719</v>
      </c>
      <c r="D29" s="6">
        <v>715742.06416449044</v>
      </c>
      <c r="E29" s="6">
        <v>801347.99999134697</v>
      </c>
      <c r="F29" s="6">
        <v>892291.55856342486</v>
      </c>
      <c r="G29" s="6">
        <v>988388.30005311186</v>
      </c>
      <c r="H29" s="6">
        <v>1089412.605557458</v>
      </c>
      <c r="I29" s="6">
        <v>1195101.6974276381</v>
      </c>
      <c r="J29" s="6">
        <v>1305160.0753708759</v>
      </c>
      <c r="K29" s="6">
        <v>1419264.234515406</v>
      </c>
      <c r="L29" s="6">
        <v>1537067.5382645209</v>
      </c>
      <c r="M29" s="6">
        <v>1658205.1287399321</v>
      </c>
      <c r="N29" s="6">
        <v>1782298.7700262079</v>
      </c>
      <c r="O29" s="6">
        <v>1908961.533425679</v>
      </c>
      <c r="P29" s="6">
        <v>2037802.2487491679</v>
      </c>
    </row>
    <row r="30" spans="1:16" x14ac:dyDescent="0.25">
      <c r="A30" t="s">
        <v>29</v>
      </c>
      <c r="B30" s="6">
        <v>392896.86666666722</v>
      </c>
      <c r="C30" s="6">
        <v>392896.86666666722</v>
      </c>
      <c r="D30" s="6">
        <v>392896.86666666722</v>
      </c>
      <c r="E30" s="6">
        <v>392896.86666666722</v>
      </c>
      <c r="F30" s="6">
        <v>392896.86666666722</v>
      </c>
      <c r="G30" s="6">
        <v>392896.86666666722</v>
      </c>
      <c r="H30" s="6">
        <v>392896.86666666722</v>
      </c>
      <c r="I30" s="6">
        <v>392896.86666666722</v>
      </c>
      <c r="J30" s="6">
        <v>392896.86666666722</v>
      </c>
      <c r="K30" s="6">
        <v>392896.86666666722</v>
      </c>
      <c r="L30" s="6">
        <v>392896.86666666722</v>
      </c>
      <c r="M30" s="6">
        <v>392896.86666666722</v>
      </c>
      <c r="N30" s="6">
        <v>392896.86666666722</v>
      </c>
      <c r="O30" s="6">
        <v>392896.86666666722</v>
      </c>
      <c r="P30" s="6">
        <v>392896.86666666722</v>
      </c>
    </row>
    <row r="31" spans="1:16" x14ac:dyDescent="0.25">
      <c r="A31" t="s">
        <v>30</v>
      </c>
      <c r="B31" s="6">
        <v>1195422.533333346</v>
      </c>
      <c r="C31" s="6">
        <v>1569611.2968154131</v>
      </c>
      <c r="D31" s="6">
        <v>2034295.6307665331</v>
      </c>
      <c r="E31" s="6">
        <v>2604056.8721808549</v>
      </c>
      <c r="F31" s="6">
        <v>3294221.778728297</v>
      </c>
      <c r="G31" s="6">
        <v>4120609.9202044168</v>
      </c>
      <c r="H31" s="6">
        <v>5099247.1119046928</v>
      </c>
      <c r="I31" s="6">
        <v>6246054.5371099152</v>
      </c>
      <c r="J31" s="6">
        <v>7576524.4063960928</v>
      </c>
      <c r="K31" s="6">
        <v>9105393.5686095506</v>
      </c>
      <c r="L31" s="6">
        <v>10846326.42113407</v>
      </c>
      <c r="M31" s="6">
        <v>12811617.810978999</v>
      </c>
      <c r="N31" s="6">
        <v>15011925.4561678</v>
      </c>
      <c r="O31" s="6">
        <v>17456039.858227741</v>
      </c>
      <c r="P31" s="6">
        <v>20150697.845196981</v>
      </c>
    </row>
    <row r="32" spans="1:16" x14ac:dyDescent="0.25">
      <c r="A32" t="s">
        <v>31</v>
      </c>
      <c r="B32" s="6">
        <v>394084.66666666418</v>
      </c>
      <c r="C32" s="6">
        <v>483070.09168179642</v>
      </c>
      <c r="D32" s="6">
        <v>586381.38290950481</v>
      </c>
      <c r="E32" s="6">
        <v>705180.33738151554</v>
      </c>
      <c r="F32" s="6">
        <v>840546.37914928701</v>
      </c>
      <c r="G32" s="6">
        <v>993453.10008489375</v>
      </c>
      <c r="H32" s="6">
        <v>1164747.0660885889</v>
      </c>
      <c r="I32" s="6">
        <v>1355129.5241415501</v>
      </c>
      <c r="J32" s="6">
        <v>1565141.5031513269</v>
      </c>
      <c r="K32" s="6">
        <v>1795152.6469045931</v>
      </c>
      <c r="L32" s="6">
        <v>2045353.960215433</v>
      </c>
      <c r="M32" s="6">
        <v>2315754.49802614</v>
      </c>
      <c r="N32" s="6">
        <v>2606181.888786776</v>
      </c>
      <c r="O32" s="6">
        <v>2916286.4631958911</v>
      </c>
      <c r="P32" s="6">
        <v>3245548.6608303129</v>
      </c>
    </row>
    <row r="33" spans="1:16" x14ac:dyDescent="0.25">
      <c r="A33" t="s">
        <v>32</v>
      </c>
      <c r="B33" s="6">
        <v>2562274.066666692</v>
      </c>
      <c r="C33" s="6">
        <v>3442803.6887540249</v>
      </c>
      <c r="D33" s="6">
        <v>4561263.5404141191</v>
      </c>
      <c r="E33" s="6">
        <v>5962493.5140794637</v>
      </c>
      <c r="F33" s="6">
        <v>7695054.4163525393</v>
      </c>
      <c r="G33" s="6">
        <v>9810602.9806734584</v>
      </c>
      <c r="H33" s="6">
        <v>12363107.559972251</v>
      </c>
      <c r="I33" s="6">
        <v>15407926.790949181</v>
      </c>
      <c r="J33" s="6">
        <v>19000780.865291551</v>
      </c>
      <c r="K33" s="6">
        <v>23196650.589758709</v>
      </c>
      <c r="L33" s="6">
        <v>28048642.862459831</v>
      </c>
      <c r="M33" s="6">
        <v>33606862.415286042</v>
      </c>
      <c r="N33" s="6">
        <v>39917328.726043567</v>
      </c>
      <c r="O33" s="6">
        <v>47020974.094133653</v>
      </c>
      <c r="P33" s="6">
        <v>54952754.324323557</v>
      </c>
    </row>
    <row r="34" spans="1:16" x14ac:dyDescent="0.25">
      <c r="A34" t="s">
        <v>33</v>
      </c>
      <c r="B34" s="6">
        <v>1471716.8666666599</v>
      </c>
      <c r="C34" s="6">
        <v>2145111.404009942</v>
      </c>
      <c r="D34" s="6">
        <v>3071405.238620867</v>
      </c>
      <c r="E34" s="6">
        <v>4323541.7111222334</v>
      </c>
      <c r="F34" s="6">
        <v>5988195.8481569858</v>
      </c>
      <c r="G34" s="6">
        <v>8166391.5824153144</v>
      </c>
      <c r="H34" s="6">
        <v>10973681.55911367</v>
      </c>
      <c r="I34" s="6">
        <v>14539822.00920834</v>
      </c>
      <c r="J34" s="6">
        <v>19007898.45840833</v>
      </c>
      <c r="K34" s="6">
        <v>24532885.719245121</v>
      </c>
      <c r="L34" s="6">
        <v>31279655.56727498</v>
      </c>
      <c r="M34" s="6">
        <v>39420475.438807137</v>
      </c>
      <c r="N34" s="6">
        <v>49132069.172735304</v>
      </c>
      <c r="O34" s="6">
        <v>60592334.293370657</v>
      </c>
      <c r="P34" s="6">
        <v>73976828.075314671</v>
      </c>
    </row>
    <row r="35" spans="1:16" x14ac:dyDescent="0.25">
      <c r="A35" t="s">
        <v>34</v>
      </c>
      <c r="B35" s="6">
        <v>481591.39999999851</v>
      </c>
      <c r="C35" s="6">
        <v>586458.06773232727</v>
      </c>
      <c r="D35" s="6">
        <v>707423.77785116062</v>
      </c>
      <c r="E35" s="6">
        <v>845670.61362333084</v>
      </c>
      <c r="F35" s="6">
        <v>1002275.964718295</v>
      </c>
      <c r="G35" s="6">
        <v>1178189.0629188339</v>
      </c>
      <c r="H35" s="6">
        <v>1374210.3997252481</v>
      </c>
      <c r="I35" s="6">
        <v>1590974.603418791</v>
      </c>
      <c r="J35" s="6">
        <v>1828937.191522314</v>
      </c>
      <c r="K35" s="6">
        <v>2088365.4469253451</v>
      </c>
      <c r="L35" s="6">
        <v>2369333.5017061988</v>
      </c>
      <c r="M35" s="6">
        <v>2671721.5599111528</v>
      </c>
      <c r="N35" s="6">
        <v>2995219.0554968142</v>
      </c>
      <c r="O35" s="6">
        <v>3339331.4286666992</v>
      </c>
      <c r="P35" s="6">
        <v>3703390.1154359509</v>
      </c>
    </row>
    <row r="36" spans="1:16" x14ac:dyDescent="0.25">
      <c r="A36" t="s">
        <v>35</v>
      </c>
      <c r="B36" s="6">
        <v>2270140.3333333279</v>
      </c>
      <c r="C36" s="6">
        <v>2835027.6914858739</v>
      </c>
      <c r="D36" s="6">
        <v>3502925.1900366028</v>
      </c>
      <c r="E36" s="6">
        <v>4284411.3442171616</v>
      </c>
      <c r="F36" s="6">
        <v>5189746.6171719562</v>
      </c>
      <c r="G36" s="6">
        <v>6228656.4185617147</v>
      </c>
      <c r="H36" s="6">
        <v>7410121.3884880412</v>
      </c>
      <c r="I36" s="6">
        <v>8742181.9948125631</v>
      </c>
      <c r="J36" s="6">
        <v>10231763.653765541</v>
      </c>
      <c r="K36" s="6">
        <v>11884527.51310334</v>
      </c>
      <c r="L36" s="6">
        <v>13704750.797326829</v>
      </c>
      <c r="M36" s="6">
        <v>15695239.290160799</v>
      </c>
      <c r="N36" s="6">
        <v>17857273.20007322</v>
      </c>
      <c r="O36" s="6">
        <v>20190586.389603361</v>
      </c>
      <c r="P36" s="6">
        <v>22693377.805021599</v>
      </c>
    </row>
    <row r="37" spans="1:16" x14ac:dyDescent="0.25">
      <c r="A37" t="s">
        <v>36</v>
      </c>
      <c r="B37" s="6">
        <v>2268578.2666666508</v>
      </c>
      <c r="C37" s="6">
        <v>2957491.5765682179</v>
      </c>
      <c r="D37" s="6">
        <v>3807053.0650407029</v>
      </c>
      <c r="E37" s="6">
        <v>4841799.4682391938</v>
      </c>
      <c r="F37" s="6">
        <v>6087269.2074028458</v>
      </c>
      <c r="G37" s="6">
        <v>7569557.6561226062</v>
      </c>
      <c r="H37" s="6">
        <v>9314825.1730580609</v>
      </c>
      <c r="I37" s="6">
        <v>11348774.85553789</v>
      </c>
      <c r="J37" s="6">
        <v>13696118.37437148</v>
      </c>
      <c r="K37" s="6">
        <v>16380048.60910379</v>
      </c>
      <c r="L37" s="6">
        <v>19421737.157003392</v>
      </c>
      <c r="M37" s="6">
        <v>22839873.24791624</v>
      </c>
      <c r="N37" s="6">
        <v>26650258.322060499</v>
      </c>
      <c r="O37" s="6">
        <v>30865467.712860961</v>
      </c>
      <c r="P37" s="6">
        <v>35494587.729663827</v>
      </c>
    </row>
    <row r="38" spans="1:16" x14ac:dyDescent="0.25">
      <c r="A38" t="s">
        <v>37</v>
      </c>
      <c r="B38" s="6">
        <v>760128.26666666567</v>
      </c>
      <c r="C38" s="6">
        <v>946410.95773625968</v>
      </c>
      <c r="D38" s="6">
        <v>1166012.5784083321</v>
      </c>
      <c r="E38" s="6">
        <v>1422238.12188097</v>
      </c>
      <c r="F38" s="6">
        <v>1718273.4947176231</v>
      </c>
      <c r="G38" s="6">
        <v>2057117.6952325869</v>
      </c>
      <c r="H38" s="6">
        <v>2441517.917878882</v>
      </c>
      <c r="I38" s="6">
        <v>2873909.731088093</v>
      </c>
      <c r="J38" s="6">
        <v>3356364.1941531799</v>
      </c>
      <c r="K38" s="6">
        <v>3890543.424641063</v>
      </c>
      <c r="L38" s="6">
        <v>4477665.7280025864</v>
      </c>
      <c r="M38" s="6">
        <v>5118480.9818304665</v>
      </c>
      <c r="N38" s="6">
        <v>5813256.5528440941</v>
      </c>
      <c r="O38" s="6">
        <v>6561773.6359393001</v>
      </c>
      <c r="P38" s="6">
        <v>7363333.5579824476</v>
      </c>
    </row>
    <row r="39" spans="1:16" x14ac:dyDescent="0.25">
      <c r="A39" t="s">
        <v>38</v>
      </c>
      <c r="B39" s="6">
        <v>1231651.9333333219</v>
      </c>
      <c r="C39" s="6">
        <v>1231651.9333333219</v>
      </c>
      <c r="D39" s="6">
        <v>1231651.9333333219</v>
      </c>
      <c r="E39" s="6">
        <v>1231651.9333333219</v>
      </c>
      <c r="F39" s="6">
        <v>1231651.9333333219</v>
      </c>
      <c r="G39" s="6">
        <v>1231651.9333333219</v>
      </c>
      <c r="H39" s="6">
        <v>1231651.9333333219</v>
      </c>
      <c r="I39" s="6">
        <v>1231651.9333333219</v>
      </c>
      <c r="J39" s="6">
        <v>1231651.9333333219</v>
      </c>
      <c r="K39" s="6">
        <v>1231651.9333333219</v>
      </c>
      <c r="L39" s="6">
        <v>1231651.9333333219</v>
      </c>
      <c r="M39" s="6">
        <v>1231651.9333333219</v>
      </c>
      <c r="N39" s="6">
        <v>1231651.9333333219</v>
      </c>
      <c r="O39" s="6">
        <v>1231651.9333333219</v>
      </c>
      <c r="P39" s="6">
        <v>1231651.9333333219</v>
      </c>
    </row>
    <row r="40" spans="1:16" x14ac:dyDescent="0.25">
      <c r="A40" t="s">
        <v>39</v>
      </c>
      <c r="B40" s="6">
        <v>4562190.3333333731</v>
      </c>
      <c r="C40" s="6">
        <v>5554743.9423676413</v>
      </c>
      <c r="D40" s="6">
        <v>6699498.9745445363</v>
      </c>
      <c r="E40" s="6">
        <v>8007603.3037315086</v>
      </c>
      <c r="F40" s="6">
        <v>9489212.4957523793</v>
      </c>
      <c r="G40" s="6">
        <v>11153268.6319662</v>
      </c>
      <c r="H40" s="6">
        <v>13007306.44408262</v>
      </c>
      <c r="I40" s="6">
        <v>15057292.19037596</v>
      </c>
      <c r="J40" s="6">
        <v>17307499.175608639</v>
      </c>
      <c r="K40" s="6">
        <v>19760422.23358196</v>
      </c>
      <c r="L40" s="6">
        <v>22416731.94162054</v>
      </c>
      <c r="M40" s="6">
        <v>25275267.896000631</v>
      </c>
      <c r="N40" s="6">
        <v>28333069.105148058</v>
      </c>
      <c r="O40" s="6">
        <v>31585438.49424196</v>
      </c>
      <c r="P40" s="6">
        <v>35026037.683991581</v>
      </c>
    </row>
    <row r="41" spans="1:16" x14ac:dyDescent="0.25">
      <c r="A41" t="s">
        <v>40</v>
      </c>
      <c r="B41" s="6">
        <v>37424427.266666889</v>
      </c>
      <c r="C41" s="6">
        <v>45293257.790309653</v>
      </c>
      <c r="D41" s="6">
        <v>54315399.635299958</v>
      </c>
      <c r="E41" s="6">
        <v>64567223.515356109</v>
      </c>
      <c r="F41" s="6">
        <v>76116888.370856673</v>
      </c>
      <c r="G41" s="6">
        <v>89022859.6395576</v>
      </c>
      <c r="H41" s="6">
        <v>103332651.2223791</v>
      </c>
      <c r="I41" s="6">
        <v>119081823.57282691</v>
      </c>
      <c r="J41" s="6">
        <v>136293258.94591269</v>
      </c>
      <c r="K41" s="6">
        <v>154976723.4648279</v>
      </c>
      <c r="L41" s="6">
        <v>175128714.888091</v>
      </c>
      <c r="M41" s="6">
        <v>196732585.25855279</v>
      </c>
      <c r="N41" s="6">
        <v>219758919.33273789</v>
      </c>
      <c r="O41" s="6">
        <v>244166143.03954589</v>
      </c>
      <c r="P41" s="6">
        <v>269901331.29543853</v>
      </c>
    </row>
    <row r="42" spans="1:16" x14ac:dyDescent="0.25">
      <c r="A42" s="1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x14ac:dyDescent="0.25">
      <c r="A43" s="1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x14ac:dyDescent="0.25">
      <c r="A44" s="1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x14ac:dyDescent="0.25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5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5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5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5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5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5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5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5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5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5">
      <c r="A55" s="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5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5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5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25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5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5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5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5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5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5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5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5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5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5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5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5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5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5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5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5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5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5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5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5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5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5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5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5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5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5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5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5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5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5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5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5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5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5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5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5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5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5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5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5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5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5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5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5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5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5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5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5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5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5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5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25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25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25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25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25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5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25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5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25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25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25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5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25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25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25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25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25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5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5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25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5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5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25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25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25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25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25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25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25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x14ac:dyDescent="0.25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25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25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25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25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25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x14ac:dyDescent="0.25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25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25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25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x14ac:dyDescent="0.25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x14ac:dyDescent="0.25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25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25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25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25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25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x14ac:dyDescent="0.25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25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25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x14ac:dyDescent="0.25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5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x14ac:dyDescent="0.25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x14ac:dyDescent="0.25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x14ac:dyDescent="0.25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x14ac:dyDescent="0.25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25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x14ac:dyDescent="0.25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x14ac:dyDescent="0.25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x14ac:dyDescent="0.25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25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25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x14ac:dyDescent="0.25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x14ac:dyDescent="0.25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x14ac:dyDescent="0.25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x14ac:dyDescent="0.25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x14ac:dyDescent="0.25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x14ac:dyDescent="0.25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x14ac:dyDescent="0.25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x14ac:dyDescent="0.25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x14ac:dyDescent="0.25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x14ac:dyDescent="0.25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x14ac:dyDescent="0.25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x14ac:dyDescent="0.25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x14ac:dyDescent="0.25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x14ac:dyDescent="0.25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x14ac:dyDescent="0.25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x14ac:dyDescent="0.25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x14ac:dyDescent="0.25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x14ac:dyDescent="0.25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x14ac:dyDescent="0.25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x14ac:dyDescent="0.25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x14ac:dyDescent="0.25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x14ac:dyDescent="0.25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x14ac:dyDescent="0.25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x14ac:dyDescent="0.25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x14ac:dyDescent="0.25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92"/>
  <sheetViews>
    <sheetView workbookViewId="0">
      <selection activeCell="A13" sqref="A13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0</v>
      </c>
    </row>
    <row r="2" spans="1:1" x14ac:dyDescent="0.25">
      <c r="A2" s="1" t="s">
        <v>43</v>
      </c>
    </row>
    <row r="3" spans="1:1" x14ac:dyDescent="0.25">
      <c r="A3" s="1" t="s">
        <v>44</v>
      </c>
    </row>
    <row r="4" spans="1:1" x14ac:dyDescent="0.25">
      <c r="A4" s="1" t="s">
        <v>45</v>
      </c>
    </row>
    <row r="5" spans="1:1" x14ac:dyDescent="0.25">
      <c r="A5" s="1" t="s">
        <v>46</v>
      </c>
    </row>
    <row r="6" spans="1:1" x14ac:dyDescent="0.25">
      <c r="A6" s="1" t="s">
        <v>47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</sheetData>
  <conditionalFormatting sqref="A2:A41">
    <cfRule type="duplicateValues" dxfId="4" priority="1"/>
    <cfRule type="duplicateValues" dxfId="3" priority="2"/>
  </conditionalFormatting>
  <conditionalFormatting sqref="A42:B1048576 B2:B41">
    <cfRule type="duplicateValues" dxfId="2" priority="4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93"/>
  <sheetViews>
    <sheetView workbookViewId="0">
      <selection activeCell="A40" sqref="A40:XFD40"/>
    </sheetView>
  </sheetViews>
  <sheetFormatPr defaultRowHeight="15" x14ac:dyDescent="0.25"/>
  <cols>
    <col min="1" max="1" width="20.7109375" customWidth="1"/>
    <col min="2" max="2" width="18.85546875" bestFit="1" customWidth="1"/>
  </cols>
  <sheetData>
    <row r="1" spans="1:2" x14ac:dyDescent="0.25">
      <c r="A1" t="s">
        <v>0</v>
      </c>
      <c r="B1" t="s">
        <v>51</v>
      </c>
    </row>
    <row r="2" spans="1:2" x14ac:dyDescent="0.25">
      <c r="A2" t="s">
        <v>43</v>
      </c>
      <c r="B2">
        <v>0</v>
      </c>
    </row>
    <row r="3" spans="1:2" x14ac:dyDescent="0.25">
      <c r="A3" t="s">
        <v>44</v>
      </c>
      <c r="B3">
        <v>7</v>
      </c>
    </row>
    <row r="4" spans="1:2" x14ac:dyDescent="0.25">
      <c r="A4" t="s">
        <v>45</v>
      </c>
      <c r="B4">
        <v>0</v>
      </c>
    </row>
    <row r="5" spans="1:2" x14ac:dyDescent="0.25">
      <c r="A5" t="s">
        <v>46</v>
      </c>
      <c r="B5">
        <v>0</v>
      </c>
    </row>
    <row r="6" spans="1:2" x14ac:dyDescent="0.25">
      <c r="A6" t="s">
        <v>47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62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42</v>
      </c>
    </row>
    <row r="11" spans="1:2" x14ac:dyDescent="0.25">
      <c r="A11" t="s">
        <v>10</v>
      </c>
      <c r="B11">
        <v>71</v>
      </c>
    </row>
    <row r="12" spans="1:2" x14ac:dyDescent="0.25">
      <c r="A12" t="s">
        <v>11</v>
      </c>
      <c r="B12">
        <v>53</v>
      </c>
    </row>
    <row r="13" spans="1:2" x14ac:dyDescent="0.25">
      <c r="A13" t="s">
        <v>12</v>
      </c>
      <c r="B13">
        <v>56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47</v>
      </c>
    </row>
    <row r="17" spans="1:2" x14ac:dyDescent="0.25">
      <c r="A17" t="s">
        <v>16</v>
      </c>
      <c r="B17">
        <v>56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46</v>
      </c>
    </row>
    <row r="24" spans="1:2" x14ac:dyDescent="0.25">
      <c r="A24" t="s">
        <v>23</v>
      </c>
      <c r="B24">
        <v>50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55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67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47</v>
      </c>
    </row>
    <row r="32" spans="1:2" x14ac:dyDescent="0.25">
      <c r="A32" t="s">
        <v>31</v>
      </c>
      <c r="B32">
        <v>40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0</v>
      </c>
    </row>
    <row r="36" spans="1:2" x14ac:dyDescent="0.25">
      <c r="A36" t="s">
        <v>35</v>
      </c>
      <c r="B36">
        <v>0</v>
      </c>
    </row>
    <row r="37" spans="1:2" x14ac:dyDescent="0.25">
      <c r="A37" t="s">
        <v>36</v>
      </c>
      <c r="B37">
        <v>44</v>
      </c>
    </row>
    <row r="38" spans="1:2" x14ac:dyDescent="0.25">
      <c r="A38" t="s">
        <v>37</v>
      </c>
      <c r="B38">
        <v>41</v>
      </c>
    </row>
    <row r="39" spans="1:2" x14ac:dyDescent="0.25">
      <c r="A39" t="s">
        <v>38</v>
      </c>
      <c r="B39">
        <v>0</v>
      </c>
    </row>
    <row r="40" spans="1:2" x14ac:dyDescent="0.25">
      <c r="A40" t="s">
        <v>39</v>
      </c>
      <c r="B40">
        <v>66</v>
      </c>
    </row>
    <row r="41" spans="1:2" x14ac:dyDescent="0.25">
      <c r="A41" t="s">
        <v>40</v>
      </c>
      <c r="B41">
        <v>72</v>
      </c>
    </row>
    <row r="42" spans="1:2" x14ac:dyDescent="0.25">
      <c r="A42" s="1"/>
    </row>
    <row r="43" spans="1:2" x14ac:dyDescent="0.25">
      <c r="A43" s="1"/>
    </row>
    <row r="44" spans="1:2" x14ac:dyDescent="0.25">
      <c r="A44" s="1"/>
    </row>
    <row r="45" spans="1:2" x14ac:dyDescent="0.25">
      <c r="A45" s="1"/>
    </row>
    <row r="46" spans="1:2" x14ac:dyDescent="0.25">
      <c r="A46" s="1"/>
    </row>
    <row r="47" spans="1:2" x14ac:dyDescent="0.25">
      <c r="A47" s="1"/>
    </row>
    <row r="48" spans="1:2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93"/>
  <sheetViews>
    <sheetView workbookViewId="0">
      <selection activeCell="B16" sqref="B16"/>
    </sheetView>
  </sheetViews>
  <sheetFormatPr defaultRowHeight="15" x14ac:dyDescent="0.25"/>
  <cols>
    <col min="1" max="1" width="24.85546875" customWidth="1"/>
    <col min="2" max="2" width="22.42578125" bestFit="1" customWidth="1"/>
  </cols>
  <sheetData>
    <row r="1" spans="1:2" x14ac:dyDescent="0.25">
      <c r="A1" t="s">
        <v>0</v>
      </c>
      <c r="B1" t="s">
        <v>52</v>
      </c>
    </row>
    <row r="2" spans="1:2" x14ac:dyDescent="0.25">
      <c r="A2" t="s">
        <v>43</v>
      </c>
      <c r="B2">
        <v>2</v>
      </c>
    </row>
    <row r="3" spans="1:2" x14ac:dyDescent="0.25">
      <c r="A3" t="s">
        <v>44</v>
      </c>
      <c r="B3">
        <v>3</v>
      </c>
    </row>
    <row r="4" spans="1:2" x14ac:dyDescent="0.25">
      <c r="A4" t="s">
        <v>45</v>
      </c>
      <c r="B4">
        <v>2</v>
      </c>
    </row>
    <row r="5" spans="1:2" x14ac:dyDescent="0.25">
      <c r="A5" t="s">
        <v>46</v>
      </c>
      <c r="B5">
        <v>2</v>
      </c>
    </row>
    <row r="6" spans="1:2" x14ac:dyDescent="0.25">
      <c r="A6" t="s">
        <v>47</v>
      </c>
      <c r="B6">
        <v>2</v>
      </c>
    </row>
    <row r="7" spans="1:2" x14ac:dyDescent="0.25">
      <c r="A7" t="s">
        <v>6</v>
      </c>
      <c r="B7">
        <v>5</v>
      </c>
    </row>
    <row r="8" spans="1:2" x14ac:dyDescent="0.25">
      <c r="A8" t="s">
        <v>7</v>
      </c>
      <c r="B8">
        <v>1</v>
      </c>
    </row>
    <row r="9" spans="1:2" x14ac:dyDescent="0.25">
      <c r="A9" t="s">
        <v>8</v>
      </c>
      <c r="B9">
        <v>5</v>
      </c>
    </row>
    <row r="10" spans="1:2" x14ac:dyDescent="0.25">
      <c r="A10" t="s">
        <v>9</v>
      </c>
      <c r="B10">
        <v>5</v>
      </c>
    </row>
    <row r="11" spans="1:2" x14ac:dyDescent="0.25">
      <c r="A11" t="s">
        <v>10</v>
      </c>
      <c r="B11">
        <v>5</v>
      </c>
    </row>
    <row r="12" spans="1:2" x14ac:dyDescent="0.25">
      <c r="A12" t="s">
        <v>11</v>
      </c>
      <c r="B12">
        <v>5</v>
      </c>
    </row>
    <row r="13" spans="1:2" x14ac:dyDescent="0.25">
      <c r="A13" t="s">
        <v>12</v>
      </c>
      <c r="B13">
        <v>1</v>
      </c>
    </row>
    <row r="14" spans="1:2" x14ac:dyDescent="0.25">
      <c r="A14" t="s">
        <v>13</v>
      </c>
      <c r="B14">
        <v>5</v>
      </c>
    </row>
    <row r="15" spans="1:2" x14ac:dyDescent="0.25">
      <c r="A15" t="s">
        <v>14</v>
      </c>
      <c r="B15">
        <v>5</v>
      </c>
    </row>
    <row r="16" spans="1:2" x14ac:dyDescent="0.25">
      <c r="A16" t="s">
        <v>15</v>
      </c>
      <c r="B16">
        <v>5</v>
      </c>
    </row>
    <row r="17" spans="1:2" x14ac:dyDescent="0.25">
      <c r="A17" t="s">
        <v>16</v>
      </c>
      <c r="B17">
        <v>1</v>
      </c>
    </row>
    <row r="18" spans="1:2" x14ac:dyDescent="0.25">
      <c r="A18" t="s">
        <v>17</v>
      </c>
      <c r="B18">
        <v>3</v>
      </c>
    </row>
    <row r="19" spans="1:2" x14ac:dyDescent="0.25">
      <c r="A19" t="s">
        <v>18</v>
      </c>
      <c r="B19">
        <v>5</v>
      </c>
    </row>
    <row r="20" spans="1:2" x14ac:dyDescent="0.25">
      <c r="A20" t="s">
        <v>19</v>
      </c>
      <c r="B20">
        <v>4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1</v>
      </c>
    </row>
    <row r="23" spans="1:2" x14ac:dyDescent="0.25">
      <c r="A23" t="s">
        <v>22</v>
      </c>
      <c r="B23">
        <v>1</v>
      </c>
    </row>
    <row r="24" spans="1:2" x14ac:dyDescent="0.25">
      <c r="A24" t="s">
        <v>23</v>
      </c>
      <c r="B24">
        <v>5</v>
      </c>
    </row>
    <row r="25" spans="1:2" x14ac:dyDescent="0.25">
      <c r="A25" t="s">
        <v>24</v>
      </c>
      <c r="B25">
        <v>3</v>
      </c>
    </row>
    <row r="26" spans="1:2" x14ac:dyDescent="0.25">
      <c r="A26" t="s">
        <v>25</v>
      </c>
      <c r="B26">
        <v>5</v>
      </c>
    </row>
    <row r="27" spans="1:2" x14ac:dyDescent="0.25">
      <c r="A27" t="s">
        <v>26</v>
      </c>
      <c r="B27">
        <v>5</v>
      </c>
    </row>
    <row r="28" spans="1:2" x14ac:dyDescent="0.25">
      <c r="A28" t="s">
        <v>27</v>
      </c>
      <c r="B28">
        <v>2</v>
      </c>
    </row>
    <row r="29" spans="1:2" x14ac:dyDescent="0.25">
      <c r="A29" t="s">
        <v>28</v>
      </c>
      <c r="B29">
        <v>3</v>
      </c>
    </row>
    <row r="30" spans="1:2" x14ac:dyDescent="0.25">
      <c r="A30" t="s">
        <v>29</v>
      </c>
      <c r="B30">
        <v>5</v>
      </c>
    </row>
    <row r="31" spans="1:2" x14ac:dyDescent="0.25">
      <c r="A31" t="s">
        <v>30</v>
      </c>
      <c r="B31">
        <v>5</v>
      </c>
    </row>
    <row r="32" spans="1:2" x14ac:dyDescent="0.25">
      <c r="A32" t="s">
        <v>31</v>
      </c>
      <c r="B32">
        <v>2</v>
      </c>
    </row>
    <row r="33" spans="1:2" x14ac:dyDescent="0.25">
      <c r="A33" t="s">
        <v>32</v>
      </c>
      <c r="B33">
        <v>5</v>
      </c>
    </row>
    <row r="34" spans="1:2" x14ac:dyDescent="0.25">
      <c r="A34" t="s">
        <v>33</v>
      </c>
      <c r="B34">
        <v>5</v>
      </c>
    </row>
    <row r="35" spans="1:2" x14ac:dyDescent="0.25">
      <c r="A35" t="s">
        <v>34</v>
      </c>
      <c r="B35">
        <v>5</v>
      </c>
    </row>
    <row r="36" spans="1:2" x14ac:dyDescent="0.25">
      <c r="A36" t="s">
        <v>35</v>
      </c>
      <c r="B36">
        <v>5</v>
      </c>
    </row>
    <row r="37" spans="1:2" x14ac:dyDescent="0.25">
      <c r="A37" t="s">
        <v>36</v>
      </c>
      <c r="B37">
        <v>5</v>
      </c>
    </row>
    <row r="38" spans="1:2" x14ac:dyDescent="0.25">
      <c r="A38" t="s">
        <v>37</v>
      </c>
      <c r="B38">
        <v>5</v>
      </c>
    </row>
    <row r="39" spans="1:2" x14ac:dyDescent="0.25">
      <c r="A39" t="s">
        <v>38</v>
      </c>
      <c r="B39">
        <v>1</v>
      </c>
    </row>
    <row r="40" spans="1:2" x14ac:dyDescent="0.25">
      <c r="A40" t="s">
        <v>39</v>
      </c>
      <c r="B40">
        <v>5</v>
      </c>
    </row>
    <row r="41" spans="1:2" x14ac:dyDescent="0.25">
      <c r="A41" t="s">
        <v>40</v>
      </c>
      <c r="B41">
        <v>5</v>
      </c>
    </row>
    <row r="42" spans="1:2" x14ac:dyDescent="0.25">
      <c r="A42" s="1"/>
    </row>
    <row r="43" spans="1:2" x14ac:dyDescent="0.25">
      <c r="A43" s="1"/>
    </row>
    <row r="44" spans="1:2" x14ac:dyDescent="0.25">
      <c r="A44" s="1"/>
    </row>
    <row r="45" spans="1:2" x14ac:dyDescent="0.25">
      <c r="A45" s="1"/>
    </row>
    <row r="46" spans="1:2" x14ac:dyDescent="0.25">
      <c r="A46" s="1"/>
    </row>
    <row r="47" spans="1:2" x14ac:dyDescent="0.25">
      <c r="A47" s="1"/>
    </row>
    <row r="48" spans="1:2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93"/>
  <sheetViews>
    <sheetView workbookViewId="0">
      <selection activeCell="F35" sqref="F35"/>
    </sheetView>
  </sheetViews>
  <sheetFormatPr defaultColWidth="23.28515625" defaultRowHeight="15" x14ac:dyDescent="0.25"/>
  <sheetData>
    <row r="1" spans="1:3" x14ac:dyDescent="0.25">
      <c r="A1" t="s">
        <v>0</v>
      </c>
      <c r="B1" t="s">
        <v>53</v>
      </c>
      <c r="C1" t="s">
        <v>54</v>
      </c>
    </row>
    <row r="2" spans="1:3" x14ac:dyDescent="0.25">
      <c r="A2" s="1" t="s">
        <v>43</v>
      </c>
      <c r="B2" s="3">
        <v>0</v>
      </c>
      <c r="C2">
        <v>1</v>
      </c>
    </row>
    <row r="3" spans="1:3" x14ac:dyDescent="0.25">
      <c r="A3" s="1" t="s">
        <v>44</v>
      </c>
      <c r="B3" s="3">
        <v>0</v>
      </c>
      <c r="C3">
        <v>1</v>
      </c>
    </row>
    <row r="4" spans="1:3" x14ac:dyDescent="0.25">
      <c r="A4" s="1" t="s">
        <v>45</v>
      </c>
      <c r="B4" s="3">
        <v>0</v>
      </c>
      <c r="C4">
        <v>1</v>
      </c>
    </row>
    <row r="5" spans="1:3" x14ac:dyDescent="0.25">
      <c r="A5" s="1" t="s">
        <v>46</v>
      </c>
      <c r="B5" s="3">
        <v>0</v>
      </c>
      <c r="C5">
        <v>1</v>
      </c>
    </row>
    <row r="6" spans="1:3" x14ac:dyDescent="0.25">
      <c r="A6" s="1" t="s">
        <v>47</v>
      </c>
      <c r="B6" s="3">
        <v>0</v>
      </c>
      <c r="C6">
        <v>1</v>
      </c>
    </row>
    <row r="7" spans="1:3" x14ac:dyDescent="0.25">
      <c r="A7" s="1" t="s">
        <v>6</v>
      </c>
      <c r="B7" s="3">
        <f>13.9+30.6</f>
        <v>44.5</v>
      </c>
      <c r="C7">
        <v>22.9</v>
      </c>
    </row>
    <row r="8" spans="1:3" x14ac:dyDescent="0.25">
      <c r="A8" s="1" t="s">
        <v>7</v>
      </c>
      <c r="B8" s="3">
        <v>35</v>
      </c>
      <c r="C8">
        <v>38</v>
      </c>
    </row>
    <row r="9" spans="1:3" x14ac:dyDescent="0.25">
      <c r="A9" s="1" t="s">
        <v>8</v>
      </c>
      <c r="B9" s="3">
        <v>37</v>
      </c>
      <c r="C9">
        <v>23</v>
      </c>
    </row>
    <row r="10" spans="1:3" x14ac:dyDescent="0.25">
      <c r="A10" s="1" t="s">
        <v>9</v>
      </c>
      <c r="B10" s="3">
        <v>26</v>
      </c>
      <c r="C10">
        <v>41</v>
      </c>
    </row>
    <row r="11" spans="1:3" x14ac:dyDescent="0.25">
      <c r="A11" s="1" t="s">
        <v>10</v>
      </c>
      <c r="B11" s="3">
        <v>35</v>
      </c>
      <c r="C11">
        <v>27</v>
      </c>
    </row>
    <row r="12" spans="1:3" x14ac:dyDescent="0.25">
      <c r="A12" s="1" t="s">
        <v>11</v>
      </c>
      <c r="B12" s="3">
        <v>57</v>
      </c>
      <c r="C12">
        <v>12</v>
      </c>
    </row>
    <row r="13" spans="1:3" x14ac:dyDescent="0.25">
      <c r="A13" s="1" t="s">
        <v>12</v>
      </c>
      <c r="B13" s="3">
        <v>55</v>
      </c>
      <c r="C13">
        <v>26</v>
      </c>
    </row>
    <row r="14" spans="1:3" x14ac:dyDescent="0.25">
      <c r="A14" s="1" t="s">
        <v>13</v>
      </c>
      <c r="B14" s="3">
        <v>49</v>
      </c>
      <c r="C14">
        <v>21</v>
      </c>
    </row>
    <row r="15" spans="1:3" x14ac:dyDescent="0.25">
      <c r="A15" s="1" t="s">
        <v>14</v>
      </c>
      <c r="B15" s="3">
        <v>50</v>
      </c>
      <c r="C15">
        <v>23</v>
      </c>
    </row>
    <row r="16" spans="1:3" x14ac:dyDescent="0.25">
      <c r="A16" s="1" t="s">
        <v>15</v>
      </c>
      <c r="B16" s="3">
        <v>46</v>
      </c>
      <c r="C16">
        <v>21</v>
      </c>
    </row>
    <row r="17" spans="1:3" x14ac:dyDescent="0.25">
      <c r="A17" s="1" t="s">
        <v>16</v>
      </c>
      <c r="B17" s="3">
        <v>40</v>
      </c>
      <c r="C17">
        <v>28</v>
      </c>
    </row>
    <row r="18" spans="1:3" x14ac:dyDescent="0.25">
      <c r="A18" s="1" t="s">
        <v>17</v>
      </c>
      <c r="B18" s="3">
        <v>0</v>
      </c>
      <c r="C18">
        <v>0</v>
      </c>
    </row>
    <row r="19" spans="1:3" x14ac:dyDescent="0.25">
      <c r="A19" s="1" t="s">
        <v>18</v>
      </c>
      <c r="B19" s="3">
        <v>49</v>
      </c>
      <c r="C19">
        <v>22</v>
      </c>
    </row>
    <row r="20" spans="1:3" x14ac:dyDescent="0.25">
      <c r="A20" s="1" t="s">
        <v>19</v>
      </c>
      <c r="B20" s="3">
        <v>26</v>
      </c>
      <c r="C20">
        <v>37</v>
      </c>
    </row>
    <row r="21" spans="1:3" x14ac:dyDescent="0.25">
      <c r="A21" s="1" t="s">
        <v>20</v>
      </c>
      <c r="B21" s="3">
        <v>57</v>
      </c>
      <c r="C21">
        <v>19</v>
      </c>
    </row>
    <row r="22" spans="1:3" x14ac:dyDescent="0.25">
      <c r="A22" s="1" t="s">
        <v>21</v>
      </c>
      <c r="B22" s="3">
        <v>52.4</v>
      </c>
      <c r="C22">
        <v>42.6</v>
      </c>
    </row>
    <row r="23" spans="1:3" x14ac:dyDescent="0.25">
      <c r="A23" s="1" t="s">
        <v>22</v>
      </c>
      <c r="B23" s="3">
        <v>28</v>
      </c>
      <c r="C23">
        <v>39</v>
      </c>
    </row>
    <row r="24" spans="1:3" x14ac:dyDescent="0.25">
      <c r="A24" s="1" t="s">
        <v>23</v>
      </c>
      <c r="B24" s="3">
        <v>25</v>
      </c>
      <c r="C24">
        <v>36</v>
      </c>
    </row>
    <row r="25" spans="1:3" x14ac:dyDescent="0.25">
      <c r="A25" s="1" t="s">
        <v>24</v>
      </c>
      <c r="B25" s="3">
        <f>16+23.8</f>
        <v>39.799999999999997</v>
      </c>
      <c r="C25">
        <f>15.1+25</f>
        <v>40.1</v>
      </c>
    </row>
    <row r="26" spans="1:3" x14ac:dyDescent="0.25">
      <c r="A26" s="1" t="s">
        <v>25</v>
      </c>
      <c r="B26" s="3">
        <v>67.099999999999994</v>
      </c>
      <c r="C26">
        <v>32.9</v>
      </c>
    </row>
    <row r="27" spans="1:3" x14ac:dyDescent="0.25">
      <c r="A27" s="1" t="s">
        <v>26</v>
      </c>
      <c r="B27" s="3">
        <v>45</v>
      </c>
      <c r="C27">
        <v>28</v>
      </c>
    </row>
    <row r="28" spans="1:3" x14ac:dyDescent="0.25">
      <c r="A28" s="1" t="s">
        <v>27</v>
      </c>
      <c r="B28" s="3">
        <v>0</v>
      </c>
      <c r="C28">
        <v>0</v>
      </c>
    </row>
    <row r="29" spans="1:3" x14ac:dyDescent="0.25">
      <c r="A29" s="1" t="s">
        <v>28</v>
      </c>
      <c r="B29" s="3">
        <v>41</v>
      </c>
      <c r="C29">
        <v>23</v>
      </c>
    </row>
    <row r="30" spans="1:3" x14ac:dyDescent="0.25">
      <c r="A30" s="1" t="s">
        <v>29</v>
      </c>
      <c r="B30" s="3">
        <v>0</v>
      </c>
      <c r="C30">
        <v>0</v>
      </c>
    </row>
    <row r="31" spans="1:3" x14ac:dyDescent="0.25">
      <c r="A31" s="1" t="s">
        <v>30</v>
      </c>
      <c r="B31" s="3">
        <v>55</v>
      </c>
      <c r="C31">
        <v>16</v>
      </c>
    </row>
    <row r="32" spans="1:3" x14ac:dyDescent="0.25">
      <c r="A32" s="1" t="s">
        <v>31</v>
      </c>
      <c r="B32" s="3">
        <v>0</v>
      </c>
      <c r="C32">
        <v>0</v>
      </c>
    </row>
    <row r="33" spans="1:3" x14ac:dyDescent="0.25">
      <c r="A33" s="1" t="s">
        <v>32</v>
      </c>
      <c r="B33" s="3">
        <v>51</v>
      </c>
      <c r="C33">
        <v>16</v>
      </c>
    </row>
    <row r="34" spans="1:3" x14ac:dyDescent="0.25">
      <c r="A34" s="1" t="s">
        <v>33</v>
      </c>
      <c r="B34" s="3">
        <f>16.1+25.3</f>
        <v>41.400000000000006</v>
      </c>
      <c r="C34">
        <v>35.9</v>
      </c>
    </row>
    <row r="35" spans="1:3" x14ac:dyDescent="0.25">
      <c r="A35" s="1" t="s">
        <v>34</v>
      </c>
      <c r="B35" s="3">
        <v>46</v>
      </c>
      <c r="C35">
        <v>27</v>
      </c>
    </row>
    <row r="36" spans="1:3" x14ac:dyDescent="0.25">
      <c r="A36" s="1" t="s">
        <v>35</v>
      </c>
      <c r="B36" s="3">
        <v>42</v>
      </c>
      <c r="C36">
        <v>27</v>
      </c>
    </row>
    <row r="37" spans="1:3" x14ac:dyDescent="0.25">
      <c r="A37" s="1" t="s">
        <v>36</v>
      </c>
      <c r="B37" s="3">
        <v>32</v>
      </c>
      <c r="C37">
        <v>42</v>
      </c>
    </row>
    <row r="38" spans="1:3" x14ac:dyDescent="0.25">
      <c r="A38" s="1" t="s">
        <v>37</v>
      </c>
      <c r="B38" s="3">
        <v>48</v>
      </c>
      <c r="C38">
        <v>28</v>
      </c>
    </row>
    <row r="39" spans="1:3" x14ac:dyDescent="0.25">
      <c r="A39" s="1" t="s">
        <v>38</v>
      </c>
      <c r="B39" s="3">
        <v>53</v>
      </c>
      <c r="C39">
        <v>43</v>
      </c>
    </row>
    <row r="40" spans="1:3" x14ac:dyDescent="0.25">
      <c r="A40" s="1" t="s">
        <v>39</v>
      </c>
      <c r="B40" s="3">
        <v>37</v>
      </c>
      <c r="C40">
        <v>25</v>
      </c>
    </row>
    <row r="41" spans="1:3" x14ac:dyDescent="0.25">
      <c r="A41" s="1" t="s">
        <v>40</v>
      </c>
      <c r="B41" s="3">
        <v>36</v>
      </c>
      <c r="C41">
        <v>27</v>
      </c>
    </row>
    <row r="42" spans="1:3" x14ac:dyDescent="0.25">
      <c r="A42" s="1"/>
      <c r="B42" s="3"/>
    </row>
    <row r="43" spans="1:3" x14ac:dyDescent="0.25">
      <c r="A43" s="1"/>
      <c r="B43" s="3"/>
    </row>
    <row r="44" spans="1:3" x14ac:dyDescent="0.25">
      <c r="A44" s="1"/>
      <c r="B44" s="3"/>
    </row>
    <row r="45" spans="1:3" x14ac:dyDescent="0.25">
      <c r="A45" s="1"/>
      <c r="B45" s="3"/>
    </row>
    <row r="46" spans="1:3" x14ac:dyDescent="0.25">
      <c r="A46" s="1"/>
      <c r="B46" s="3"/>
    </row>
    <row r="47" spans="1:3" x14ac:dyDescent="0.25">
      <c r="A47" s="1"/>
      <c r="B47" s="3"/>
    </row>
    <row r="48" spans="1:3" x14ac:dyDescent="0.25">
      <c r="A48" s="1"/>
      <c r="B48" s="3"/>
    </row>
    <row r="49" spans="1:2" x14ac:dyDescent="0.25">
      <c r="A49" s="1"/>
      <c r="B49" s="3"/>
    </row>
    <row r="50" spans="1:2" x14ac:dyDescent="0.25">
      <c r="A50" s="1"/>
      <c r="B50" s="3"/>
    </row>
    <row r="51" spans="1:2" x14ac:dyDescent="0.25">
      <c r="A51" s="1"/>
      <c r="B51" s="3"/>
    </row>
    <row r="52" spans="1:2" x14ac:dyDescent="0.25">
      <c r="A52" s="1"/>
      <c r="B52" s="3"/>
    </row>
    <row r="53" spans="1:2" x14ac:dyDescent="0.25">
      <c r="A53" s="1"/>
      <c r="B53" s="3"/>
    </row>
    <row r="54" spans="1:2" x14ac:dyDescent="0.25">
      <c r="A54" s="1"/>
      <c r="B54" s="3"/>
    </row>
    <row r="55" spans="1:2" x14ac:dyDescent="0.25">
      <c r="A55" s="1"/>
      <c r="B55" s="3"/>
    </row>
    <row r="56" spans="1:2" x14ac:dyDescent="0.25">
      <c r="A56" s="1"/>
      <c r="B56" s="3"/>
    </row>
    <row r="57" spans="1:2" x14ac:dyDescent="0.25">
      <c r="A57" s="1"/>
      <c r="B57" s="3"/>
    </row>
    <row r="58" spans="1:2" x14ac:dyDescent="0.25">
      <c r="A58" s="1"/>
      <c r="B58" s="3"/>
    </row>
    <row r="59" spans="1:2" x14ac:dyDescent="0.25">
      <c r="A59" s="1"/>
      <c r="B59" s="3"/>
    </row>
    <row r="60" spans="1:2" x14ac:dyDescent="0.25">
      <c r="A60" s="1"/>
      <c r="B60" s="3"/>
    </row>
    <row r="61" spans="1:2" x14ac:dyDescent="0.25">
      <c r="A61" s="1"/>
      <c r="B61" s="3"/>
    </row>
    <row r="62" spans="1:2" x14ac:dyDescent="0.25">
      <c r="A62" s="1"/>
      <c r="B62" s="3"/>
    </row>
    <row r="63" spans="1:2" x14ac:dyDescent="0.25">
      <c r="A63" s="1"/>
      <c r="B63" s="3"/>
    </row>
    <row r="64" spans="1:2" x14ac:dyDescent="0.25">
      <c r="A64" s="1"/>
      <c r="B64" s="3"/>
    </row>
    <row r="65" spans="1:2" x14ac:dyDescent="0.25">
      <c r="A65" s="1"/>
      <c r="B65" s="3"/>
    </row>
    <row r="66" spans="1:2" x14ac:dyDescent="0.25">
      <c r="A66" s="1"/>
      <c r="B66" s="3"/>
    </row>
    <row r="67" spans="1:2" x14ac:dyDescent="0.25">
      <c r="A67" s="1"/>
      <c r="B67" s="3"/>
    </row>
    <row r="68" spans="1:2" x14ac:dyDescent="0.25">
      <c r="A68" s="1"/>
      <c r="B68" s="3"/>
    </row>
    <row r="69" spans="1:2" x14ac:dyDescent="0.25">
      <c r="A69" s="1"/>
      <c r="B69" s="3"/>
    </row>
    <row r="70" spans="1:2" x14ac:dyDescent="0.25">
      <c r="A70" s="1"/>
      <c r="B70" s="3"/>
    </row>
    <row r="71" spans="1:2" x14ac:dyDescent="0.25">
      <c r="A71" s="1"/>
      <c r="B71" s="3"/>
    </row>
    <row r="72" spans="1:2" x14ac:dyDescent="0.25">
      <c r="A72" s="1"/>
      <c r="B72" s="3"/>
    </row>
    <row r="73" spans="1:2" x14ac:dyDescent="0.25">
      <c r="A73" s="1"/>
      <c r="B73" s="3"/>
    </row>
    <row r="74" spans="1:2" x14ac:dyDescent="0.25">
      <c r="A74" s="1"/>
      <c r="B74" s="3"/>
    </row>
    <row r="75" spans="1:2" x14ac:dyDescent="0.25">
      <c r="A75" s="1"/>
      <c r="B75" s="3"/>
    </row>
    <row r="76" spans="1:2" x14ac:dyDescent="0.25">
      <c r="A76" s="1"/>
      <c r="B76" s="3"/>
    </row>
    <row r="77" spans="1:2" x14ac:dyDescent="0.25">
      <c r="A77" s="1"/>
      <c r="B77" s="3"/>
    </row>
    <row r="78" spans="1:2" x14ac:dyDescent="0.25">
      <c r="A78" s="1"/>
      <c r="B78" s="3"/>
    </row>
    <row r="79" spans="1:2" x14ac:dyDescent="0.25">
      <c r="A79" s="1"/>
      <c r="B79" s="3"/>
    </row>
    <row r="80" spans="1:2" x14ac:dyDescent="0.25">
      <c r="A80" s="1"/>
      <c r="B80" s="3"/>
    </row>
    <row r="81" spans="1:2" x14ac:dyDescent="0.25">
      <c r="A81" s="1"/>
      <c r="B81" s="3"/>
    </row>
    <row r="82" spans="1:2" x14ac:dyDescent="0.25">
      <c r="A82" s="1"/>
      <c r="B82" s="3"/>
    </row>
    <row r="83" spans="1:2" x14ac:dyDescent="0.25">
      <c r="A83" s="1"/>
      <c r="B83" s="3"/>
    </row>
    <row r="84" spans="1:2" x14ac:dyDescent="0.25">
      <c r="A84" s="1"/>
      <c r="B84" s="3"/>
    </row>
    <row r="85" spans="1:2" x14ac:dyDescent="0.25">
      <c r="A85" s="1"/>
      <c r="B85" s="3"/>
    </row>
    <row r="86" spans="1:2" x14ac:dyDescent="0.25">
      <c r="A86" s="1"/>
      <c r="B86" s="3"/>
    </row>
    <row r="87" spans="1:2" x14ac:dyDescent="0.25">
      <c r="A87" s="1"/>
      <c r="B87" s="3"/>
    </row>
    <row r="88" spans="1:2" x14ac:dyDescent="0.25">
      <c r="A88" s="1"/>
      <c r="B88" s="3"/>
    </row>
    <row r="89" spans="1:2" x14ac:dyDescent="0.25">
      <c r="A89" s="1"/>
      <c r="B89" s="3"/>
    </row>
    <row r="90" spans="1:2" x14ac:dyDescent="0.25">
      <c r="A90" s="1"/>
      <c r="B90" s="3"/>
    </row>
    <row r="91" spans="1:2" x14ac:dyDescent="0.25">
      <c r="A91" s="1"/>
      <c r="B91" s="3"/>
    </row>
    <row r="92" spans="1:2" x14ac:dyDescent="0.25">
      <c r="A92" s="1"/>
      <c r="B92" s="3"/>
    </row>
    <row r="93" spans="1:2" x14ac:dyDescent="0.25">
      <c r="A93" s="1"/>
      <c r="B93" s="3"/>
    </row>
    <row r="94" spans="1:2" x14ac:dyDescent="0.25">
      <c r="A94" s="1"/>
      <c r="B94" s="3"/>
    </row>
    <row r="95" spans="1:2" x14ac:dyDescent="0.25">
      <c r="A95" s="1"/>
      <c r="B95" s="3"/>
    </row>
    <row r="96" spans="1:2" x14ac:dyDescent="0.25">
      <c r="A96" s="1"/>
      <c r="B96" s="3"/>
    </row>
    <row r="97" spans="1:2" x14ac:dyDescent="0.25">
      <c r="A97" s="1"/>
      <c r="B97" s="3"/>
    </row>
    <row r="98" spans="1:2" x14ac:dyDescent="0.25">
      <c r="A98" s="1"/>
      <c r="B98" s="3"/>
    </row>
    <row r="99" spans="1:2" x14ac:dyDescent="0.25">
      <c r="A99" s="1"/>
      <c r="B99" s="3"/>
    </row>
    <row r="100" spans="1:2" x14ac:dyDescent="0.25">
      <c r="A100" s="1"/>
      <c r="B100" s="3"/>
    </row>
    <row r="101" spans="1:2" x14ac:dyDescent="0.25">
      <c r="A101" s="1"/>
      <c r="B101" s="3"/>
    </row>
    <row r="102" spans="1:2" x14ac:dyDescent="0.25">
      <c r="A102" s="1"/>
      <c r="B102" s="3"/>
    </row>
    <row r="103" spans="1:2" x14ac:dyDescent="0.25">
      <c r="A103" s="1"/>
      <c r="B103" s="3"/>
    </row>
    <row r="104" spans="1:2" x14ac:dyDescent="0.25">
      <c r="A104" s="1"/>
      <c r="B104" s="3"/>
    </row>
    <row r="105" spans="1:2" x14ac:dyDescent="0.25">
      <c r="A105" s="1"/>
      <c r="B105" s="3"/>
    </row>
    <row r="106" spans="1:2" x14ac:dyDescent="0.25">
      <c r="A106" s="1"/>
      <c r="B106" s="3"/>
    </row>
    <row r="107" spans="1:2" x14ac:dyDescent="0.25">
      <c r="A107" s="1"/>
      <c r="B107" s="3"/>
    </row>
    <row r="108" spans="1:2" x14ac:dyDescent="0.25">
      <c r="A108" s="1"/>
      <c r="B108" s="3"/>
    </row>
    <row r="109" spans="1:2" x14ac:dyDescent="0.25">
      <c r="A109" s="1"/>
      <c r="B109" s="3"/>
    </row>
    <row r="110" spans="1:2" x14ac:dyDescent="0.25">
      <c r="A110" s="1"/>
      <c r="B110" s="3"/>
    </row>
    <row r="111" spans="1:2" x14ac:dyDescent="0.25">
      <c r="A111" s="1"/>
      <c r="B111" s="3"/>
    </row>
    <row r="112" spans="1:2" x14ac:dyDescent="0.25">
      <c r="A112" s="1"/>
      <c r="B112" s="3"/>
    </row>
    <row r="113" spans="1:2" x14ac:dyDescent="0.25">
      <c r="A113" s="1"/>
      <c r="B113" s="3"/>
    </row>
    <row r="114" spans="1:2" x14ac:dyDescent="0.25">
      <c r="A114" s="1"/>
      <c r="B114" s="3"/>
    </row>
    <row r="115" spans="1:2" x14ac:dyDescent="0.25">
      <c r="A115" s="1"/>
      <c r="B115" s="3"/>
    </row>
    <row r="116" spans="1:2" x14ac:dyDescent="0.25">
      <c r="A116" s="1"/>
      <c r="B116" s="3"/>
    </row>
    <row r="117" spans="1:2" x14ac:dyDescent="0.25">
      <c r="A117" s="1"/>
      <c r="B117" s="3"/>
    </row>
    <row r="118" spans="1:2" x14ac:dyDescent="0.25">
      <c r="A118" s="1"/>
      <c r="B118" s="3"/>
    </row>
    <row r="119" spans="1:2" x14ac:dyDescent="0.25">
      <c r="A119" s="1"/>
      <c r="B119" s="3"/>
    </row>
    <row r="120" spans="1:2" x14ac:dyDescent="0.25">
      <c r="A120" s="1"/>
      <c r="B120" s="3"/>
    </row>
    <row r="121" spans="1:2" x14ac:dyDescent="0.25">
      <c r="A121" s="1"/>
      <c r="B121" s="3"/>
    </row>
    <row r="122" spans="1:2" x14ac:dyDescent="0.25">
      <c r="A122" s="1"/>
      <c r="B122" s="3"/>
    </row>
    <row r="123" spans="1:2" x14ac:dyDescent="0.25">
      <c r="A123" s="1"/>
      <c r="B123" s="3"/>
    </row>
    <row r="124" spans="1:2" x14ac:dyDescent="0.25">
      <c r="A124" s="1"/>
      <c r="B124" s="3"/>
    </row>
    <row r="125" spans="1:2" x14ac:dyDescent="0.25">
      <c r="A125" s="1"/>
      <c r="B125" s="3"/>
    </row>
    <row r="126" spans="1:2" x14ac:dyDescent="0.25">
      <c r="A126" s="1"/>
      <c r="B126" s="3"/>
    </row>
    <row r="127" spans="1:2" x14ac:dyDescent="0.25">
      <c r="A127" s="1"/>
      <c r="B127" s="3"/>
    </row>
    <row r="128" spans="1:2" x14ac:dyDescent="0.25">
      <c r="A128" s="1"/>
      <c r="B128" s="3"/>
    </row>
    <row r="129" spans="1:2" x14ac:dyDescent="0.25">
      <c r="A129" s="1"/>
      <c r="B129" s="3"/>
    </row>
    <row r="130" spans="1:2" x14ac:dyDescent="0.25">
      <c r="A130" s="1"/>
      <c r="B130" s="3"/>
    </row>
    <row r="131" spans="1:2" x14ac:dyDescent="0.25">
      <c r="A131" s="1"/>
      <c r="B131" s="3"/>
    </row>
    <row r="132" spans="1:2" x14ac:dyDescent="0.25">
      <c r="A132" s="1"/>
      <c r="B132" s="3"/>
    </row>
    <row r="133" spans="1:2" x14ac:dyDescent="0.25">
      <c r="A133" s="1"/>
      <c r="B133" s="3"/>
    </row>
    <row r="134" spans="1:2" x14ac:dyDescent="0.25">
      <c r="A134" s="1"/>
      <c r="B134" s="3"/>
    </row>
    <row r="135" spans="1:2" x14ac:dyDescent="0.25">
      <c r="A135" s="1"/>
      <c r="B135" s="3"/>
    </row>
    <row r="136" spans="1:2" x14ac:dyDescent="0.25">
      <c r="A136" s="1"/>
      <c r="B136" s="3"/>
    </row>
    <row r="137" spans="1:2" x14ac:dyDescent="0.25">
      <c r="A137" s="1"/>
      <c r="B137" s="3"/>
    </row>
    <row r="138" spans="1:2" x14ac:dyDescent="0.25">
      <c r="A138" s="1"/>
      <c r="B138" s="3"/>
    </row>
    <row r="139" spans="1:2" x14ac:dyDescent="0.25">
      <c r="A139" s="1"/>
      <c r="B139" s="3"/>
    </row>
    <row r="140" spans="1:2" x14ac:dyDescent="0.25">
      <c r="A140" s="1"/>
      <c r="B140" s="3"/>
    </row>
    <row r="141" spans="1:2" x14ac:dyDescent="0.25">
      <c r="A141" s="1"/>
      <c r="B141" s="3"/>
    </row>
    <row r="142" spans="1:2" x14ac:dyDescent="0.25">
      <c r="A142" s="1"/>
      <c r="B142" s="3"/>
    </row>
    <row r="143" spans="1:2" x14ac:dyDescent="0.25">
      <c r="A143" s="1"/>
      <c r="B143" s="3"/>
    </row>
    <row r="144" spans="1:2" x14ac:dyDescent="0.25">
      <c r="A144" s="1"/>
      <c r="B144" s="3"/>
    </row>
    <row r="145" spans="1:2" x14ac:dyDescent="0.25">
      <c r="A145" s="1"/>
      <c r="B145" s="3"/>
    </row>
    <row r="146" spans="1:2" x14ac:dyDescent="0.25">
      <c r="A146" s="1"/>
      <c r="B146" s="3"/>
    </row>
    <row r="147" spans="1:2" x14ac:dyDescent="0.25">
      <c r="A147" s="1"/>
      <c r="B147" s="3"/>
    </row>
    <row r="148" spans="1:2" x14ac:dyDescent="0.25">
      <c r="A148" s="1"/>
      <c r="B148" s="3"/>
    </row>
    <row r="149" spans="1:2" x14ac:dyDescent="0.25">
      <c r="A149" s="1"/>
      <c r="B149" s="3"/>
    </row>
    <row r="150" spans="1:2" x14ac:dyDescent="0.25">
      <c r="A150" s="1"/>
      <c r="B150" s="3"/>
    </row>
    <row r="151" spans="1:2" x14ac:dyDescent="0.25">
      <c r="A151" s="1"/>
      <c r="B151" s="3"/>
    </row>
    <row r="152" spans="1:2" x14ac:dyDescent="0.25">
      <c r="A152" s="1"/>
      <c r="B152" s="3"/>
    </row>
    <row r="153" spans="1:2" x14ac:dyDescent="0.25">
      <c r="A153" s="1"/>
      <c r="B153" s="3"/>
    </row>
    <row r="154" spans="1:2" x14ac:dyDescent="0.25">
      <c r="A154" s="1"/>
      <c r="B154" s="3"/>
    </row>
    <row r="155" spans="1:2" x14ac:dyDescent="0.25">
      <c r="A155" s="1"/>
      <c r="B155" s="3"/>
    </row>
    <row r="156" spans="1:2" x14ac:dyDescent="0.25">
      <c r="A156" s="1"/>
      <c r="B156" s="3"/>
    </row>
    <row r="157" spans="1:2" x14ac:dyDescent="0.25">
      <c r="A157" s="1"/>
      <c r="B157" s="3"/>
    </row>
    <row r="158" spans="1:2" x14ac:dyDescent="0.25">
      <c r="A158" s="1"/>
      <c r="B158" s="3"/>
    </row>
    <row r="159" spans="1:2" x14ac:dyDescent="0.25">
      <c r="A159" s="1"/>
      <c r="B159" s="3"/>
    </row>
    <row r="160" spans="1:2" x14ac:dyDescent="0.25">
      <c r="A160" s="1"/>
      <c r="B160" s="3"/>
    </row>
    <row r="161" spans="1:2" x14ac:dyDescent="0.25">
      <c r="A161" s="1"/>
      <c r="B161" s="3"/>
    </row>
    <row r="162" spans="1:2" x14ac:dyDescent="0.25">
      <c r="A162" s="1"/>
      <c r="B162" s="3"/>
    </row>
    <row r="163" spans="1:2" x14ac:dyDescent="0.25">
      <c r="A163" s="1"/>
      <c r="B163" s="3"/>
    </row>
    <row r="164" spans="1:2" x14ac:dyDescent="0.25">
      <c r="A164" s="1"/>
      <c r="B164" s="3"/>
    </row>
    <row r="165" spans="1:2" x14ac:dyDescent="0.25">
      <c r="A165" s="1"/>
      <c r="B165" s="3"/>
    </row>
    <row r="166" spans="1:2" x14ac:dyDescent="0.25">
      <c r="A166" s="1"/>
      <c r="B166" s="3"/>
    </row>
    <row r="167" spans="1:2" x14ac:dyDescent="0.25">
      <c r="A167" s="1"/>
      <c r="B167" s="3"/>
    </row>
    <row r="168" spans="1:2" x14ac:dyDescent="0.25">
      <c r="A168" s="1"/>
      <c r="B168" s="3"/>
    </row>
    <row r="169" spans="1:2" x14ac:dyDescent="0.25">
      <c r="A169" s="1"/>
      <c r="B169" s="3"/>
    </row>
    <row r="170" spans="1:2" x14ac:dyDescent="0.25">
      <c r="A170" s="1"/>
      <c r="B170" s="3"/>
    </row>
    <row r="171" spans="1:2" x14ac:dyDescent="0.25">
      <c r="A171" s="1"/>
      <c r="B171" s="3"/>
    </row>
    <row r="172" spans="1:2" x14ac:dyDescent="0.25">
      <c r="A172" s="1"/>
      <c r="B172" s="3"/>
    </row>
    <row r="173" spans="1:2" x14ac:dyDescent="0.25">
      <c r="A173" s="1"/>
      <c r="B173" s="3"/>
    </row>
    <row r="174" spans="1:2" x14ac:dyDescent="0.25">
      <c r="A174" s="1"/>
      <c r="B174" s="3"/>
    </row>
    <row r="175" spans="1:2" x14ac:dyDescent="0.25">
      <c r="A175" s="1"/>
      <c r="B175" s="3"/>
    </row>
    <row r="176" spans="1:2" x14ac:dyDescent="0.25">
      <c r="A176" s="1"/>
      <c r="B176" s="3"/>
    </row>
    <row r="177" spans="1:2" x14ac:dyDescent="0.25">
      <c r="A177" s="1"/>
      <c r="B177" s="3"/>
    </row>
    <row r="178" spans="1:2" x14ac:dyDescent="0.25">
      <c r="A178" s="1"/>
      <c r="B178" s="3"/>
    </row>
    <row r="179" spans="1:2" x14ac:dyDescent="0.25">
      <c r="A179" s="1"/>
      <c r="B179" s="3"/>
    </row>
    <row r="180" spans="1:2" x14ac:dyDescent="0.25">
      <c r="A180" s="1"/>
      <c r="B180" s="3"/>
    </row>
    <row r="181" spans="1:2" x14ac:dyDescent="0.25">
      <c r="A181" s="1"/>
      <c r="B181" s="3"/>
    </row>
    <row r="182" spans="1:2" x14ac:dyDescent="0.25">
      <c r="A182" s="1"/>
      <c r="B182" s="3"/>
    </row>
    <row r="183" spans="1:2" x14ac:dyDescent="0.25">
      <c r="A183" s="1"/>
      <c r="B183" s="3"/>
    </row>
    <row r="184" spans="1:2" x14ac:dyDescent="0.25">
      <c r="A184" s="1"/>
      <c r="B184" s="3"/>
    </row>
    <row r="185" spans="1:2" x14ac:dyDescent="0.25">
      <c r="A185" s="1"/>
      <c r="B185" s="3"/>
    </row>
    <row r="186" spans="1:2" x14ac:dyDescent="0.25">
      <c r="A186" s="1"/>
      <c r="B186" s="3"/>
    </row>
    <row r="187" spans="1:2" x14ac:dyDescent="0.25">
      <c r="A187" s="1"/>
      <c r="B187" s="3"/>
    </row>
    <row r="188" spans="1:2" x14ac:dyDescent="0.25">
      <c r="A188" s="1"/>
      <c r="B188" s="3"/>
    </row>
    <row r="189" spans="1:2" x14ac:dyDescent="0.25">
      <c r="A189" s="1"/>
      <c r="B189" s="3"/>
    </row>
    <row r="190" spans="1:2" x14ac:dyDescent="0.25">
      <c r="A190" s="1"/>
      <c r="B190" s="3"/>
    </row>
    <row r="191" spans="1:2" x14ac:dyDescent="0.25">
      <c r="A191" s="1"/>
      <c r="B191" s="3"/>
    </row>
    <row r="192" spans="1:2" x14ac:dyDescent="0.25">
      <c r="A192" s="1"/>
      <c r="B192" s="3"/>
    </row>
    <row r="193" spans="1:2" x14ac:dyDescent="0.25">
      <c r="A193" s="1"/>
      <c r="B193" s="3"/>
    </row>
  </sheetData>
  <autoFilter ref="A1:C41" xr:uid="{00000000-0009-0000-0000-00000A000000}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93"/>
  <sheetViews>
    <sheetView workbookViewId="0">
      <selection activeCell="C4" sqref="C4"/>
    </sheetView>
  </sheetViews>
  <sheetFormatPr defaultRowHeight="15" x14ac:dyDescent="0.25"/>
  <cols>
    <col min="1" max="1" width="25.85546875" customWidth="1"/>
    <col min="2" max="2" width="15.28515625" customWidth="1"/>
    <col min="3" max="3" width="11.7109375" bestFit="1" customWidth="1"/>
  </cols>
  <sheetData>
    <row r="1" spans="1:3" x14ac:dyDescent="0.25">
      <c r="A1" t="s">
        <v>0</v>
      </c>
      <c r="B1" s="4" t="s">
        <v>55</v>
      </c>
      <c r="C1" s="4" t="s">
        <v>56</v>
      </c>
    </row>
    <row r="2" spans="1:3" x14ac:dyDescent="0.25">
      <c r="A2" s="1" t="s">
        <v>43</v>
      </c>
      <c r="B2" s="4">
        <v>9645</v>
      </c>
      <c r="C2" s="4">
        <v>3914</v>
      </c>
    </row>
    <row r="3" spans="1:3" x14ac:dyDescent="0.25">
      <c r="A3" s="1" t="s">
        <v>44</v>
      </c>
      <c r="B3" s="4">
        <v>4432</v>
      </c>
      <c r="C3" s="4">
        <v>3736</v>
      </c>
    </row>
    <row r="4" spans="1:3" x14ac:dyDescent="0.25">
      <c r="A4" s="1" t="s">
        <v>45</v>
      </c>
      <c r="B4" s="4">
        <v>8041</v>
      </c>
      <c r="C4" s="4">
        <v>1884</v>
      </c>
    </row>
    <row r="5" spans="1:3" x14ac:dyDescent="0.25">
      <c r="A5" s="1" t="s">
        <v>46</v>
      </c>
      <c r="B5" s="4">
        <v>8484</v>
      </c>
      <c r="C5" s="4">
        <v>2703</v>
      </c>
    </row>
    <row r="6" spans="1:3" x14ac:dyDescent="0.25">
      <c r="A6" s="1" t="s">
        <v>47</v>
      </c>
      <c r="B6" s="4">
        <v>5669</v>
      </c>
      <c r="C6" s="4">
        <v>4322</v>
      </c>
    </row>
    <row r="7" spans="1:3" x14ac:dyDescent="0.25">
      <c r="A7" s="1" t="s">
        <v>6</v>
      </c>
      <c r="B7" s="4">
        <v>1035</v>
      </c>
      <c r="C7" s="4">
        <v>9721</v>
      </c>
    </row>
    <row r="8" spans="1:3" x14ac:dyDescent="0.25">
      <c r="A8" s="1" t="s">
        <v>7</v>
      </c>
      <c r="B8" s="4">
        <v>1821</v>
      </c>
      <c r="C8" s="4">
        <v>6356</v>
      </c>
    </row>
    <row r="9" spans="1:3" x14ac:dyDescent="0.25">
      <c r="A9" s="1" t="s">
        <v>8</v>
      </c>
      <c r="B9" s="4">
        <v>3235</v>
      </c>
      <c r="C9" s="4">
        <v>7575</v>
      </c>
    </row>
    <row r="10" spans="1:3" x14ac:dyDescent="0.25">
      <c r="A10" s="1" t="s">
        <v>9</v>
      </c>
      <c r="B10" s="4">
        <v>5095</v>
      </c>
      <c r="C10" s="4">
        <v>3887</v>
      </c>
    </row>
    <row r="11" spans="1:3" x14ac:dyDescent="0.25">
      <c r="A11" s="1" t="s">
        <v>10</v>
      </c>
      <c r="B11" s="4">
        <v>1679</v>
      </c>
      <c r="C11" s="4">
        <v>6908</v>
      </c>
    </row>
    <row r="12" spans="1:3" x14ac:dyDescent="0.25">
      <c r="A12" s="1" t="s">
        <v>11</v>
      </c>
      <c r="B12" s="4">
        <v>2155</v>
      </c>
      <c r="C12" s="4">
        <v>940</v>
      </c>
    </row>
    <row r="13" spans="1:3" x14ac:dyDescent="0.25">
      <c r="A13" s="1" t="s">
        <v>12</v>
      </c>
      <c r="B13" s="4">
        <v>9451</v>
      </c>
      <c r="C13" s="4">
        <v>988</v>
      </c>
    </row>
    <row r="14" spans="1:3" x14ac:dyDescent="0.25">
      <c r="A14" s="1" t="s">
        <v>13</v>
      </c>
      <c r="B14" s="4">
        <v>3132</v>
      </c>
      <c r="C14" s="4">
        <v>4014</v>
      </c>
    </row>
    <row r="15" spans="1:3" x14ac:dyDescent="0.25">
      <c r="A15" s="1" t="s">
        <v>14</v>
      </c>
      <c r="B15" s="4">
        <v>9560</v>
      </c>
      <c r="C15" s="4">
        <v>1871</v>
      </c>
    </row>
    <row r="16" spans="1:3" x14ac:dyDescent="0.25">
      <c r="A16" s="1" t="s">
        <v>15</v>
      </c>
      <c r="B16" s="4">
        <v>3472</v>
      </c>
      <c r="C16" s="4">
        <v>4234</v>
      </c>
    </row>
    <row r="17" spans="1:3" x14ac:dyDescent="0.25">
      <c r="A17" s="1" t="s">
        <v>16</v>
      </c>
      <c r="B17" s="4">
        <v>8356</v>
      </c>
      <c r="C17" s="4">
        <v>2337</v>
      </c>
    </row>
    <row r="18" spans="1:3" x14ac:dyDescent="0.25">
      <c r="A18" s="1" t="s">
        <v>17</v>
      </c>
      <c r="B18" s="4">
        <v>2201</v>
      </c>
      <c r="C18" s="4">
        <v>7356</v>
      </c>
    </row>
    <row r="19" spans="1:3" x14ac:dyDescent="0.25">
      <c r="A19" s="1" t="s">
        <v>18</v>
      </c>
      <c r="B19" s="4">
        <v>309</v>
      </c>
      <c r="C19" s="4">
        <v>5765</v>
      </c>
    </row>
    <row r="20" spans="1:3" x14ac:dyDescent="0.25">
      <c r="A20" s="1" t="s">
        <v>19</v>
      </c>
      <c r="B20" s="4">
        <v>5882</v>
      </c>
      <c r="C20" s="4">
        <v>2370</v>
      </c>
    </row>
    <row r="21" spans="1:3" x14ac:dyDescent="0.25">
      <c r="A21" s="1" t="s">
        <v>20</v>
      </c>
      <c r="B21" s="4">
        <v>4402</v>
      </c>
      <c r="C21" s="4">
        <v>8502</v>
      </c>
    </row>
    <row r="22" spans="1:3" x14ac:dyDescent="0.25">
      <c r="A22" s="1" t="s">
        <v>21</v>
      </c>
      <c r="B22" s="4">
        <v>5546</v>
      </c>
      <c r="C22" s="4">
        <v>58</v>
      </c>
    </row>
    <row r="23" spans="1:3" x14ac:dyDescent="0.25">
      <c r="A23" s="1" t="s">
        <v>22</v>
      </c>
      <c r="B23" s="4">
        <v>5879</v>
      </c>
      <c r="C23" s="4">
        <v>1918</v>
      </c>
    </row>
    <row r="24" spans="1:3" x14ac:dyDescent="0.25">
      <c r="A24" s="1" t="s">
        <v>23</v>
      </c>
      <c r="B24" s="4">
        <v>6746</v>
      </c>
      <c r="C24" s="4">
        <v>8554</v>
      </c>
    </row>
    <row r="25" spans="1:3" x14ac:dyDescent="0.25">
      <c r="A25" s="1" t="s">
        <v>24</v>
      </c>
      <c r="B25" s="4">
        <v>3428</v>
      </c>
      <c r="C25" s="4">
        <v>572</v>
      </c>
    </row>
    <row r="26" spans="1:3" x14ac:dyDescent="0.25">
      <c r="A26" s="1" t="s">
        <v>25</v>
      </c>
      <c r="B26" s="4">
        <v>4641</v>
      </c>
      <c r="C26" s="4">
        <v>2546</v>
      </c>
    </row>
    <row r="27" spans="1:3" x14ac:dyDescent="0.25">
      <c r="A27" s="1" t="s">
        <v>26</v>
      </c>
      <c r="B27" s="4">
        <v>7685</v>
      </c>
      <c r="C27" s="4">
        <v>7108</v>
      </c>
    </row>
    <row r="28" spans="1:3" x14ac:dyDescent="0.25">
      <c r="A28" s="1" t="s">
        <v>27</v>
      </c>
      <c r="B28" s="4">
        <v>5428</v>
      </c>
      <c r="C28" s="4">
        <v>9154</v>
      </c>
    </row>
    <row r="29" spans="1:3" x14ac:dyDescent="0.25">
      <c r="A29" s="1" t="s">
        <v>28</v>
      </c>
      <c r="B29" s="4">
        <v>9780</v>
      </c>
      <c r="C29" s="4">
        <v>2245</v>
      </c>
    </row>
    <row r="30" spans="1:3" x14ac:dyDescent="0.25">
      <c r="A30" s="1" t="s">
        <v>29</v>
      </c>
      <c r="B30" s="4">
        <v>2775</v>
      </c>
      <c r="C30" s="4">
        <v>1205</v>
      </c>
    </row>
    <row r="31" spans="1:3" x14ac:dyDescent="0.25">
      <c r="A31" s="1" t="s">
        <v>30</v>
      </c>
      <c r="B31" s="4">
        <v>5339</v>
      </c>
      <c r="C31" s="4">
        <v>6858</v>
      </c>
    </row>
    <row r="32" spans="1:3" x14ac:dyDescent="0.25">
      <c r="A32" s="1" t="s">
        <v>31</v>
      </c>
      <c r="B32" s="4">
        <v>3535</v>
      </c>
      <c r="C32" s="4">
        <v>8373</v>
      </c>
    </row>
    <row r="33" spans="1:3" x14ac:dyDescent="0.25">
      <c r="A33" s="1" t="s">
        <v>32</v>
      </c>
      <c r="B33" s="4">
        <v>3487</v>
      </c>
      <c r="C33" s="4">
        <v>419</v>
      </c>
    </row>
    <row r="34" spans="1:3" x14ac:dyDescent="0.25">
      <c r="A34" s="1" t="s">
        <v>33</v>
      </c>
      <c r="B34" s="4">
        <v>6101</v>
      </c>
      <c r="C34" s="4">
        <v>599</v>
      </c>
    </row>
    <row r="35" spans="1:3" x14ac:dyDescent="0.25">
      <c r="A35" s="1" t="s">
        <v>34</v>
      </c>
      <c r="B35" s="4">
        <v>8558</v>
      </c>
      <c r="C35" s="4">
        <v>6075</v>
      </c>
    </row>
    <row r="36" spans="1:3" x14ac:dyDescent="0.25">
      <c r="A36" s="1" t="s">
        <v>35</v>
      </c>
      <c r="B36" s="4">
        <v>3588</v>
      </c>
      <c r="C36" s="4">
        <v>7797</v>
      </c>
    </row>
    <row r="37" spans="1:3" x14ac:dyDescent="0.25">
      <c r="A37" s="1" t="s">
        <v>36</v>
      </c>
      <c r="B37" s="4">
        <v>8434</v>
      </c>
      <c r="C37" s="4">
        <v>3857</v>
      </c>
    </row>
    <row r="38" spans="1:3" x14ac:dyDescent="0.25">
      <c r="A38" s="1" t="s">
        <v>37</v>
      </c>
      <c r="B38" s="4">
        <v>4116</v>
      </c>
      <c r="C38" s="4">
        <v>5819</v>
      </c>
    </row>
    <row r="39" spans="1:3" x14ac:dyDescent="0.25">
      <c r="A39" s="1" t="s">
        <v>38</v>
      </c>
      <c r="B39" s="4">
        <v>9191</v>
      </c>
      <c r="C39" s="4">
        <v>407</v>
      </c>
    </row>
    <row r="40" spans="1:3" x14ac:dyDescent="0.25">
      <c r="A40" s="1" t="s">
        <v>39</v>
      </c>
      <c r="B40" s="4">
        <v>7710</v>
      </c>
      <c r="C40" s="4">
        <v>8169</v>
      </c>
    </row>
    <row r="41" spans="1:3" x14ac:dyDescent="0.25">
      <c r="A41" s="1" t="s">
        <v>40</v>
      </c>
      <c r="B41" s="4">
        <v>7430</v>
      </c>
      <c r="C41" s="4">
        <v>9083</v>
      </c>
    </row>
    <row r="42" spans="1:3" x14ac:dyDescent="0.25">
      <c r="A42" s="1"/>
      <c r="B42" s="4"/>
      <c r="C42" s="5"/>
    </row>
    <row r="43" spans="1:3" x14ac:dyDescent="0.25">
      <c r="A43" s="1"/>
      <c r="B43" s="4"/>
      <c r="C43" s="5"/>
    </row>
    <row r="44" spans="1:3" x14ac:dyDescent="0.25">
      <c r="A44" s="1"/>
      <c r="B44" s="4"/>
      <c r="C44" s="5"/>
    </row>
    <row r="45" spans="1:3" x14ac:dyDescent="0.25">
      <c r="A45" s="1"/>
      <c r="B45" s="4"/>
      <c r="C45" s="5"/>
    </row>
    <row r="46" spans="1:3" x14ac:dyDescent="0.25">
      <c r="A46" s="1"/>
      <c r="B46" s="4"/>
      <c r="C46" s="5"/>
    </row>
    <row r="47" spans="1:3" x14ac:dyDescent="0.25">
      <c r="A47" s="1"/>
      <c r="B47" s="4"/>
      <c r="C47" s="5"/>
    </row>
    <row r="48" spans="1:3" x14ac:dyDescent="0.25">
      <c r="A48" s="1"/>
      <c r="B48" s="4"/>
      <c r="C48" s="5"/>
    </row>
    <row r="49" spans="1:3" x14ac:dyDescent="0.25">
      <c r="A49" s="1"/>
      <c r="B49" s="4"/>
      <c r="C49" s="5"/>
    </row>
    <row r="50" spans="1:3" x14ac:dyDescent="0.25">
      <c r="A50" s="1"/>
      <c r="B50" s="4"/>
      <c r="C50" s="5"/>
    </row>
    <row r="51" spans="1:3" x14ac:dyDescent="0.25">
      <c r="A51" s="1"/>
      <c r="B51" s="4"/>
      <c r="C51" s="5"/>
    </row>
    <row r="52" spans="1:3" x14ac:dyDescent="0.25">
      <c r="A52" s="1"/>
      <c r="B52" s="4"/>
      <c r="C52" s="5"/>
    </row>
    <row r="53" spans="1:3" x14ac:dyDescent="0.25">
      <c r="A53" s="1"/>
      <c r="B53" s="4"/>
      <c r="C53" s="5"/>
    </row>
    <row r="54" spans="1:3" x14ac:dyDescent="0.25">
      <c r="A54" s="1"/>
      <c r="B54" s="4"/>
      <c r="C54" s="5"/>
    </row>
    <row r="55" spans="1:3" x14ac:dyDescent="0.25">
      <c r="A55" s="1"/>
      <c r="B55" s="4"/>
      <c r="C55" s="5"/>
    </row>
    <row r="56" spans="1:3" x14ac:dyDescent="0.25">
      <c r="A56" s="1"/>
      <c r="B56" s="4"/>
      <c r="C56" s="5"/>
    </row>
    <row r="57" spans="1:3" x14ac:dyDescent="0.25">
      <c r="A57" s="1"/>
      <c r="B57" s="4"/>
      <c r="C57" s="5"/>
    </row>
    <row r="58" spans="1:3" x14ac:dyDescent="0.25">
      <c r="A58" s="1"/>
      <c r="B58" s="4"/>
      <c r="C58" s="5"/>
    </row>
    <row r="59" spans="1:3" x14ac:dyDescent="0.25">
      <c r="A59" s="1"/>
      <c r="B59" s="4"/>
      <c r="C59" s="5"/>
    </row>
    <row r="60" spans="1:3" x14ac:dyDescent="0.25">
      <c r="A60" s="1"/>
      <c r="B60" s="4"/>
      <c r="C60" s="5"/>
    </row>
    <row r="61" spans="1:3" x14ac:dyDescent="0.25">
      <c r="A61" s="1"/>
      <c r="B61" s="4"/>
      <c r="C61" s="5"/>
    </row>
    <row r="62" spans="1:3" x14ac:dyDescent="0.25">
      <c r="A62" s="1"/>
      <c r="B62" s="4"/>
      <c r="C62" s="5"/>
    </row>
    <row r="63" spans="1:3" x14ac:dyDescent="0.25">
      <c r="A63" s="1"/>
      <c r="B63" s="4"/>
      <c r="C63" s="5"/>
    </row>
    <row r="64" spans="1:3" x14ac:dyDescent="0.25">
      <c r="A64" s="1"/>
      <c r="B64" s="4"/>
      <c r="C64" s="5"/>
    </row>
    <row r="65" spans="1:3" x14ac:dyDescent="0.25">
      <c r="A65" s="1"/>
      <c r="B65" s="4"/>
      <c r="C65" s="5"/>
    </row>
    <row r="66" spans="1:3" x14ac:dyDescent="0.25">
      <c r="A66" s="1"/>
      <c r="B66" s="4"/>
      <c r="C66" s="5"/>
    </row>
    <row r="67" spans="1:3" x14ac:dyDescent="0.25">
      <c r="A67" s="1"/>
      <c r="B67" s="4"/>
      <c r="C67" s="5"/>
    </row>
    <row r="68" spans="1:3" x14ac:dyDescent="0.25">
      <c r="A68" s="1"/>
      <c r="B68" s="4"/>
      <c r="C68" s="5"/>
    </row>
    <row r="69" spans="1:3" x14ac:dyDescent="0.25">
      <c r="A69" s="1"/>
      <c r="B69" s="4"/>
      <c r="C69" s="5"/>
    </row>
    <row r="70" spans="1:3" x14ac:dyDescent="0.25">
      <c r="A70" s="1"/>
      <c r="B70" s="4"/>
      <c r="C70" s="5"/>
    </row>
    <row r="71" spans="1:3" x14ac:dyDescent="0.25">
      <c r="A71" s="1"/>
      <c r="B71" s="4"/>
      <c r="C71" s="5"/>
    </row>
    <row r="72" spans="1:3" x14ac:dyDescent="0.25">
      <c r="A72" s="1"/>
      <c r="B72" s="4"/>
      <c r="C72" s="5"/>
    </row>
    <row r="73" spans="1:3" x14ac:dyDescent="0.25">
      <c r="A73" s="1"/>
      <c r="B73" s="4"/>
      <c r="C73" s="5"/>
    </row>
    <row r="74" spans="1:3" x14ac:dyDescent="0.25">
      <c r="A74" s="1"/>
      <c r="B74" s="4"/>
      <c r="C74" s="5"/>
    </row>
    <row r="75" spans="1:3" x14ac:dyDescent="0.25">
      <c r="A75" s="1"/>
      <c r="B75" s="4"/>
      <c r="C75" s="5"/>
    </row>
    <row r="76" spans="1:3" x14ac:dyDescent="0.25">
      <c r="A76" s="1"/>
      <c r="B76" s="4"/>
      <c r="C76" s="5"/>
    </row>
    <row r="77" spans="1:3" x14ac:dyDescent="0.25">
      <c r="A77" s="1"/>
      <c r="B77" s="4"/>
      <c r="C77" s="5"/>
    </row>
    <row r="78" spans="1:3" x14ac:dyDescent="0.25">
      <c r="A78" s="1"/>
      <c r="B78" s="4"/>
      <c r="C78" s="5"/>
    </row>
    <row r="79" spans="1:3" x14ac:dyDescent="0.25">
      <c r="A79" s="1"/>
      <c r="B79" s="4"/>
      <c r="C79" s="5"/>
    </row>
    <row r="80" spans="1:3" x14ac:dyDescent="0.25">
      <c r="A80" s="1"/>
      <c r="B80" s="4"/>
      <c r="C80" s="5"/>
    </row>
    <row r="81" spans="1:3" x14ac:dyDescent="0.25">
      <c r="A81" s="1"/>
      <c r="B81" s="4"/>
      <c r="C81" s="5"/>
    </row>
    <row r="82" spans="1:3" x14ac:dyDescent="0.25">
      <c r="A82" s="1"/>
      <c r="B82" s="4"/>
      <c r="C82" s="5"/>
    </row>
    <row r="83" spans="1:3" x14ac:dyDescent="0.25">
      <c r="A83" s="1"/>
      <c r="B83" s="4"/>
      <c r="C83" s="5"/>
    </row>
    <row r="84" spans="1:3" x14ac:dyDescent="0.25">
      <c r="A84" s="1"/>
      <c r="B84" s="4"/>
      <c r="C84" s="5"/>
    </row>
    <row r="85" spans="1:3" x14ac:dyDescent="0.25">
      <c r="A85" s="1"/>
      <c r="B85" s="4"/>
      <c r="C85" s="5"/>
    </row>
    <row r="86" spans="1:3" x14ac:dyDescent="0.25">
      <c r="A86" s="1"/>
      <c r="B86" s="4"/>
      <c r="C86" s="5"/>
    </row>
    <row r="87" spans="1:3" x14ac:dyDescent="0.25">
      <c r="A87" s="1"/>
      <c r="B87" s="4"/>
      <c r="C87" s="5"/>
    </row>
    <row r="88" spans="1:3" x14ac:dyDescent="0.25">
      <c r="A88" s="1"/>
      <c r="B88" s="4"/>
      <c r="C88" s="5"/>
    </row>
    <row r="89" spans="1:3" x14ac:dyDescent="0.25">
      <c r="A89" s="1"/>
      <c r="B89" s="4"/>
      <c r="C89" s="5"/>
    </row>
    <row r="90" spans="1:3" x14ac:dyDescent="0.25">
      <c r="A90" s="1"/>
      <c r="B90" s="4"/>
      <c r="C90" s="5"/>
    </row>
    <row r="91" spans="1:3" x14ac:dyDescent="0.25">
      <c r="A91" s="1"/>
      <c r="B91" s="4"/>
      <c r="C91" s="5"/>
    </row>
    <row r="92" spans="1:3" x14ac:dyDescent="0.25">
      <c r="A92" s="1"/>
      <c r="B92" s="4"/>
      <c r="C92" s="5"/>
    </row>
    <row r="93" spans="1:3" x14ac:dyDescent="0.25">
      <c r="A93" s="1"/>
      <c r="B93" s="4"/>
      <c r="C93" s="5"/>
    </row>
    <row r="94" spans="1:3" x14ac:dyDescent="0.25">
      <c r="A94" s="1"/>
      <c r="B94" s="4"/>
      <c r="C94" s="5"/>
    </row>
    <row r="95" spans="1:3" x14ac:dyDescent="0.25">
      <c r="A95" s="1"/>
      <c r="B95" s="4"/>
      <c r="C95" s="5"/>
    </row>
    <row r="96" spans="1:3" x14ac:dyDescent="0.25">
      <c r="A96" s="1"/>
      <c r="B96" s="4"/>
      <c r="C96" s="5"/>
    </row>
    <row r="97" spans="1:3" x14ac:dyDescent="0.25">
      <c r="A97" s="1"/>
      <c r="B97" s="4"/>
      <c r="C97" s="5"/>
    </row>
    <row r="98" spans="1:3" x14ac:dyDescent="0.25">
      <c r="A98" s="1"/>
      <c r="B98" s="4"/>
      <c r="C98" s="5"/>
    </row>
    <row r="99" spans="1:3" x14ac:dyDescent="0.25">
      <c r="A99" s="1"/>
      <c r="B99" s="4"/>
      <c r="C99" s="5"/>
    </row>
    <row r="100" spans="1:3" x14ac:dyDescent="0.25">
      <c r="A100" s="1"/>
      <c r="B100" s="4"/>
      <c r="C100" s="5"/>
    </row>
    <row r="101" spans="1:3" x14ac:dyDescent="0.25">
      <c r="A101" s="1"/>
      <c r="B101" s="4"/>
      <c r="C101" s="5"/>
    </row>
    <row r="102" spans="1:3" x14ac:dyDescent="0.25">
      <c r="A102" s="1"/>
      <c r="B102" s="4"/>
      <c r="C102" s="5"/>
    </row>
    <row r="103" spans="1:3" x14ac:dyDescent="0.25">
      <c r="A103" s="1"/>
      <c r="B103" s="4"/>
      <c r="C103" s="5"/>
    </row>
    <row r="104" spans="1:3" x14ac:dyDescent="0.25">
      <c r="A104" s="1"/>
      <c r="B104" s="4"/>
      <c r="C104" s="5"/>
    </row>
    <row r="105" spans="1:3" x14ac:dyDescent="0.25">
      <c r="A105" s="1"/>
      <c r="B105" s="4"/>
      <c r="C105" s="5"/>
    </row>
    <row r="106" spans="1:3" x14ac:dyDescent="0.25">
      <c r="A106" s="1"/>
      <c r="B106" s="4"/>
      <c r="C106" s="5"/>
    </row>
    <row r="107" spans="1:3" x14ac:dyDescent="0.25">
      <c r="A107" s="1"/>
      <c r="B107" s="4"/>
      <c r="C107" s="5"/>
    </row>
    <row r="108" spans="1:3" x14ac:dyDescent="0.25">
      <c r="A108" s="1"/>
      <c r="B108" s="4"/>
      <c r="C108" s="5"/>
    </row>
    <row r="109" spans="1:3" x14ac:dyDescent="0.25">
      <c r="A109" s="1"/>
      <c r="B109" s="4"/>
      <c r="C109" s="5"/>
    </row>
    <row r="110" spans="1:3" x14ac:dyDescent="0.25">
      <c r="A110" s="1"/>
      <c r="B110" s="4"/>
      <c r="C110" s="5"/>
    </row>
    <row r="111" spans="1:3" x14ac:dyDescent="0.25">
      <c r="A111" s="1"/>
      <c r="B111" s="4"/>
      <c r="C111" s="5"/>
    </row>
    <row r="112" spans="1:3" x14ac:dyDescent="0.25">
      <c r="A112" s="1"/>
      <c r="B112" s="4"/>
      <c r="C112" s="5"/>
    </row>
    <row r="113" spans="1:3" x14ac:dyDescent="0.25">
      <c r="A113" s="1"/>
      <c r="B113" s="4"/>
      <c r="C113" s="5"/>
    </row>
    <row r="114" spans="1:3" x14ac:dyDescent="0.25">
      <c r="A114" s="1"/>
      <c r="B114" s="4"/>
      <c r="C114" s="5"/>
    </row>
    <row r="115" spans="1:3" x14ac:dyDescent="0.25">
      <c r="A115" s="1"/>
      <c r="B115" s="4"/>
      <c r="C115" s="5"/>
    </row>
    <row r="116" spans="1:3" x14ac:dyDescent="0.25">
      <c r="A116" s="1"/>
      <c r="B116" s="4"/>
      <c r="C116" s="5"/>
    </row>
    <row r="117" spans="1:3" x14ac:dyDescent="0.25">
      <c r="A117" s="1"/>
      <c r="B117" s="4"/>
      <c r="C117" s="5"/>
    </row>
    <row r="118" spans="1:3" x14ac:dyDescent="0.25">
      <c r="A118" s="1"/>
      <c r="B118" s="4"/>
      <c r="C118" s="5"/>
    </row>
    <row r="119" spans="1:3" x14ac:dyDescent="0.25">
      <c r="A119" s="1"/>
      <c r="B119" s="4"/>
      <c r="C119" s="5"/>
    </row>
    <row r="120" spans="1:3" x14ac:dyDescent="0.25">
      <c r="A120" s="1"/>
      <c r="B120" s="4"/>
      <c r="C120" s="5"/>
    </row>
    <row r="121" spans="1:3" x14ac:dyDescent="0.25">
      <c r="A121" s="1"/>
      <c r="B121" s="4"/>
      <c r="C121" s="5"/>
    </row>
    <row r="122" spans="1:3" x14ac:dyDescent="0.25">
      <c r="A122" s="1"/>
      <c r="B122" s="4"/>
      <c r="C122" s="5"/>
    </row>
    <row r="123" spans="1:3" x14ac:dyDescent="0.25">
      <c r="A123" s="1"/>
      <c r="B123" s="4"/>
      <c r="C123" s="5"/>
    </row>
    <row r="124" spans="1:3" x14ac:dyDescent="0.25">
      <c r="A124" s="1"/>
      <c r="B124" s="4"/>
      <c r="C124" s="5"/>
    </row>
    <row r="125" spans="1:3" x14ac:dyDescent="0.25">
      <c r="A125" s="1"/>
      <c r="B125" s="4"/>
      <c r="C125" s="5"/>
    </row>
    <row r="126" spans="1:3" x14ac:dyDescent="0.25">
      <c r="A126" s="1"/>
      <c r="B126" s="4"/>
      <c r="C126" s="5"/>
    </row>
    <row r="127" spans="1:3" x14ac:dyDescent="0.25">
      <c r="A127" s="1"/>
      <c r="B127" s="4"/>
      <c r="C127" s="5"/>
    </row>
    <row r="128" spans="1:3" x14ac:dyDescent="0.25">
      <c r="A128" s="1"/>
      <c r="B128" s="4"/>
      <c r="C128" s="5"/>
    </row>
    <row r="129" spans="1:3" x14ac:dyDescent="0.25">
      <c r="A129" s="1"/>
      <c r="B129" s="4"/>
      <c r="C129" s="5"/>
    </row>
    <row r="130" spans="1:3" x14ac:dyDescent="0.25">
      <c r="A130" s="1"/>
      <c r="B130" s="4"/>
      <c r="C130" s="5"/>
    </row>
    <row r="131" spans="1:3" x14ac:dyDescent="0.25">
      <c r="A131" s="1"/>
      <c r="B131" s="4"/>
      <c r="C131" s="5"/>
    </row>
    <row r="132" spans="1:3" x14ac:dyDescent="0.25">
      <c r="A132" s="1"/>
      <c r="B132" s="4"/>
      <c r="C132" s="5"/>
    </row>
    <row r="133" spans="1:3" x14ac:dyDescent="0.25">
      <c r="A133" s="1"/>
      <c r="B133" s="4"/>
      <c r="C133" s="5"/>
    </row>
    <row r="134" spans="1:3" x14ac:dyDescent="0.25">
      <c r="A134" s="1"/>
      <c r="B134" s="4"/>
      <c r="C134" s="5"/>
    </row>
    <row r="135" spans="1:3" x14ac:dyDescent="0.25">
      <c r="A135" s="1"/>
      <c r="B135" s="4"/>
      <c r="C135" s="5"/>
    </row>
    <row r="136" spans="1:3" x14ac:dyDescent="0.25">
      <c r="A136" s="1"/>
      <c r="B136" s="4"/>
      <c r="C136" s="5"/>
    </row>
    <row r="137" spans="1:3" x14ac:dyDescent="0.25">
      <c r="A137" s="1"/>
      <c r="B137" s="4"/>
      <c r="C137" s="5"/>
    </row>
    <row r="138" spans="1:3" x14ac:dyDescent="0.25">
      <c r="A138" s="1"/>
      <c r="B138" s="4"/>
      <c r="C138" s="5"/>
    </row>
    <row r="139" spans="1:3" x14ac:dyDescent="0.25">
      <c r="A139" s="1"/>
      <c r="B139" s="4"/>
      <c r="C139" s="5"/>
    </row>
    <row r="140" spans="1:3" x14ac:dyDescent="0.25">
      <c r="A140" s="1"/>
      <c r="B140" s="4"/>
      <c r="C140" s="5"/>
    </row>
    <row r="141" spans="1:3" x14ac:dyDescent="0.25">
      <c r="A141" s="1"/>
      <c r="B141" s="4"/>
      <c r="C141" s="5"/>
    </row>
    <row r="142" spans="1:3" x14ac:dyDescent="0.25">
      <c r="A142" s="1"/>
      <c r="B142" s="4"/>
      <c r="C142" s="5"/>
    </row>
    <row r="143" spans="1:3" x14ac:dyDescent="0.25">
      <c r="A143" s="1"/>
      <c r="B143" s="4"/>
      <c r="C143" s="5"/>
    </row>
    <row r="144" spans="1:3" x14ac:dyDescent="0.25">
      <c r="A144" s="1"/>
      <c r="B144" s="4"/>
      <c r="C144" s="5"/>
    </row>
    <row r="145" spans="1:3" x14ac:dyDescent="0.25">
      <c r="A145" s="1"/>
      <c r="B145" s="4"/>
      <c r="C145" s="5"/>
    </row>
    <row r="146" spans="1:3" x14ac:dyDescent="0.25">
      <c r="A146" s="1"/>
      <c r="B146" s="4"/>
      <c r="C146" s="5"/>
    </row>
    <row r="147" spans="1:3" x14ac:dyDescent="0.25">
      <c r="A147" s="1"/>
      <c r="B147" s="4"/>
      <c r="C147" s="5"/>
    </row>
    <row r="148" spans="1:3" x14ac:dyDescent="0.25">
      <c r="A148" s="1"/>
      <c r="B148" s="4"/>
      <c r="C148" s="5"/>
    </row>
    <row r="149" spans="1:3" x14ac:dyDescent="0.25">
      <c r="A149" s="1"/>
      <c r="B149" s="4"/>
      <c r="C149" s="5"/>
    </row>
    <row r="150" spans="1:3" x14ac:dyDescent="0.25">
      <c r="A150" s="1"/>
      <c r="B150" s="4"/>
      <c r="C150" s="5"/>
    </row>
    <row r="151" spans="1:3" x14ac:dyDescent="0.25">
      <c r="A151" s="1"/>
      <c r="B151" s="4"/>
      <c r="C151" s="5"/>
    </row>
    <row r="152" spans="1:3" x14ac:dyDescent="0.25">
      <c r="A152" s="1"/>
      <c r="B152" s="4"/>
      <c r="C152" s="5"/>
    </row>
    <row r="153" spans="1:3" x14ac:dyDescent="0.25">
      <c r="A153" s="1"/>
      <c r="B153" s="4"/>
      <c r="C153" s="5"/>
    </row>
    <row r="154" spans="1:3" x14ac:dyDescent="0.25">
      <c r="A154" s="1"/>
      <c r="B154" s="4"/>
      <c r="C154" s="5"/>
    </row>
    <row r="155" spans="1:3" x14ac:dyDescent="0.25">
      <c r="A155" s="1"/>
      <c r="B155" s="4"/>
      <c r="C155" s="5"/>
    </row>
    <row r="156" spans="1:3" x14ac:dyDescent="0.25">
      <c r="A156" s="1"/>
      <c r="B156" s="4"/>
      <c r="C156" s="5"/>
    </row>
    <row r="157" spans="1:3" x14ac:dyDescent="0.25">
      <c r="A157" s="1"/>
      <c r="B157" s="4"/>
      <c r="C157" s="5"/>
    </row>
    <row r="158" spans="1:3" x14ac:dyDescent="0.25">
      <c r="A158" s="1"/>
      <c r="B158" s="4"/>
      <c r="C158" s="5"/>
    </row>
    <row r="159" spans="1:3" x14ac:dyDescent="0.25">
      <c r="A159" s="1"/>
      <c r="B159" s="4"/>
      <c r="C159" s="5"/>
    </row>
    <row r="160" spans="1:3" x14ac:dyDescent="0.25">
      <c r="A160" s="1"/>
      <c r="B160" s="4"/>
      <c r="C160" s="5"/>
    </row>
    <row r="161" spans="1:3" x14ac:dyDescent="0.25">
      <c r="A161" s="1"/>
      <c r="B161" s="4"/>
      <c r="C161" s="5"/>
    </row>
    <row r="162" spans="1:3" x14ac:dyDescent="0.25">
      <c r="A162" s="1"/>
      <c r="B162" s="4"/>
      <c r="C162" s="5"/>
    </row>
    <row r="163" spans="1:3" x14ac:dyDescent="0.25">
      <c r="A163" s="1"/>
      <c r="B163" s="4"/>
      <c r="C163" s="5"/>
    </row>
    <row r="164" spans="1:3" x14ac:dyDescent="0.25">
      <c r="A164" s="1"/>
      <c r="B164" s="4"/>
      <c r="C164" s="5"/>
    </row>
    <row r="165" spans="1:3" x14ac:dyDescent="0.25">
      <c r="A165" s="1"/>
      <c r="B165" s="4"/>
      <c r="C165" s="5"/>
    </row>
    <row r="166" spans="1:3" x14ac:dyDescent="0.25">
      <c r="A166" s="1"/>
      <c r="B166" s="4"/>
      <c r="C166" s="5"/>
    </row>
    <row r="167" spans="1:3" x14ac:dyDescent="0.25">
      <c r="A167" s="1"/>
      <c r="B167" s="4"/>
      <c r="C167" s="5"/>
    </row>
    <row r="168" spans="1:3" x14ac:dyDescent="0.25">
      <c r="A168" s="1"/>
      <c r="B168" s="4"/>
      <c r="C168" s="5"/>
    </row>
    <row r="169" spans="1:3" x14ac:dyDescent="0.25">
      <c r="A169" s="1"/>
      <c r="B169" s="4"/>
      <c r="C169" s="5"/>
    </row>
    <row r="170" spans="1:3" x14ac:dyDescent="0.25">
      <c r="A170" s="1"/>
      <c r="B170" s="4"/>
      <c r="C170" s="5"/>
    </row>
    <row r="171" spans="1:3" x14ac:dyDescent="0.25">
      <c r="A171" s="1"/>
      <c r="B171" s="4"/>
      <c r="C171" s="5"/>
    </row>
    <row r="172" spans="1:3" x14ac:dyDescent="0.25">
      <c r="A172" s="1"/>
      <c r="B172" s="4"/>
      <c r="C172" s="5"/>
    </row>
    <row r="173" spans="1:3" x14ac:dyDescent="0.25">
      <c r="A173" s="1"/>
      <c r="B173" s="4"/>
      <c r="C173" s="5"/>
    </row>
    <row r="174" spans="1:3" x14ac:dyDescent="0.25">
      <c r="A174" s="1"/>
      <c r="B174" s="4"/>
      <c r="C174" s="5"/>
    </row>
    <row r="175" spans="1:3" x14ac:dyDescent="0.25">
      <c r="A175" s="1"/>
      <c r="B175" s="4"/>
      <c r="C175" s="5"/>
    </row>
    <row r="176" spans="1:3" x14ac:dyDescent="0.25">
      <c r="A176" s="1"/>
      <c r="B176" s="4"/>
      <c r="C176" s="5"/>
    </row>
    <row r="177" spans="1:3" x14ac:dyDescent="0.25">
      <c r="A177" s="1"/>
      <c r="B177" s="4"/>
      <c r="C177" s="5"/>
    </row>
    <row r="178" spans="1:3" x14ac:dyDescent="0.25">
      <c r="A178" s="1"/>
      <c r="B178" s="4"/>
      <c r="C178" s="5"/>
    </row>
    <row r="179" spans="1:3" x14ac:dyDescent="0.25">
      <c r="A179" s="1"/>
      <c r="B179" s="4"/>
      <c r="C179" s="5"/>
    </row>
    <row r="180" spans="1:3" x14ac:dyDescent="0.25">
      <c r="A180" s="1"/>
      <c r="B180" s="4"/>
      <c r="C180" s="5"/>
    </row>
    <row r="181" spans="1:3" x14ac:dyDescent="0.25">
      <c r="A181" s="1"/>
      <c r="B181" s="4"/>
      <c r="C181" s="5"/>
    </row>
    <row r="182" spans="1:3" x14ac:dyDescent="0.25">
      <c r="A182" s="1"/>
      <c r="B182" s="4"/>
      <c r="C182" s="5"/>
    </row>
    <row r="183" spans="1:3" x14ac:dyDescent="0.25">
      <c r="A183" s="1"/>
      <c r="B183" s="4"/>
      <c r="C183" s="5"/>
    </row>
    <row r="184" spans="1:3" x14ac:dyDescent="0.25">
      <c r="A184" s="1"/>
      <c r="B184" s="4"/>
      <c r="C184" s="5"/>
    </row>
    <row r="185" spans="1:3" x14ac:dyDescent="0.25">
      <c r="A185" s="1"/>
      <c r="B185" s="4"/>
      <c r="C185" s="5"/>
    </row>
    <row r="186" spans="1:3" x14ac:dyDescent="0.25">
      <c r="A186" s="1"/>
      <c r="B186" s="4"/>
      <c r="C186" s="5"/>
    </row>
    <row r="187" spans="1:3" x14ac:dyDescent="0.25">
      <c r="A187" s="1"/>
      <c r="B187" s="4"/>
      <c r="C187" s="5"/>
    </row>
    <row r="188" spans="1:3" x14ac:dyDescent="0.25">
      <c r="A188" s="1"/>
      <c r="B188" s="4"/>
      <c r="C188" s="5"/>
    </row>
    <row r="189" spans="1:3" x14ac:dyDescent="0.25">
      <c r="A189" s="1"/>
      <c r="B189" s="4"/>
      <c r="C189" s="5"/>
    </row>
    <row r="190" spans="1:3" x14ac:dyDescent="0.25">
      <c r="A190" s="1"/>
      <c r="B190" s="4"/>
      <c r="C190" s="5"/>
    </row>
    <row r="191" spans="1:3" x14ac:dyDescent="0.25">
      <c r="A191" s="1"/>
      <c r="B191" s="4"/>
      <c r="C191" s="5"/>
    </row>
    <row r="192" spans="1:3" x14ac:dyDescent="0.25">
      <c r="A192" s="1"/>
      <c r="B192" s="4"/>
      <c r="C192" s="5"/>
    </row>
    <row r="193" spans="1:3" x14ac:dyDescent="0.25">
      <c r="A193" s="1"/>
      <c r="B193" s="4"/>
      <c r="C193" s="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176"/>
  <sheetViews>
    <sheetView workbookViewId="0"/>
  </sheetViews>
  <sheetFormatPr defaultRowHeight="15" x14ac:dyDescent="0.25"/>
  <cols>
    <col min="1" max="1" width="24.85546875" customWidth="1"/>
  </cols>
  <sheetData>
    <row r="1" spans="1:1" x14ac:dyDescent="0.25">
      <c r="A1" t="s">
        <v>0</v>
      </c>
    </row>
    <row r="2" spans="1:1" x14ac:dyDescent="0.25">
      <c r="A2" s="1" t="s">
        <v>7</v>
      </c>
    </row>
    <row r="3" spans="1:1" x14ac:dyDescent="0.25">
      <c r="A3" s="1" t="s">
        <v>8</v>
      </c>
    </row>
    <row r="4" spans="1:1" x14ac:dyDescent="0.25">
      <c r="A4" s="1" t="s">
        <v>10</v>
      </c>
    </row>
    <row r="5" spans="1:1" x14ac:dyDescent="0.25">
      <c r="A5" s="1" t="s">
        <v>11</v>
      </c>
    </row>
    <row r="6" spans="1:1" x14ac:dyDescent="0.25">
      <c r="A6" s="1" t="s">
        <v>12</v>
      </c>
    </row>
    <row r="7" spans="1:1" x14ac:dyDescent="0.25">
      <c r="A7" s="1" t="s">
        <v>14</v>
      </c>
    </row>
    <row r="8" spans="1:1" x14ac:dyDescent="0.25">
      <c r="A8" s="1" t="s">
        <v>15</v>
      </c>
    </row>
    <row r="9" spans="1:1" x14ac:dyDescent="0.25">
      <c r="A9" s="1" t="s">
        <v>16</v>
      </c>
    </row>
    <row r="10" spans="1:1" x14ac:dyDescent="0.25">
      <c r="A10" s="1" t="s">
        <v>17</v>
      </c>
    </row>
    <row r="11" spans="1:1" x14ac:dyDescent="0.25">
      <c r="A11" s="1" t="s">
        <v>18</v>
      </c>
    </row>
    <row r="12" spans="1:1" x14ac:dyDescent="0.25">
      <c r="A12" s="1" t="s">
        <v>19</v>
      </c>
    </row>
    <row r="13" spans="1:1" x14ac:dyDescent="0.25">
      <c r="A13" s="1" t="s">
        <v>21</v>
      </c>
    </row>
    <row r="14" spans="1:1" x14ac:dyDescent="0.25">
      <c r="A14" s="1" t="s">
        <v>22</v>
      </c>
    </row>
    <row r="15" spans="1:1" x14ac:dyDescent="0.25">
      <c r="A15" s="1" t="s">
        <v>23</v>
      </c>
    </row>
    <row r="16" spans="1:1" x14ac:dyDescent="0.25">
      <c r="A16" s="1" t="s">
        <v>24</v>
      </c>
    </row>
    <row r="17" spans="1:1" x14ac:dyDescent="0.25">
      <c r="A17" s="1" t="s">
        <v>26</v>
      </c>
    </row>
    <row r="18" spans="1:1" x14ac:dyDescent="0.25">
      <c r="A18" s="1" t="s">
        <v>27</v>
      </c>
    </row>
    <row r="19" spans="1:1" x14ac:dyDescent="0.25">
      <c r="A19" s="1" t="s">
        <v>28</v>
      </c>
    </row>
    <row r="20" spans="1:1" x14ac:dyDescent="0.25">
      <c r="A20" s="1" t="s">
        <v>31</v>
      </c>
    </row>
    <row r="21" spans="1:1" x14ac:dyDescent="0.25">
      <c r="A21" s="1" t="s">
        <v>33</v>
      </c>
    </row>
    <row r="22" spans="1:1" x14ac:dyDescent="0.25">
      <c r="A22" s="1" t="s">
        <v>34</v>
      </c>
    </row>
    <row r="23" spans="1:1" x14ac:dyDescent="0.25">
      <c r="A23" s="1" t="s">
        <v>35</v>
      </c>
    </row>
    <row r="24" spans="1:1" x14ac:dyDescent="0.25">
      <c r="A24" s="1" t="s">
        <v>36</v>
      </c>
    </row>
    <row r="25" spans="1:1" x14ac:dyDescent="0.25">
      <c r="A25" s="1" t="s">
        <v>37</v>
      </c>
    </row>
    <row r="26" spans="1:1" x14ac:dyDescent="0.25">
      <c r="A26" s="1" t="s">
        <v>38</v>
      </c>
    </row>
    <row r="27" spans="1:1" x14ac:dyDescent="0.25">
      <c r="A27" s="1" t="s">
        <v>39</v>
      </c>
    </row>
    <row r="28" spans="1:1" x14ac:dyDescent="0.25">
      <c r="A28" s="1" t="s">
        <v>40</v>
      </c>
    </row>
    <row r="29" spans="1:1" x14ac:dyDescent="0.25">
      <c r="A29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</sheetData>
  <conditionalFormatting sqref="A2:A31">
    <cfRule type="duplicateValues" dxfId="1" priority="48"/>
  </conditionalFormatting>
  <conditionalFormatting sqref="A2:A1048576">
    <cfRule type="duplicateValues" dxfId="0" priority="1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3"/>
  <sheetViews>
    <sheetView workbookViewId="0">
      <selection activeCell="E8" sqref="E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18</v>
      </c>
    </row>
    <row r="3" spans="1:1" x14ac:dyDescent="0.25">
      <c r="A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country</vt:lpstr>
      <vt:lpstr>energy_duty</vt:lpstr>
      <vt:lpstr>energy_duty_adjusted</vt:lpstr>
      <vt:lpstr>env_condition</vt:lpstr>
      <vt:lpstr>co2_tax</vt:lpstr>
      <vt:lpstr>co2_storage_capacity</vt:lpstr>
      <vt:lpstr>nuclear_capex</vt:lpstr>
      <vt:lpstr>capex</vt:lpstr>
      <vt:lpstr>electricity_emission_factor</vt:lpstr>
      <vt:lpstr>electricity_consumed</vt:lpstr>
      <vt:lpstr>gdp</vt:lpstr>
      <vt:lpstr>nuclear_allowed</vt:lpstr>
      <vt:lpstr>ccs_readiness</vt:lpstr>
      <vt:lpstr>nuclear_readiness</vt:lpstr>
      <vt:lpstr>nuclear_perception</vt:lpstr>
      <vt:lpstr>resource_reserve</vt:lpstr>
      <vt:lpstr>ccs_included</vt:lpstr>
      <vt:lpstr>non-NPT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(대학원생) AHMAD SYAUQI (School of Energy and Chemical Engineering)</dc:creator>
  <cp:lastModifiedBy>(대학원생) AHMAD SYAUQI (School of Energy and Chemical Eng</cp:lastModifiedBy>
  <dcterms:created xsi:type="dcterms:W3CDTF">2025-03-11T10:30:18Z</dcterms:created>
  <dcterms:modified xsi:type="dcterms:W3CDTF">2026-01-23T06:16:09Z</dcterms:modified>
</cp:coreProperties>
</file>