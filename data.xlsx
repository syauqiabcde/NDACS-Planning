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aper - Nuclear DACSS\Code\"/>
    </mc:Choice>
  </mc:AlternateContent>
  <xr:revisionPtr revIDLastSave="0" documentId="13_ncr:1_{F0746133-CDC5-4EBC-9614-3C32DA8DB4B9}" xr6:coauthVersionLast="47" xr6:coauthVersionMax="47" xr10:uidLastSave="{00000000-0000-0000-0000-000000000000}"/>
  <bookViews>
    <workbookView xWindow="1470" yWindow="1470" windowWidth="21600" windowHeight="11295" firstSheet="12" activeTab="13" xr2:uid="{00000000-000D-0000-FFFF-FFFF00000000}"/>
  </bookViews>
  <sheets>
    <sheet name="country" sheetId="1" r:id="rId1"/>
    <sheet name="energy_duty" sheetId="2" r:id="rId2"/>
    <sheet name="env_condition" sheetId="3" r:id="rId3"/>
    <sheet name="co2_tax" sheetId="4" r:id="rId4"/>
    <sheet name="co2_storage_capacity" sheetId="5" r:id="rId5"/>
    <sheet name="capex" sheetId="6" r:id="rId6"/>
    <sheet name="gdp" sheetId="7" r:id="rId7"/>
    <sheet name="nuclear_allowed" sheetId="8" r:id="rId8"/>
    <sheet name="ccs_readiness" sheetId="9" r:id="rId9"/>
    <sheet name="nuclear_readiness" sheetId="10" r:id="rId10"/>
    <sheet name="nuclear_perception" sheetId="11" r:id="rId11"/>
    <sheet name="resource_reserve" sheetId="12" r:id="rId12"/>
    <sheet name="ccs_included" sheetId="13" r:id="rId13"/>
    <sheet name="non-NPT" sheetId="14" r:id="rId14"/>
  </sheets>
  <definedNames>
    <definedName name="_xlnm._FilterDatabase" localSheetId="10" hidden="1">nuclear_perception!$A$1:$C$41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1" l="1"/>
  <c r="C25" i="11"/>
  <c r="B25" i="11"/>
  <c r="B7" i="11"/>
  <c r="B1" i="7"/>
  <c r="E41" i="4"/>
  <c r="F41" i="4" s="1"/>
  <c r="G41" i="4" s="1"/>
  <c r="H41" i="4" s="1"/>
  <c r="I41" i="4" s="1"/>
  <c r="J41" i="4" s="1"/>
  <c r="K41" i="4" s="1"/>
  <c r="L41" i="4" s="1"/>
  <c r="M41" i="4" s="1"/>
  <c r="N41" i="4" s="1"/>
  <c r="O41" i="4" s="1"/>
  <c r="P41" i="4" s="1"/>
  <c r="Q41" i="4" s="1"/>
  <c r="R41" i="4" s="1"/>
  <c r="S41" i="4" s="1"/>
  <c r="T41" i="4" s="1"/>
  <c r="U41" i="4" s="1"/>
  <c r="V41" i="4" s="1"/>
  <c r="W41" i="4" s="1"/>
  <c r="X41" i="4" s="1"/>
  <c r="Y41" i="4" s="1"/>
  <c r="Z41" i="4" s="1"/>
  <c r="AA41" i="4" s="1"/>
  <c r="AB41" i="4" s="1"/>
  <c r="AC41" i="4" s="1"/>
  <c r="AD41" i="4" s="1"/>
  <c r="AE41" i="4" s="1"/>
  <c r="AF41" i="4" s="1"/>
  <c r="AG41" i="4" s="1"/>
  <c r="AH41" i="4" s="1"/>
  <c r="AI41" i="4" s="1"/>
  <c r="AJ41" i="4" s="1"/>
  <c r="AK41" i="4" s="1"/>
  <c r="AL41" i="4" s="1"/>
  <c r="AM41" i="4" s="1"/>
  <c r="AN41" i="4" s="1"/>
  <c r="AO41" i="4" s="1"/>
  <c r="AP41" i="4" s="1"/>
  <c r="AQ41" i="4" s="1"/>
  <c r="AR41" i="4" s="1"/>
  <c r="AS41" i="4" s="1"/>
  <c r="AT41" i="4" s="1"/>
  <c r="AU41" i="4" s="1"/>
  <c r="AV41" i="4" s="1"/>
  <c r="AW41" i="4" s="1"/>
  <c r="AX41" i="4" s="1"/>
  <c r="AY41" i="4" s="1"/>
  <c r="AZ41" i="4" s="1"/>
  <c r="BA41" i="4" s="1"/>
  <c r="BB41" i="4" s="1"/>
  <c r="BC41" i="4" s="1"/>
  <c r="BD41" i="4" s="1"/>
  <c r="BE41" i="4" s="1"/>
  <c r="BF41" i="4" s="1"/>
  <c r="BG41" i="4" s="1"/>
  <c r="BH41" i="4" s="1"/>
  <c r="BI41" i="4" s="1"/>
  <c r="BJ41" i="4" s="1"/>
  <c r="BK41" i="4" s="1"/>
  <c r="BL41" i="4" s="1"/>
  <c r="BM41" i="4" s="1"/>
  <c r="BN41" i="4" s="1"/>
  <c r="BO41" i="4" s="1"/>
  <c r="BP41" i="4" s="1"/>
  <c r="BQ41" i="4" s="1"/>
  <c r="BR41" i="4" s="1"/>
  <c r="BS41" i="4" s="1"/>
  <c r="BT41" i="4" s="1"/>
  <c r="D41" i="4"/>
  <c r="C41" i="4"/>
  <c r="C40" i="4"/>
  <c r="D40" i="4" s="1"/>
  <c r="E40" i="4" s="1"/>
  <c r="F40" i="4" s="1"/>
  <c r="G40" i="4" s="1"/>
  <c r="H40" i="4" s="1"/>
  <c r="I40" i="4" s="1"/>
  <c r="J40" i="4" s="1"/>
  <c r="K40" i="4" s="1"/>
  <c r="L40" i="4" s="1"/>
  <c r="M40" i="4" s="1"/>
  <c r="N40" i="4" s="1"/>
  <c r="O40" i="4" s="1"/>
  <c r="P40" i="4" s="1"/>
  <c r="Q40" i="4" s="1"/>
  <c r="R40" i="4" s="1"/>
  <c r="S40" i="4" s="1"/>
  <c r="T40" i="4" s="1"/>
  <c r="U40" i="4" s="1"/>
  <c r="V40" i="4" s="1"/>
  <c r="W40" i="4" s="1"/>
  <c r="X40" i="4" s="1"/>
  <c r="Y40" i="4" s="1"/>
  <c r="Z40" i="4" s="1"/>
  <c r="AA40" i="4" s="1"/>
  <c r="AB40" i="4" s="1"/>
  <c r="AC40" i="4" s="1"/>
  <c r="AD40" i="4" s="1"/>
  <c r="AE40" i="4" s="1"/>
  <c r="AF40" i="4" s="1"/>
  <c r="AG40" i="4" s="1"/>
  <c r="AH40" i="4" s="1"/>
  <c r="AI40" i="4" s="1"/>
  <c r="AJ40" i="4" s="1"/>
  <c r="AK40" i="4" s="1"/>
  <c r="AL40" i="4" s="1"/>
  <c r="AM40" i="4" s="1"/>
  <c r="AN40" i="4" s="1"/>
  <c r="AO40" i="4" s="1"/>
  <c r="AP40" i="4" s="1"/>
  <c r="AQ40" i="4" s="1"/>
  <c r="AR40" i="4" s="1"/>
  <c r="AS40" i="4" s="1"/>
  <c r="AT40" i="4" s="1"/>
  <c r="AU40" i="4" s="1"/>
  <c r="AV40" i="4" s="1"/>
  <c r="AW40" i="4" s="1"/>
  <c r="AX40" i="4" s="1"/>
  <c r="AY40" i="4" s="1"/>
  <c r="AZ40" i="4" s="1"/>
  <c r="BA40" i="4" s="1"/>
  <c r="BB40" i="4" s="1"/>
  <c r="BC40" i="4" s="1"/>
  <c r="BD40" i="4" s="1"/>
  <c r="BE40" i="4" s="1"/>
  <c r="BF40" i="4" s="1"/>
  <c r="BG40" i="4" s="1"/>
  <c r="BH40" i="4" s="1"/>
  <c r="BI40" i="4" s="1"/>
  <c r="BJ40" i="4" s="1"/>
  <c r="BK40" i="4" s="1"/>
  <c r="BL40" i="4" s="1"/>
  <c r="BM40" i="4" s="1"/>
  <c r="BN40" i="4" s="1"/>
  <c r="BO40" i="4" s="1"/>
  <c r="BP40" i="4" s="1"/>
  <c r="BQ40" i="4" s="1"/>
  <c r="BR40" i="4" s="1"/>
  <c r="BS40" i="4" s="1"/>
  <c r="BT40" i="4" s="1"/>
  <c r="D39" i="4"/>
  <c r="E39" i="4" s="1"/>
  <c r="F39" i="4" s="1"/>
  <c r="G39" i="4" s="1"/>
  <c r="H39" i="4" s="1"/>
  <c r="I39" i="4" s="1"/>
  <c r="J39" i="4" s="1"/>
  <c r="K39" i="4" s="1"/>
  <c r="L39" i="4" s="1"/>
  <c r="M39" i="4" s="1"/>
  <c r="N39" i="4" s="1"/>
  <c r="O39" i="4" s="1"/>
  <c r="P39" i="4" s="1"/>
  <c r="Q39" i="4" s="1"/>
  <c r="R39" i="4" s="1"/>
  <c r="S39" i="4" s="1"/>
  <c r="T39" i="4" s="1"/>
  <c r="U39" i="4" s="1"/>
  <c r="V39" i="4" s="1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AK39" i="4" s="1"/>
  <c r="AL39" i="4" s="1"/>
  <c r="AM39" i="4" s="1"/>
  <c r="AN39" i="4" s="1"/>
  <c r="AO39" i="4" s="1"/>
  <c r="AP39" i="4" s="1"/>
  <c r="AQ39" i="4" s="1"/>
  <c r="AR39" i="4" s="1"/>
  <c r="AS39" i="4" s="1"/>
  <c r="AT39" i="4" s="1"/>
  <c r="AU39" i="4" s="1"/>
  <c r="AV39" i="4" s="1"/>
  <c r="AW39" i="4" s="1"/>
  <c r="AX39" i="4" s="1"/>
  <c r="AY39" i="4" s="1"/>
  <c r="AZ39" i="4" s="1"/>
  <c r="BA39" i="4" s="1"/>
  <c r="BB39" i="4" s="1"/>
  <c r="BC39" i="4" s="1"/>
  <c r="BD39" i="4" s="1"/>
  <c r="BE39" i="4" s="1"/>
  <c r="BF39" i="4" s="1"/>
  <c r="BG39" i="4" s="1"/>
  <c r="BH39" i="4" s="1"/>
  <c r="BI39" i="4" s="1"/>
  <c r="BJ39" i="4" s="1"/>
  <c r="BK39" i="4" s="1"/>
  <c r="BL39" i="4" s="1"/>
  <c r="BM39" i="4" s="1"/>
  <c r="BN39" i="4" s="1"/>
  <c r="BO39" i="4" s="1"/>
  <c r="BP39" i="4" s="1"/>
  <c r="BQ39" i="4" s="1"/>
  <c r="BR39" i="4" s="1"/>
  <c r="BS39" i="4" s="1"/>
  <c r="BT39" i="4" s="1"/>
  <c r="C39" i="4"/>
  <c r="E38" i="4"/>
  <c r="F38" i="4" s="1"/>
  <c r="G38" i="4" s="1"/>
  <c r="H38" i="4" s="1"/>
  <c r="I38" i="4" s="1"/>
  <c r="J38" i="4" s="1"/>
  <c r="K38" i="4" s="1"/>
  <c r="L38" i="4" s="1"/>
  <c r="M38" i="4" s="1"/>
  <c r="N38" i="4" s="1"/>
  <c r="O38" i="4" s="1"/>
  <c r="P38" i="4" s="1"/>
  <c r="Q38" i="4" s="1"/>
  <c r="R38" i="4" s="1"/>
  <c r="S38" i="4" s="1"/>
  <c r="T38" i="4" s="1"/>
  <c r="U38" i="4" s="1"/>
  <c r="V38" i="4" s="1"/>
  <c r="W38" i="4" s="1"/>
  <c r="X38" i="4" s="1"/>
  <c r="Y38" i="4" s="1"/>
  <c r="Z38" i="4" s="1"/>
  <c r="AA38" i="4" s="1"/>
  <c r="AB38" i="4" s="1"/>
  <c r="AC38" i="4" s="1"/>
  <c r="AD38" i="4" s="1"/>
  <c r="AE38" i="4" s="1"/>
  <c r="AF38" i="4" s="1"/>
  <c r="AG38" i="4" s="1"/>
  <c r="AH38" i="4" s="1"/>
  <c r="AI38" i="4" s="1"/>
  <c r="AJ38" i="4" s="1"/>
  <c r="AK38" i="4" s="1"/>
  <c r="AL38" i="4" s="1"/>
  <c r="AM38" i="4" s="1"/>
  <c r="AN38" i="4" s="1"/>
  <c r="AO38" i="4" s="1"/>
  <c r="AP38" i="4" s="1"/>
  <c r="AQ38" i="4" s="1"/>
  <c r="AR38" i="4" s="1"/>
  <c r="AS38" i="4" s="1"/>
  <c r="AT38" i="4" s="1"/>
  <c r="AU38" i="4" s="1"/>
  <c r="AV38" i="4" s="1"/>
  <c r="AW38" i="4" s="1"/>
  <c r="AX38" i="4" s="1"/>
  <c r="AY38" i="4" s="1"/>
  <c r="AZ38" i="4" s="1"/>
  <c r="BA38" i="4" s="1"/>
  <c r="BB38" i="4" s="1"/>
  <c r="BC38" i="4" s="1"/>
  <c r="BD38" i="4" s="1"/>
  <c r="BE38" i="4" s="1"/>
  <c r="BF38" i="4" s="1"/>
  <c r="BG38" i="4" s="1"/>
  <c r="BH38" i="4" s="1"/>
  <c r="BI38" i="4" s="1"/>
  <c r="BJ38" i="4" s="1"/>
  <c r="BK38" i="4" s="1"/>
  <c r="BL38" i="4" s="1"/>
  <c r="BM38" i="4" s="1"/>
  <c r="BN38" i="4" s="1"/>
  <c r="BO38" i="4" s="1"/>
  <c r="BP38" i="4" s="1"/>
  <c r="BQ38" i="4" s="1"/>
  <c r="BR38" i="4" s="1"/>
  <c r="BS38" i="4" s="1"/>
  <c r="BT38" i="4" s="1"/>
  <c r="D38" i="4"/>
  <c r="C38" i="4"/>
  <c r="D37" i="4"/>
  <c r="E37" i="4" s="1"/>
  <c r="F37" i="4" s="1"/>
  <c r="G37" i="4" s="1"/>
  <c r="H37" i="4" s="1"/>
  <c r="I37" i="4" s="1"/>
  <c r="J37" i="4" s="1"/>
  <c r="K37" i="4" s="1"/>
  <c r="L37" i="4" s="1"/>
  <c r="M37" i="4" s="1"/>
  <c r="N37" i="4" s="1"/>
  <c r="O37" i="4" s="1"/>
  <c r="P37" i="4" s="1"/>
  <c r="Q37" i="4" s="1"/>
  <c r="R37" i="4" s="1"/>
  <c r="S37" i="4" s="1"/>
  <c r="T37" i="4" s="1"/>
  <c r="U37" i="4" s="1"/>
  <c r="V37" i="4" s="1"/>
  <c r="W37" i="4" s="1"/>
  <c r="X37" i="4" s="1"/>
  <c r="Y37" i="4" s="1"/>
  <c r="Z37" i="4" s="1"/>
  <c r="AA37" i="4" s="1"/>
  <c r="AB37" i="4" s="1"/>
  <c r="AC37" i="4" s="1"/>
  <c r="AD37" i="4" s="1"/>
  <c r="AE37" i="4" s="1"/>
  <c r="AF37" i="4" s="1"/>
  <c r="AG37" i="4" s="1"/>
  <c r="AH37" i="4" s="1"/>
  <c r="AI37" i="4" s="1"/>
  <c r="AJ37" i="4" s="1"/>
  <c r="AK37" i="4" s="1"/>
  <c r="AL37" i="4" s="1"/>
  <c r="AM37" i="4" s="1"/>
  <c r="AN37" i="4" s="1"/>
  <c r="AO37" i="4" s="1"/>
  <c r="AP37" i="4" s="1"/>
  <c r="AQ37" i="4" s="1"/>
  <c r="AR37" i="4" s="1"/>
  <c r="AS37" i="4" s="1"/>
  <c r="AT37" i="4" s="1"/>
  <c r="AU37" i="4" s="1"/>
  <c r="AV37" i="4" s="1"/>
  <c r="AW37" i="4" s="1"/>
  <c r="AX37" i="4" s="1"/>
  <c r="AY37" i="4" s="1"/>
  <c r="AZ37" i="4" s="1"/>
  <c r="BA37" i="4" s="1"/>
  <c r="BB37" i="4" s="1"/>
  <c r="BC37" i="4" s="1"/>
  <c r="BD37" i="4" s="1"/>
  <c r="BE37" i="4" s="1"/>
  <c r="BF37" i="4" s="1"/>
  <c r="BG37" i="4" s="1"/>
  <c r="BH37" i="4" s="1"/>
  <c r="BI37" i="4" s="1"/>
  <c r="BJ37" i="4" s="1"/>
  <c r="BK37" i="4" s="1"/>
  <c r="BL37" i="4" s="1"/>
  <c r="BM37" i="4" s="1"/>
  <c r="BN37" i="4" s="1"/>
  <c r="BO37" i="4" s="1"/>
  <c r="BP37" i="4" s="1"/>
  <c r="BQ37" i="4" s="1"/>
  <c r="BR37" i="4" s="1"/>
  <c r="BS37" i="4" s="1"/>
  <c r="BT37" i="4" s="1"/>
  <c r="C37" i="4"/>
  <c r="C36" i="4"/>
  <c r="D36" i="4" s="1"/>
  <c r="E36" i="4" s="1"/>
  <c r="F36" i="4" s="1"/>
  <c r="G36" i="4" s="1"/>
  <c r="H36" i="4" s="1"/>
  <c r="I36" i="4" s="1"/>
  <c r="J36" i="4" s="1"/>
  <c r="K36" i="4" s="1"/>
  <c r="L36" i="4" s="1"/>
  <c r="M36" i="4" s="1"/>
  <c r="N36" i="4" s="1"/>
  <c r="O36" i="4" s="1"/>
  <c r="P36" i="4" s="1"/>
  <c r="Q36" i="4" s="1"/>
  <c r="R36" i="4" s="1"/>
  <c r="S36" i="4" s="1"/>
  <c r="T36" i="4" s="1"/>
  <c r="U36" i="4" s="1"/>
  <c r="V36" i="4" s="1"/>
  <c r="W36" i="4" s="1"/>
  <c r="X36" i="4" s="1"/>
  <c r="Y36" i="4" s="1"/>
  <c r="Z36" i="4" s="1"/>
  <c r="AA36" i="4" s="1"/>
  <c r="AB36" i="4" s="1"/>
  <c r="AC36" i="4" s="1"/>
  <c r="AD36" i="4" s="1"/>
  <c r="AE36" i="4" s="1"/>
  <c r="AF36" i="4" s="1"/>
  <c r="AG36" i="4" s="1"/>
  <c r="AH36" i="4" s="1"/>
  <c r="AI36" i="4" s="1"/>
  <c r="AJ36" i="4" s="1"/>
  <c r="AK36" i="4" s="1"/>
  <c r="AL36" i="4" s="1"/>
  <c r="AM36" i="4" s="1"/>
  <c r="AN36" i="4" s="1"/>
  <c r="AO36" i="4" s="1"/>
  <c r="AP36" i="4" s="1"/>
  <c r="AQ36" i="4" s="1"/>
  <c r="AR36" i="4" s="1"/>
  <c r="AS36" i="4" s="1"/>
  <c r="AT36" i="4" s="1"/>
  <c r="AU36" i="4" s="1"/>
  <c r="AV36" i="4" s="1"/>
  <c r="AW36" i="4" s="1"/>
  <c r="AX36" i="4" s="1"/>
  <c r="AY36" i="4" s="1"/>
  <c r="AZ36" i="4" s="1"/>
  <c r="BA36" i="4" s="1"/>
  <c r="BB36" i="4" s="1"/>
  <c r="BC36" i="4" s="1"/>
  <c r="BD36" i="4" s="1"/>
  <c r="BE36" i="4" s="1"/>
  <c r="BF36" i="4" s="1"/>
  <c r="BG36" i="4" s="1"/>
  <c r="BH36" i="4" s="1"/>
  <c r="BI36" i="4" s="1"/>
  <c r="BJ36" i="4" s="1"/>
  <c r="BK36" i="4" s="1"/>
  <c r="BL36" i="4" s="1"/>
  <c r="BM36" i="4" s="1"/>
  <c r="BN36" i="4" s="1"/>
  <c r="BO36" i="4" s="1"/>
  <c r="BP36" i="4" s="1"/>
  <c r="BQ36" i="4" s="1"/>
  <c r="BR36" i="4" s="1"/>
  <c r="BS36" i="4" s="1"/>
  <c r="BT36" i="4" s="1"/>
  <c r="C35" i="4"/>
  <c r="D35" i="4" s="1"/>
  <c r="E35" i="4" s="1"/>
  <c r="F35" i="4" s="1"/>
  <c r="G35" i="4" s="1"/>
  <c r="H35" i="4" s="1"/>
  <c r="I35" i="4" s="1"/>
  <c r="J35" i="4" s="1"/>
  <c r="K35" i="4" s="1"/>
  <c r="L35" i="4" s="1"/>
  <c r="M35" i="4" s="1"/>
  <c r="N35" i="4" s="1"/>
  <c r="O35" i="4" s="1"/>
  <c r="P35" i="4" s="1"/>
  <c r="Q35" i="4" s="1"/>
  <c r="R35" i="4" s="1"/>
  <c r="S35" i="4" s="1"/>
  <c r="T35" i="4" s="1"/>
  <c r="U35" i="4" s="1"/>
  <c r="V35" i="4" s="1"/>
  <c r="W35" i="4" s="1"/>
  <c r="X35" i="4" s="1"/>
  <c r="Y35" i="4" s="1"/>
  <c r="Z35" i="4" s="1"/>
  <c r="AA35" i="4" s="1"/>
  <c r="AB35" i="4" s="1"/>
  <c r="AC35" i="4" s="1"/>
  <c r="AD35" i="4" s="1"/>
  <c r="AE35" i="4" s="1"/>
  <c r="AF35" i="4" s="1"/>
  <c r="AG35" i="4" s="1"/>
  <c r="AH35" i="4" s="1"/>
  <c r="AI35" i="4" s="1"/>
  <c r="AJ35" i="4" s="1"/>
  <c r="AK35" i="4" s="1"/>
  <c r="AL35" i="4" s="1"/>
  <c r="AM35" i="4" s="1"/>
  <c r="AN35" i="4" s="1"/>
  <c r="AO35" i="4" s="1"/>
  <c r="AP35" i="4" s="1"/>
  <c r="AQ35" i="4" s="1"/>
  <c r="AR35" i="4" s="1"/>
  <c r="AS35" i="4" s="1"/>
  <c r="AT35" i="4" s="1"/>
  <c r="AU35" i="4" s="1"/>
  <c r="AV35" i="4" s="1"/>
  <c r="AW35" i="4" s="1"/>
  <c r="AX35" i="4" s="1"/>
  <c r="AY35" i="4" s="1"/>
  <c r="AZ35" i="4" s="1"/>
  <c r="BA35" i="4" s="1"/>
  <c r="BB35" i="4" s="1"/>
  <c r="BC35" i="4" s="1"/>
  <c r="BD35" i="4" s="1"/>
  <c r="BE35" i="4" s="1"/>
  <c r="BF35" i="4" s="1"/>
  <c r="BG35" i="4" s="1"/>
  <c r="BH35" i="4" s="1"/>
  <c r="BI35" i="4" s="1"/>
  <c r="BJ35" i="4" s="1"/>
  <c r="BK35" i="4" s="1"/>
  <c r="BL35" i="4" s="1"/>
  <c r="BM35" i="4" s="1"/>
  <c r="BN35" i="4" s="1"/>
  <c r="BO35" i="4" s="1"/>
  <c r="BP35" i="4" s="1"/>
  <c r="BQ35" i="4" s="1"/>
  <c r="BR35" i="4" s="1"/>
  <c r="BS35" i="4" s="1"/>
  <c r="BT35" i="4" s="1"/>
  <c r="G34" i="4"/>
  <c r="H34" i="4" s="1"/>
  <c r="I34" i="4" s="1"/>
  <c r="J34" i="4" s="1"/>
  <c r="K34" i="4" s="1"/>
  <c r="L34" i="4" s="1"/>
  <c r="M34" i="4" s="1"/>
  <c r="N34" i="4" s="1"/>
  <c r="O34" i="4" s="1"/>
  <c r="P34" i="4" s="1"/>
  <c r="Q34" i="4" s="1"/>
  <c r="R34" i="4" s="1"/>
  <c r="S34" i="4" s="1"/>
  <c r="T34" i="4" s="1"/>
  <c r="U34" i="4" s="1"/>
  <c r="V34" i="4" s="1"/>
  <c r="W34" i="4" s="1"/>
  <c r="X34" i="4" s="1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AI34" i="4" s="1"/>
  <c r="AJ34" i="4" s="1"/>
  <c r="AK34" i="4" s="1"/>
  <c r="AL34" i="4" s="1"/>
  <c r="AM34" i="4" s="1"/>
  <c r="AN34" i="4" s="1"/>
  <c r="AO34" i="4" s="1"/>
  <c r="AP34" i="4" s="1"/>
  <c r="AQ34" i="4" s="1"/>
  <c r="AR34" i="4" s="1"/>
  <c r="AS34" i="4" s="1"/>
  <c r="AT34" i="4" s="1"/>
  <c r="AU34" i="4" s="1"/>
  <c r="AV34" i="4" s="1"/>
  <c r="AW34" i="4" s="1"/>
  <c r="AX34" i="4" s="1"/>
  <c r="AY34" i="4" s="1"/>
  <c r="AZ34" i="4" s="1"/>
  <c r="BA34" i="4" s="1"/>
  <c r="BB34" i="4" s="1"/>
  <c r="BC34" i="4" s="1"/>
  <c r="BD34" i="4" s="1"/>
  <c r="BE34" i="4" s="1"/>
  <c r="BF34" i="4" s="1"/>
  <c r="BG34" i="4" s="1"/>
  <c r="BH34" i="4" s="1"/>
  <c r="BI34" i="4" s="1"/>
  <c r="BJ34" i="4" s="1"/>
  <c r="BK34" i="4" s="1"/>
  <c r="BL34" i="4" s="1"/>
  <c r="BM34" i="4" s="1"/>
  <c r="BN34" i="4" s="1"/>
  <c r="BO34" i="4" s="1"/>
  <c r="BP34" i="4" s="1"/>
  <c r="BQ34" i="4" s="1"/>
  <c r="BR34" i="4" s="1"/>
  <c r="BS34" i="4" s="1"/>
  <c r="BT34" i="4" s="1"/>
  <c r="F34" i="4"/>
  <c r="E34" i="4"/>
  <c r="D34" i="4"/>
  <c r="C34" i="4"/>
  <c r="C33" i="4"/>
  <c r="D33" i="4" s="1"/>
  <c r="E33" i="4" s="1"/>
  <c r="F33" i="4" s="1"/>
  <c r="G33" i="4" s="1"/>
  <c r="H33" i="4" s="1"/>
  <c r="I33" i="4" s="1"/>
  <c r="J33" i="4" s="1"/>
  <c r="K33" i="4" s="1"/>
  <c r="L33" i="4" s="1"/>
  <c r="M33" i="4" s="1"/>
  <c r="N33" i="4" s="1"/>
  <c r="O33" i="4" s="1"/>
  <c r="P33" i="4" s="1"/>
  <c r="Q33" i="4" s="1"/>
  <c r="R33" i="4" s="1"/>
  <c r="S33" i="4" s="1"/>
  <c r="T33" i="4" s="1"/>
  <c r="U33" i="4" s="1"/>
  <c r="V33" i="4" s="1"/>
  <c r="W33" i="4" s="1"/>
  <c r="X33" i="4" s="1"/>
  <c r="Y33" i="4" s="1"/>
  <c r="Z33" i="4" s="1"/>
  <c r="AA33" i="4" s="1"/>
  <c r="AB33" i="4" s="1"/>
  <c r="AC33" i="4" s="1"/>
  <c r="AD33" i="4" s="1"/>
  <c r="AE33" i="4" s="1"/>
  <c r="AF33" i="4" s="1"/>
  <c r="AG33" i="4" s="1"/>
  <c r="AH33" i="4" s="1"/>
  <c r="AI33" i="4" s="1"/>
  <c r="AJ33" i="4" s="1"/>
  <c r="AK33" i="4" s="1"/>
  <c r="AL33" i="4" s="1"/>
  <c r="AM33" i="4" s="1"/>
  <c r="AN33" i="4" s="1"/>
  <c r="AO33" i="4" s="1"/>
  <c r="AP33" i="4" s="1"/>
  <c r="AQ33" i="4" s="1"/>
  <c r="AR33" i="4" s="1"/>
  <c r="AS33" i="4" s="1"/>
  <c r="AT33" i="4" s="1"/>
  <c r="AU33" i="4" s="1"/>
  <c r="AV33" i="4" s="1"/>
  <c r="AW33" i="4" s="1"/>
  <c r="AX33" i="4" s="1"/>
  <c r="AY33" i="4" s="1"/>
  <c r="AZ33" i="4" s="1"/>
  <c r="BA33" i="4" s="1"/>
  <c r="BB33" i="4" s="1"/>
  <c r="BC33" i="4" s="1"/>
  <c r="BD33" i="4" s="1"/>
  <c r="BE33" i="4" s="1"/>
  <c r="BF33" i="4" s="1"/>
  <c r="BG33" i="4" s="1"/>
  <c r="BH33" i="4" s="1"/>
  <c r="BI33" i="4" s="1"/>
  <c r="BJ33" i="4" s="1"/>
  <c r="BK33" i="4" s="1"/>
  <c r="BL33" i="4" s="1"/>
  <c r="BM33" i="4" s="1"/>
  <c r="BN33" i="4" s="1"/>
  <c r="BO33" i="4" s="1"/>
  <c r="BP33" i="4" s="1"/>
  <c r="BQ33" i="4" s="1"/>
  <c r="BR33" i="4" s="1"/>
  <c r="BS33" i="4" s="1"/>
  <c r="BT33" i="4" s="1"/>
  <c r="E32" i="4"/>
  <c r="F32" i="4" s="1"/>
  <c r="G32" i="4" s="1"/>
  <c r="H32" i="4" s="1"/>
  <c r="I32" i="4" s="1"/>
  <c r="J32" i="4" s="1"/>
  <c r="K32" i="4" s="1"/>
  <c r="L32" i="4" s="1"/>
  <c r="M32" i="4" s="1"/>
  <c r="N32" i="4" s="1"/>
  <c r="O32" i="4" s="1"/>
  <c r="P32" i="4" s="1"/>
  <c r="Q32" i="4" s="1"/>
  <c r="R32" i="4" s="1"/>
  <c r="S32" i="4" s="1"/>
  <c r="T32" i="4" s="1"/>
  <c r="U32" i="4" s="1"/>
  <c r="V32" i="4" s="1"/>
  <c r="W32" i="4" s="1"/>
  <c r="X32" i="4" s="1"/>
  <c r="Y32" i="4" s="1"/>
  <c r="Z32" i="4" s="1"/>
  <c r="AA32" i="4" s="1"/>
  <c r="AB32" i="4" s="1"/>
  <c r="AC32" i="4" s="1"/>
  <c r="AD32" i="4" s="1"/>
  <c r="AE32" i="4" s="1"/>
  <c r="AF32" i="4" s="1"/>
  <c r="AG32" i="4" s="1"/>
  <c r="AH32" i="4" s="1"/>
  <c r="AI32" i="4" s="1"/>
  <c r="AJ32" i="4" s="1"/>
  <c r="AK32" i="4" s="1"/>
  <c r="AL32" i="4" s="1"/>
  <c r="AM32" i="4" s="1"/>
  <c r="AN32" i="4" s="1"/>
  <c r="AO32" i="4" s="1"/>
  <c r="AP32" i="4" s="1"/>
  <c r="AQ32" i="4" s="1"/>
  <c r="AR32" i="4" s="1"/>
  <c r="AS32" i="4" s="1"/>
  <c r="AT32" i="4" s="1"/>
  <c r="AU32" i="4" s="1"/>
  <c r="AV32" i="4" s="1"/>
  <c r="AW32" i="4" s="1"/>
  <c r="AX32" i="4" s="1"/>
  <c r="AY32" i="4" s="1"/>
  <c r="AZ32" i="4" s="1"/>
  <c r="BA32" i="4" s="1"/>
  <c r="BB32" i="4" s="1"/>
  <c r="BC32" i="4" s="1"/>
  <c r="BD32" i="4" s="1"/>
  <c r="BE32" i="4" s="1"/>
  <c r="BF32" i="4" s="1"/>
  <c r="BG32" i="4" s="1"/>
  <c r="BH32" i="4" s="1"/>
  <c r="BI32" i="4" s="1"/>
  <c r="BJ32" i="4" s="1"/>
  <c r="BK32" i="4" s="1"/>
  <c r="BL32" i="4" s="1"/>
  <c r="BM32" i="4" s="1"/>
  <c r="BN32" i="4" s="1"/>
  <c r="BO32" i="4" s="1"/>
  <c r="BP32" i="4" s="1"/>
  <c r="BQ32" i="4" s="1"/>
  <c r="BR32" i="4" s="1"/>
  <c r="BS32" i="4" s="1"/>
  <c r="BT32" i="4" s="1"/>
  <c r="D32" i="4"/>
  <c r="C32" i="4"/>
  <c r="C31" i="4"/>
  <c r="D31" i="4" s="1"/>
  <c r="E31" i="4" s="1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O31" i="4" s="1"/>
  <c r="AP31" i="4" s="1"/>
  <c r="AQ31" i="4" s="1"/>
  <c r="AR31" i="4" s="1"/>
  <c r="AS31" i="4" s="1"/>
  <c r="AT31" i="4" s="1"/>
  <c r="AU31" i="4" s="1"/>
  <c r="AV31" i="4" s="1"/>
  <c r="AW31" i="4" s="1"/>
  <c r="AX31" i="4" s="1"/>
  <c r="AY31" i="4" s="1"/>
  <c r="AZ31" i="4" s="1"/>
  <c r="BA31" i="4" s="1"/>
  <c r="BB31" i="4" s="1"/>
  <c r="BC31" i="4" s="1"/>
  <c r="BD31" i="4" s="1"/>
  <c r="BE31" i="4" s="1"/>
  <c r="BF31" i="4" s="1"/>
  <c r="BG31" i="4" s="1"/>
  <c r="BH31" i="4" s="1"/>
  <c r="BI31" i="4" s="1"/>
  <c r="BJ31" i="4" s="1"/>
  <c r="BK31" i="4" s="1"/>
  <c r="BL31" i="4" s="1"/>
  <c r="BM31" i="4" s="1"/>
  <c r="BN31" i="4" s="1"/>
  <c r="BO31" i="4" s="1"/>
  <c r="BP31" i="4" s="1"/>
  <c r="BQ31" i="4" s="1"/>
  <c r="BR31" i="4" s="1"/>
  <c r="BS31" i="4" s="1"/>
  <c r="BT31" i="4" s="1"/>
  <c r="D30" i="4"/>
  <c r="E30" i="4" s="1"/>
  <c r="F30" i="4" s="1"/>
  <c r="G30" i="4" s="1"/>
  <c r="H30" i="4" s="1"/>
  <c r="I30" i="4" s="1"/>
  <c r="J30" i="4" s="1"/>
  <c r="K30" i="4" s="1"/>
  <c r="L30" i="4" s="1"/>
  <c r="M30" i="4" s="1"/>
  <c r="N30" i="4" s="1"/>
  <c r="O30" i="4" s="1"/>
  <c r="P30" i="4" s="1"/>
  <c r="Q30" i="4" s="1"/>
  <c r="R30" i="4" s="1"/>
  <c r="S30" i="4" s="1"/>
  <c r="T30" i="4" s="1"/>
  <c r="U30" i="4" s="1"/>
  <c r="V30" i="4" s="1"/>
  <c r="W30" i="4" s="1"/>
  <c r="X30" i="4" s="1"/>
  <c r="Y30" i="4" s="1"/>
  <c r="Z30" i="4" s="1"/>
  <c r="AA30" i="4" s="1"/>
  <c r="AB30" i="4" s="1"/>
  <c r="AC30" i="4" s="1"/>
  <c r="AD30" i="4" s="1"/>
  <c r="AE30" i="4" s="1"/>
  <c r="AF30" i="4" s="1"/>
  <c r="AG30" i="4" s="1"/>
  <c r="AH30" i="4" s="1"/>
  <c r="AI30" i="4" s="1"/>
  <c r="AJ30" i="4" s="1"/>
  <c r="AK30" i="4" s="1"/>
  <c r="AL30" i="4" s="1"/>
  <c r="AM30" i="4" s="1"/>
  <c r="AN30" i="4" s="1"/>
  <c r="AO30" i="4" s="1"/>
  <c r="AP30" i="4" s="1"/>
  <c r="AQ30" i="4" s="1"/>
  <c r="AR30" i="4" s="1"/>
  <c r="AS30" i="4" s="1"/>
  <c r="AT30" i="4" s="1"/>
  <c r="AU30" i="4" s="1"/>
  <c r="AV30" i="4" s="1"/>
  <c r="AW30" i="4" s="1"/>
  <c r="AX30" i="4" s="1"/>
  <c r="AY30" i="4" s="1"/>
  <c r="AZ30" i="4" s="1"/>
  <c r="BA30" i="4" s="1"/>
  <c r="BB30" i="4" s="1"/>
  <c r="BC30" i="4" s="1"/>
  <c r="BD30" i="4" s="1"/>
  <c r="BE30" i="4" s="1"/>
  <c r="BF30" i="4" s="1"/>
  <c r="BG30" i="4" s="1"/>
  <c r="BH30" i="4" s="1"/>
  <c r="BI30" i="4" s="1"/>
  <c r="BJ30" i="4" s="1"/>
  <c r="BK30" i="4" s="1"/>
  <c r="BL30" i="4" s="1"/>
  <c r="BM30" i="4" s="1"/>
  <c r="BN30" i="4" s="1"/>
  <c r="BO30" i="4" s="1"/>
  <c r="BP30" i="4" s="1"/>
  <c r="BQ30" i="4" s="1"/>
  <c r="BR30" i="4" s="1"/>
  <c r="BS30" i="4" s="1"/>
  <c r="BT30" i="4" s="1"/>
  <c r="C30" i="4"/>
  <c r="E29" i="4"/>
  <c r="F29" i="4" s="1"/>
  <c r="G29" i="4" s="1"/>
  <c r="H29" i="4" s="1"/>
  <c r="I29" i="4" s="1"/>
  <c r="J29" i="4" s="1"/>
  <c r="K29" i="4" s="1"/>
  <c r="L29" i="4" s="1"/>
  <c r="M29" i="4" s="1"/>
  <c r="N29" i="4" s="1"/>
  <c r="O29" i="4" s="1"/>
  <c r="P29" i="4" s="1"/>
  <c r="Q29" i="4" s="1"/>
  <c r="R29" i="4" s="1"/>
  <c r="S29" i="4" s="1"/>
  <c r="T29" i="4" s="1"/>
  <c r="U29" i="4" s="1"/>
  <c r="V29" i="4" s="1"/>
  <c r="W29" i="4" s="1"/>
  <c r="X29" i="4" s="1"/>
  <c r="Y29" i="4" s="1"/>
  <c r="Z29" i="4" s="1"/>
  <c r="AA29" i="4" s="1"/>
  <c r="AB29" i="4" s="1"/>
  <c r="AC29" i="4" s="1"/>
  <c r="AD29" i="4" s="1"/>
  <c r="AE29" i="4" s="1"/>
  <c r="AF29" i="4" s="1"/>
  <c r="AG29" i="4" s="1"/>
  <c r="AH29" i="4" s="1"/>
  <c r="AI29" i="4" s="1"/>
  <c r="AJ29" i="4" s="1"/>
  <c r="AK29" i="4" s="1"/>
  <c r="AL29" i="4" s="1"/>
  <c r="AM29" i="4" s="1"/>
  <c r="AN29" i="4" s="1"/>
  <c r="AO29" i="4" s="1"/>
  <c r="AP29" i="4" s="1"/>
  <c r="AQ29" i="4" s="1"/>
  <c r="AR29" i="4" s="1"/>
  <c r="AS29" i="4" s="1"/>
  <c r="AT29" i="4" s="1"/>
  <c r="AU29" i="4" s="1"/>
  <c r="AV29" i="4" s="1"/>
  <c r="AW29" i="4" s="1"/>
  <c r="AX29" i="4" s="1"/>
  <c r="AY29" i="4" s="1"/>
  <c r="AZ29" i="4" s="1"/>
  <c r="BA29" i="4" s="1"/>
  <c r="BB29" i="4" s="1"/>
  <c r="BC29" i="4" s="1"/>
  <c r="BD29" i="4" s="1"/>
  <c r="BE29" i="4" s="1"/>
  <c r="BF29" i="4" s="1"/>
  <c r="BG29" i="4" s="1"/>
  <c r="BH29" i="4" s="1"/>
  <c r="BI29" i="4" s="1"/>
  <c r="BJ29" i="4" s="1"/>
  <c r="BK29" i="4" s="1"/>
  <c r="BL29" i="4" s="1"/>
  <c r="BM29" i="4" s="1"/>
  <c r="BN29" i="4" s="1"/>
  <c r="BO29" i="4" s="1"/>
  <c r="BP29" i="4" s="1"/>
  <c r="BQ29" i="4" s="1"/>
  <c r="BR29" i="4" s="1"/>
  <c r="BS29" i="4" s="1"/>
  <c r="BT29" i="4" s="1"/>
  <c r="D29" i="4"/>
  <c r="C29" i="4"/>
  <c r="F28" i="4"/>
  <c r="G28" i="4" s="1"/>
  <c r="H28" i="4" s="1"/>
  <c r="I28" i="4" s="1"/>
  <c r="J28" i="4" s="1"/>
  <c r="K28" i="4" s="1"/>
  <c r="L28" i="4" s="1"/>
  <c r="M28" i="4" s="1"/>
  <c r="N28" i="4" s="1"/>
  <c r="O28" i="4" s="1"/>
  <c r="P28" i="4" s="1"/>
  <c r="Q28" i="4" s="1"/>
  <c r="R28" i="4" s="1"/>
  <c r="S28" i="4" s="1"/>
  <c r="T28" i="4" s="1"/>
  <c r="U28" i="4" s="1"/>
  <c r="V28" i="4" s="1"/>
  <c r="W28" i="4" s="1"/>
  <c r="X28" i="4" s="1"/>
  <c r="Y28" i="4" s="1"/>
  <c r="Z28" i="4" s="1"/>
  <c r="AA28" i="4" s="1"/>
  <c r="AB28" i="4" s="1"/>
  <c r="AC28" i="4" s="1"/>
  <c r="AD28" i="4" s="1"/>
  <c r="AE28" i="4" s="1"/>
  <c r="AF28" i="4" s="1"/>
  <c r="AG28" i="4" s="1"/>
  <c r="AH28" i="4" s="1"/>
  <c r="AI28" i="4" s="1"/>
  <c r="AJ28" i="4" s="1"/>
  <c r="AK28" i="4" s="1"/>
  <c r="AL28" i="4" s="1"/>
  <c r="AM28" i="4" s="1"/>
  <c r="AN28" i="4" s="1"/>
  <c r="AO28" i="4" s="1"/>
  <c r="AP28" i="4" s="1"/>
  <c r="AQ28" i="4" s="1"/>
  <c r="AR28" i="4" s="1"/>
  <c r="AS28" i="4" s="1"/>
  <c r="AT28" i="4" s="1"/>
  <c r="AU28" i="4" s="1"/>
  <c r="AV28" i="4" s="1"/>
  <c r="AW28" i="4" s="1"/>
  <c r="AX28" i="4" s="1"/>
  <c r="AY28" i="4" s="1"/>
  <c r="AZ28" i="4" s="1"/>
  <c r="BA28" i="4" s="1"/>
  <c r="BB28" i="4" s="1"/>
  <c r="BC28" i="4" s="1"/>
  <c r="BD28" i="4" s="1"/>
  <c r="BE28" i="4" s="1"/>
  <c r="BF28" i="4" s="1"/>
  <c r="BG28" i="4" s="1"/>
  <c r="BH28" i="4" s="1"/>
  <c r="BI28" i="4" s="1"/>
  <c r="BJ28" i="4" s="1"/>
  <c r="BK28" i="4" s="1"/>
  <c r="BL28" i="4" s="1"/>
  <c r="BM28" i="4" s="1"/>
  <c r="BN28" i="4" s="1"/>
  <c r="BO28" i="4" s="1"/>
  <c r="BP28" i="4" s="1"/>
  <c r="BQ28" i="4" s="1"/>
  <c r="BR28" i="4" s="1"/>
  <c r="BS28" i="4" s="1"/>
  <c r="BT28" i="4" s="1"/>
  <c r="E28" i="4"/>
  <c r="D28" i="4"/>
  <c r="C28" i="4"/>
  <c r="C27" i="4"/>
  <c r="D27" i="4" s="1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7" i="4" s="1"/>
  <c r="Q27" i="4" s="1"/>
  <c r="R27" i="4" s="1"/>
  <c r="S27" i="4" s="1"/>
  <c r="T27" i="4" s="1"/>
  <c r="U27" i="4" s="1"/>
  <c r="V27" i="4" s="1"/>
  <c r="W27" i="4" s="1"/>
  <c r="X27" i="4" s="1"/>
  <c r="Y27" i="4" s="1"/>
  <c r="Z27" i="4" s="1"/>
  <c r="AA27" i="4" s="1"/>
  <c r="AB27" i="4" s="1"/>
  <c r="AC27" i="4" s="1"/>
  <c r="AD27" i="4" s="1"/>
  <c r="AE27" i="4" s="1"/>
  <c r="AF27" i="4" s="1"/>
  <c r="AG27" i="4" s="1"/>
  <c r="AH27" i="4" s="1"/>
  <c r="AI27" i="4" s="1"/>
  <c r="AJ27" i="4" s="1"/>
  <c r="AK27" i="4" s="1"/>
  <c r="AL27" i="4" s="1"/>
  <c r="AM27" i="4" s="1"/>
  <c r="AN27" i="4" s="1"/>
  <c r="AO27" i="4" s="1"/>
  <c r="AP27" i="4" s="1"/>
  <c r="AQ27" i="4" s="1"/>
  <c r="AR27" i="4" s="1"/>
  <c r="AS27" i="4" s="1"/>
  <c r="AT27" i="4" s="1"/>
  <c r="AU27" i="4" s="1"/>
  <c r="AV27" i="4" s="1"/>
  <c r="AW27" i="4" s="1"/>
  <c r="AX27" i="4" s="1"/>
  <c r="AY27" i="4" s="1"/>
  <c r="AZ27" i="4" s="1"/>
  <c r="BA27" i="4" s="1"/>
  <c r="BB27" i="4" s="1"/>
  <c r="BC27" i="4" s="1"/>
  <c r="BD27" i="4" s="1"/>
  <c r="BE27" i="4" s="1"/>
  <c r="BF27" i="4" s="1"/>
  <c r="BG27" i="4" s="1"/>
  <c r="BH27" i="4" s="1"/>
  <c r="BI27" i="4" s="1"/>
  <c r="BJ27" i="4" s="1"/>
  <c r="BK27" i="4" s="1"/>
  <c r="BL27" i="4" s="1"/>
  <c r="BM27" i="4" s="1"/>
  <c r="BN27" i="4" s="1"/>
  <c r="BO27" i="4" s="1"/>
  <c r="BP27" i="4" s="1"/>
  <c r="BQ27" i="4" s="1"/>
  <c r="BR27" i="4" s="1"/>
  <c r="BS27" i="4" s="1"/>
  <c r="BT27" i="4" s="1"/>
  <c r="C26" i="4"/>
  <c r="D26" i="4" s="1"/>
  <c r="E26" i="4" s="1"/>
  <c r="F26" i="4" s="1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s="1"/>
  <c r="AI26" i="4" s="1"/>
  <c r="AJ26" i="4" s="1"/>
  <c r="AK26" i="4" s="1"/>
  <c r="AL26" i="4" s="1"/>
  <c r="AM26" i="4" s="1"/>
  <c r="AN26" i="4" s="1"/>
  <c r="AO26" i="4" s="1"/>
  <c r="AP26" i="4" s="1"/>
  <c r="AQ26" i="4" s="1"/>
  <c r="AR26" i="4" s="1"/>
  <c r="AS26" i="4" s="1"/>
  <c r="AT26" i="4" s="1"/>
  <c r="AU26" i="4" s="1"/>
  <c r="AV26" i="4" s="1"/>
  <c r="AW26" i="4" s="1"/>
  <c r="AX26" i="4" s="1"/>
  <c r="AY26" i="4" s="1"/>
  <c r="AZ26" i="4" s="1"/>
  <c r="BA26" i="4" s="1"/>
  <c r="BB26" i="4" s="1"/>
  <c r="BC26" i="4" s="1"/>
  <c r="BD26" i="4" s="1"/>
  <c r="BE26" i="4" s="1"/>
  <c r="BF26" i="4" s="1"/>
  <c r="BG26" i="4" s="1"/>
  <c r="BH26" i="4" s="1"/>
  <c r="BI26" i="4" s="1"/>
  <c r="BJ26" i="4" s="1"/>
  <c r="BK26" i="4" s="1"/>
  <c r="BL26" i="4" s="1"/>
  <c r="BM26" i="4" s="1"/>
  <c r="BN26" i="4" s="1"/>
  <c r="BO26" i="4" s="1"/>
  <c r="BP26" i="4" s="1"/>
  <c r="BQ26" i="4" s="1"/>
  <c r="BR26" i="4" s="1"/>
  <c r="BS26" i="4" s="1"/>
  <c r="BT26" i="4" s="1"/>
  <c r="E25" i="4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D25" i="4"/>
  <c r="C25" i="4"/>
  <c r="C24" i="4"/>
  <c r="D24" i="4" s="1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C23" i="4"/>
  <c r="E22" i="4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D22" i="4"/>
  <c r="C22" i="4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C21" i="4"/>
  <c r="C20" i="4"/>
  <c r="D20" i="4" s="1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C19" i="4"/>
  <c r="D19" i="4" s="1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G18" i="4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F18" i="4"/>
  <c r="E18" i="4"/>
  <c r="D18" i="4"/>
  <c r="C18" i="4"/>
  <c r="C17" i="4"/>
  <c r="D17" i="4" s="1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E16" i="4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D16" i="4"/>
  <c r="C16" i="4"/>
  <c r="C15" i="4"/>
  <c r="D15" i="4" s="1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C14" i="4"/>
  <c r="E13" i="4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D13" i="4"/>
  <c r="C13" i="4"/>
  <c r="F12" i="4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E12" i="4"/>
  <c r="D12" i="4"/>
  <c r="C12" i="4"/>
  <c r="C11" i="4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D10" i="4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AN10" i="4" s="1"/>
  <c r="AO10" i="4" s="1"/>
  <c r="AP10" i="4" s="1"/>
  <c r="AQ10" i="4" s="1"/>
  <c r="AR10" i="4" s="1"/>
  <c r="AS10" i="4" s="1"/>
  <c r="AT10" i="4" s="1"/>
  <c r="AU10" i="4" s="1"/>
  <c r="AV10" i="4" s="1"/>
  <c r="AW10" i="4" s="1"/>
  <c r="AX10" i="4" s="1"/>
  <c r="AY10" i="4" s="1"/>
  <c r="AZ10" i="4" s="1"/>
  <c r="BA10" i="4" s="1"/>
  <c r="BB10" i="4" s="1"/>
  <c r="BC10" i="4" s="1"/>
  <c r="BD10" i="4" s="1"/>
  <c r="BE10" i="4" s="1"/>
  <c r="BF10" i="4" s="1"/>
  <c r="BG10" i="4" s="1"/>
  <c r="BH10" i="4" s="1"/>
  <c r="BI10" i="4" s="1"/>
  <c r="BJ10" i="4" s="1"/>
  <c r="BK10" i="4" s="1"/>
  <c r="BL10" i="4" s="1"/>
  <c r="BM10" i="4" s="1"/>
  <c r="BN10" i="4" s="1"/>
  <c r="BO10" i="4" s="1"/>
  <c r="BP10" i="4" s="1"/>
  <c r="BQ10" i="4" s="1"/>
  <c r="BR10" i="4" s="1"/>
  <c r="BS10" i="4" s="1"/>
  <c r="BT10" i="4" s="1"/>
  <c r="C10" i="4"/>
  <c r="E9" i="4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W9" i="4" s="1"/>
  <c r="AX9" i="4" s="1"/>
  <c r="AY9" i="4" s="1"/>
  <c r="AZ9" i="4" s="1"/>
  <c r="BA9" i="4" s="1"/>
  <c r="BB9" i="4" s="1"/>
  <c r="BC9" i="4" s="1"/>
  <c r="BD9" i="4" s="1"/>
  <c r="BE9" i="4" s="1"/>
  <c r="BF9" i="4" s="1"/>
  <c r="BG9" i="4" s="1"/>
  <c r="BH9" i="4" s="1"/>
  <c r="BI9" i="4" s="1"/>
  <c r="BJ9" i="4" s="1"/>
  <c r="BK9" i="4" s="1"/>
  <c r="BL9" i="4" s="1"/>
  <c r="BM9" i="4" s="1"/>
  <c r="BN9" i="4" s="1"/>
  <c r="BO9" i="4" s="1"/>
  <c r="BP9" i="4" s="1"/>
  <c r="BQ9" i="4" s="1"/>
  <c r="BR9" i="4" s="1"/>
  <c r="BS9" i="4" s="1"/>
  <c r="BT9" i="4" s="1"/>
  <c r="D9" i="4"/>
  <c r="C9" i="4"/>
  <c r="C8" i="4"/>
  <c r="D8" i="4" s="1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AL8" i="4" s="1"/>
  <c r="AM8" i="4" s="1"/>
  <c r="AN8" i="4" s="1"/>
  <c r="AO8" i="4" s="1"/>
  <c r="AP8" i="4" s="1"/>
  <c r="AQ8" i="4" s="1"/>
  <c r="AR8" i="4" s="1"/>
  <c r="AS8" i="4" s="1"/>
  <c r="AT8" i="4" s="1"/>
  <c r="AU8" i="4" s="1"/>
  <c r="AV8" i="4" s="1"/>
  <c r="AW8" i="4" s="1"/>
  <c r="AX8" i="4" s="1"/>
  <c r="AY8" i="4" s="1"/>
  <c r="AZ8" i="4" s="1"/>
  <c r="BA8" i="4" s="1"/>
  <c r="BB8" i="4" s="1"/>
  <c r="BC8" i="4" s="1"/>
  <c r="BD8" i="4" s="1"/>
  <c r="BE8" i="4" s="1"/>
  <c r="BF8" i="4" s="1"/>
  <c r="BG8" i="4" s="1"/>
  <c r="BH8" i="4" s="1"/>
  <c r="BI8" i="4" s="1"/>
  <c r="BJ8" i="4" s="1"/>
  <c r="BK8" i="4" s="1"/>
  <c r="BL8" i="4" s="1"/>
  <c r="BM8" i="4" s="1"/>
  <c r="BN8" i="4" s="1"/>
  <c r="BO8" i="4" s="1"/>
  <c r="BP8" i="4" s="1"/>
  <c r="BQ8" i="4" s="1"/>
  <c r="BR8" i="4" s="1"/>
  <c r="BS8" i="4" s="1"/>
  <c r="BT8" i="4" s="1"/>
  <c r="D7" i="4"/>
  <c r="E7" i="4" s="1"/>
  <c r="F7" i="4" s="1"/>
  <c r="G7" i="4" s="1"/>
  <c r="H7" i="4" s="1"/>
  <c r="I7" i="4" s="1"/>
  <c r="J7" i="4" s="1"/>
  <c r="K7" i="4" s="1"/>
  <c r="L7" i="4" s="1"/>
  <c r="M7" i="4" s="1"/>
  <c r="N7" i="4" s="1"/>
  <c r="O7" i="4" s="1"/>
  <c r="P7" i="4" s="1"/>
  <c r="Q7" i="4" s="1"/>
  <c r="R7" i="4" s="1"/>
  <c r="S7" i="4" s="1"/>
  <c r="T7" i="4" s="1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H7" i="4" s="1"/>
  <c r="AI7" i="4" s="1"/>
  <c r="AJ7" i="4" s="1"/>
  <c r="AK7" i="4" s="1"/>
  <c r="AL7" i="4" s="1"/>
  <c r="AM7" i="4" s="1"/>
  <c r="AN7" i="4" s="1"/>
  <c r="AO7" i="4" s="1"/>
  <c r="AP7" i="4" s="1"/>
  <c r="AQ7" i="4" s="1"/>
  <c r="AR7" i="4" s="1"/>
  <c r="AS7" i="4" s="1"/>
  <c r="AT7" i="4" s="1"/>
  <c r="AU7" i="4" s="1"/>
  <c r="AV7" i="4" s="1"/>
  <c r="AW7" i="4" s="1"/>
  <c r="AX7" i="4" s="1"/>
  <c r="AY7" i="4" s="1"/>
  <c r="AZ7" i="4" s="1"/>
  <c r="BA7" i="4" s="1"/>
  <c r="BB7" i="4" s="1"/>
  <c r="BC7" i="4" s="1"/>
  <c r="BD7" i="4" s="1"/>
  <c r="BE7" i="4" s="1"/>
  <c r="BF7" i="4" s="1"/>
  <c r="BG7" i="4" s="1"/>
  <c r="BH7" i="4" s="1"/>
  <c r="BI7" i="4" s="1"/>
  <c r="BJ7" i="4" s="1"/>
  <c r="BK7" i="4" s="1"/>
  <c r="BL7" i="4" s="1"/>
  <c r="BM7" i="4" s="1"/>
  <c r="BN7" i="4" s="1"/>
  <c r="BO7" i="4" s="1"/>
  <c r="BP7" i="4" s="1"/>
  <c r="BQ7" i="4" s="1"/>
  <c r="BR7" i="4" s="1"/>
  <c r="BS7" i="4" s="1"/>
  <c r="BT7" i="4" s="1"/>
  <c r="C7" i="4"/>
  <c r="E6" i="4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D6" i="4"/>
  <c r="C6" i="4"/>
  <c r="D5" i="4"/>
  <c r="E5" i="4" s="1"/>
  <c r="F5" i="4" s="1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AP5" i="4" s="1"/>
  <c r="AQ5" i="4" s="1"/>
  <c r="AR5" i="4" s="1"/>
  <c r="AS5" i="4" s="1"/>
  <c r="AT5" i="4" s="1"/>
  <c r="AU5" i="4" s="1"/>
  <c r="AV5" i="4" s="1"/>
  <c r="AW5" i="4" s="1"/>
  <c r="AX5" i="4" s="1"/>
  <c r="AY5" i="4" s="1"/>
  <c r="AZ5" i="4" s="1"/>
  <c r="BA5" i="4" s="1"/>
  <c r="BB5" i="4" s="1"/>
  <c r="BC5" i="4" s="1"/>
  <c r="BD5" i="4" s="1"/>
  <c r="BE5" i="4" s="1"/>
  <c r="BF5" i="4" s="1"/>
  <c r="BG5" i="4" s="1"/>
  <c r="BH5" i="4" s="1"/>
  <c r="BI5" i="4" s="1"/>
  <c r="BJ5" i="4" s="1"/>
  <c r="BK5" i="4" s="1"/>
  <c r="BL5" i="4" s="1"/>
  <c r="BM5" i="4" s="1"/>
  <c r="BN5" i="4" s="1"/>
  <c r="BO5" i="4" s="1"/>
  <c r="BP5" i="4" s="1"/>
  <c r="BQ5" i="4" s="1"/>
  <c r="BR5" i="4" s="1"/>
  <c r="BS5" i="4" s="1"/>
  <c r="BT5" i="4" s="1"/>
  <c r="C5" i="4"/>
  <c r="D4" i="4"/>
  <c r="E4" i="4" s="1"/>
  <c r="F4" i="4" s="1"/>
  <c r="G4" i="4" s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  <c r="BE4" i="4" s="1"/>
  <c r="BF4" i="4" s="1"/>
  <c r="BG4" i="4" s="1"/>
  <c r="BH4" i="4" s="1"/>
  <c r="BI4" i="4" s="1"/>
  <c r="BJ4" i="4" s="1"/>
  <c r="BK4" i="4" s="1"/>
  <c r="BL4" i="4" s="1"/>
  <c r="BM4" i="4" s="1"/>
  <c r="BN4" i="4" s="1"/>
  <c r="BO4" i="4" s="1"/>
  <c r="BP4" i="4" s="1"/>
  <c r="BQ4" i="4" s="1"/>
  <c r="BR4" i="4" s="1"/>
  <c r="BS4" i="4" s="1"/>
  <c r="BT4" i="4" s="1"/>
  <c r="C4" i="4"/>
  <c r="C3" i="4"/>
  <c r="D3" i="4" s="1"/>
  <c r="E3" i="4" s="1"/>
  <c r="F3" i="4" s="1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AN3" i="4" s="1"/>
  <c r="AO3" i="4" s="1"/>
  <c r="AP3" i="4" s="1"/>
  <c r="AQ3" i="4" s="1"/>
  <c r="AR3" i="4" s="1"/>
  <c r="AS3" i="4" s="1"/>
  <c r="AT3" i="4" s="1"/>
  <c r="AU3" i="4" s="1"/>
  <c r="AV3" i="4" s="1"/>
  <c r="AW3" i="4" s="1"/>
  <c r="AX3" i="4" s="1"/>
  <c r="AY3" i="4" s="1"/>
  <c r="AZ3" i="4" s="1"/>
  <c r="BA3" i="4" s="1"/>
  <c r="BB3" i="4" s="1"/>
  <c r="BC3" i="4" s="1"/>
  <c r="BD3" i="4" s="1"/>
  <c r="BE3" i="4" s="1"/>
  <c r="BF3" i="4" s="1"/>
  <c r="BG3" i="4" s="1"/>
  <c r="BH3" i="4" s="1"/>
  <c r="BI3" i="4" s="1"/>
  <c r="BJ3" i="4" s="1"/>
  <c r="BK3" i="4" s="1"/>
  <c r="BL3" i="4" s="1"/>
  <c r="BM3" i="4" s="1"/>
  <c r="BN3" i="4" s="1"/>
  <c r="BO3" i="4" s="1"/>
  <c r="BP3" i="4" s="1"/>
  <c r="BQ3" i="4" s="1"/>
  <c r="BR3" i="4" s="1"/>
  <c r="BS3" i="4" s="1"/>
  <c r="BT3" i="4" s="1"/>
  <c r="D2" i="4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AM2" i="4" s="1"/>
  <c r="AN2" i="4" s="1"/>
  <c r="AO2" i="4" s="1"/>
  <c r="AP2" i="4" s="1"/>
  <c r="AQ2" i="4" s="1"/>
  <c r="AR2" i="4" s="1"/>
  <c r="AS2" i="4" s="1"/>
  <c r="AT2" i="4" s="1"/>
  <c r="AU2" i="4" s="1"/>
  <c r="AV2" i="4" s="1"/>
  <c r="AW2" i="4" s="1"/>
  <c r="AX2" i="4" s="1"/>
  <c r="AY2" i="4" s="1"/>
  <c r="AZ2" i="4" s="1"/>
  <c r="BA2" i="4" s="1"/>
  <c r="BB2" i="4" s="1"/>
  <c r="BC2" i="4" s="1"/>
  <c r="BD2" i="4" s="1"/>
  <c r="BE2" i="4" s="1"/>
  <c r="BF2" i="4" s="1"/>
  <c r="BG2" i="4" s="1"/>
  <c r="BH2" i="4" s="1"/>
  <c r="BI2" i="4" s="1"/>
  <c r="BJ2" i="4" s="1"/>
  <c r="BK2" i="4" s="1"/>
  <c r="BL2" i="4" s="1"/>
  <c r="BM2" i="4" s="1"/>
  <c r="BN2" i="4" s="1"/>
  <c r="BO2" i="4" s="1"/>
  <c r="BP2" i="4" s="1"/>
  <c r="BQ2" i="4" s="1"/>
  <c r="BR2" i="4" s="1"/>
  <c r="BS2" i="4" s="1"/>
  <c r="BT2" i="4" s="1"/>
  <c r="C2" i="4"/>
  <c r="D1" i="4"/>
  <c r="D1" i="7" s="1"/>
  <c r="C1" i="4"/>
  <c r="C1" i="7" s="1"/>
  <c r="E1" i="4" l="1"/>
  <c r="E1" i="7" l="1"/>
  <c r="F1" i="4"/>
  <c r="F1" i="7" l="1"/>
  <c r="G1" i="4"/>
  <c r="G1" i="7" l="1"/>
  <c r="H1" i="4"/>
  <c r="H1" i="7" l="1"/>
  <c r="I1" i="4"/>
  <c r="I1" i="7" l="1"/>
  <c r="J1" i="4"/>
  <c r="J1" i="7" l="1"/>
  <c r="K1" i="4"/>
  <c r="K1" i="7" l="1"/>
  <c r="L1" i="4"/>
  <c r="L1" i="7" l="1"/>
  <c r="M1" i="4"/>
  <c r="M1" i="7" l="1"/>
  <c r="N1" i="4"/>
  <c r="N1" i="7" l="1"/>
  <c r="O1" i="4"/>
  <c r="O1" i="7" l="1"/>
  <c r="P1" i="4"/>
  <c r="P1" i="7" l="1"/>
  <c r="Q1" i="4"/>
  <c r="Q1" i="7" l="1"/>
  <c r="R1" i="4"/>
  <c r="R1" i="7" l="1"/>
  <c r="S1" i="4"/>
  <c r="S1" i="7" l="1"/>
  <c r="T1" i="4"/>
  <c r="T1" i="7" l="1"/>
  <c r="U1" i="4"/>
  <c r="U1" i="7" l="1"/>
  <c r="V1" i="4"/>
  <c r="V1" i="7" l="1"/>
  <c r="W1" i="4"/>
  <c r="W1" i="7" l="1"/>
  <c r="X1" i="4"/>
  <c r="X1" i="7" l="1"/>
  <c r="Y1" i="4"/>
  <c r="Y1" i="7" l="1"/>
  <c r="Z1" i="4"/>
  <c r="Z1" i="7" l="1"/>
  <c r="AA1" i="4"/>
  <c r="AA1" i="7" l="1"/>
  <c r="AB1" i="4"/>
  <c r="AB1" i="7" l="1"/>
  <c r="AC1" i="4"/>
  <c r="AC1" i="7" l="1"/>
  <c r="AD1" i="4"/>
  <c r="AD1" i="7" l="1"/>
  <c r="AE1" i="4"/>
  <c r="AE1" i="7" l="1"/>
  <c r="AF1" i="4"/>
  <c r="AF1" i="7" l="1"/>
  <c r="AG1" i="4"/>
  <c r="AG1" i="7" l="1"/>
  <c r="AH1" i="4"/>
  <c r="AH1" i="7" l="1"/>
  <c r="AI1" i="4"/>
  <c r="AI1" i="7" l="1"/>
  <c r="AJ1" i="4"/>
  <c r="AJ1" i="7" l="1"/>
  <c r="AK1" i="4"/>
  <c r="AK1" i="7" l="1"/>
  <c r="AL1" i="4"/>
  <c r="AL1" i="7" l="1"/>
  <c r="AM1" i="4"/>
  <c r="AM1" i="7" l="1"/>
  <c r="AN1" i="4"/>
  <c r="AN1" i="7" l="1"/>
  <c r="AO1" i="4"/>
  <c r="AO1" i="7" l="1"/>
  <c r="AP1" i="4"/>
  <c r="AP1" i="7" l="1"/>
  <c r="AQ1" i="4"/>
  <c r="AQ1" i="7" l="1"/>
  <c r="AR1" i="4"/>
  <c r="AR1" i="7" l="1"/>
  <c r="AS1" i="4"/>
  <c r="AS1" i="7" l="1"/>
  <c r="AT1" i="4"/>
  <c r="AT1" i="7" l="1"/>
  <c r="AU1" i="4"/>
  <c r="AU1" i="7" l="1"/>
  <c r="AV1" i="4"/>
  <c r="AV1" i="7" l="1"/>
  <c r="AW1" i="4"/>
  <c r="AW1" i="7" l="1"/>
  <c r="AX1" i="4"/>
  <c r="AX1" i="7" l="1"/>
  <c r="AY1" i="4"/>
  <c r="AY1" i="7" l="1"/>
  <c r="AZ1" i="4"/>
  <c r="BA1" i="4" l="1"/>
  <c r="AZ1" i="7"/>
  <c r="BA1" i="7" l="1"/>
  <c r="BB1" i="4"/>
  <c r="BB1" i="7" l="1"/>
  <c r="BC1" i="4"/>
  <c r="BC1" i="7" l="1"/>
  <c r="BD1" i="4"/>
  <c r="BD1" i="7" l="1"/>
  <c r="BE1" i="4"/>
  <c r="BE1" i="7" l="1"/>
  <c r="BF1" i="4"/>
  <c r="BF1" i="7" l="1"/>
  <c r="BG1" i="4"/>
  <c r="BG1" i="7" l="1"/>
  <c r="BH1" i="4"/>
  <c r="BH1" i="7" l="1"/>
  <c r="BI1" i="4"/>
  <c r="BI1" i="7" l="1"/>
  <c r="BJ1" i="4"/>
  <c r="BJ1" i="7" l="1"/>
  <c r="BK1" i="4"/>
  <c r="BK1" i="7" l="1"/>
  <c r="BL1" i="4"/>
  <c r="BL1" i="7" l="1"/>
  <c r="BM1" i="4"/>
  <c r="BM1" i="7" l="1"/>
  <c r="BN1" i="4"/>
  <c r="BO1" i="4" l="1"/>
  <c r="BN1" i="7"/>
  <c r="BO1" i="7" l="1"/>
  <c r="BP1" i="4"/>
  <c r="BP1" i="7" l="1"/>
  <c r="BQ1" i="4"/>
  <c r="BQ1" i="7" l="1"/>
  <c r="BR1" i="4"/>
  <c r="BR1" i="7" l="1"/>
  <c r="BS1" i="4"/>
  <c r="BS1" i="7" l="1"/>
  <c r="BT1" i="4"/>
  <c r="BT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family val="2"/>
            <scheme val="minor"/>
          </rPr>
          <t>USER:
Projected from https://www.imf.org/en/Publications/WEO/weo-database/2024/October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2020&amp;ey=2027&amp;ssm=0&amp;scsm=1&amp;scc=0&amp;ssd=1&amp;ssc=0&amp;sic=0&amp;sort=country&amp;ds=.&amp;br=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900-000001000000}">
      <text>
        <r>
          <rPr>
            <sz val="11"/>
            <color theme="1"/>
            <rFont val="Aptos Narrow"/>
            <family val="2"/>
            <scheme val="minor"/>
          </rPr>
          <t>USER:
from https://www.thirdway.org/memo/2024-map-of-the-global-market-for-advanced-nuclear-future-demand-is-bigger-than-ever
0 = conflict zone
1 = no nuclear policy
2 = Unlikely ready by 2050
3 = potentially ready by 2050
4 = potentially ready by 2030
5 = ready by 2030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SPADE</author>
  </authors>
  <commentList>
    <comment ref="A1" authorId="0" shapeId="0" xr:uid="{00000000-0006-0000-0A00-000001000000}">
      <text>
        <r>
          <rPr>
            <sz val="11"/>
            <color theme="1"/>
            <rFont val="Aptos Narrow"/>
            <family val="2"/>
            <scheme val="minor"/>
          </rPr>
          <t>SPADE:
Not specifically mentioned reference are from
https://www.radiantenergygroup.com/reports/2024-public-attitudes-toward-clean-energy-nuclear</t>
        </r>
      </text>
    </comment>
    <comment ref="A7" authorId="0" shapeId="0" xr:uid="{00000000-0006-0000-0A00-000002000000}">
      <text>
        <r>
          <rPr>
            <sz val="11"/>
            <color theme="1"/>
            <rFont val="Aptos Narrow"/>
            <family val="2"/>
            <scheme val="minor"/>
          </rPr>
          <t>SPADE:
https://www.sciencedirect.com/science/article/pii/S0301421513011464?utm_source=chatgpt.com</t>
        </r>
      </text>
    </comment>
    <comment ref="A13" authorId="0" shapeId="0" xr:uid="{00000000-0006-0000-0A00-000003000000}">
      <text>
        <r>
          <rPr>
            <sz val="11"/>
            <color theme="1"/>
            <rFont val="Aptos Narrow"/>
            <family val="2"/>
            <scheme val="minor"/>
          </rPr>
          <t>SPADE:
https://www.altinget.dk/artikel/ny-maaling-mere-end-hver-anden-vaelger-er-aaben-for-atomkraft-i-danmark</t>
        </r>
      </text>
    </comment>
    <comment ref="A21" authorId="0" shapeId="0" xr:uid="{00000000-0006-0000-0A00-000004000000}">
      <text>
        <r>
          <rPr>
            <sz val="11"/>
            <color theme="1"/>
            <rFont val="Aptos Narrow"/>
            <family val="2"/>
            <scheme val="minor"/>
          </rPr>
          <t>SPADE:
https://www.google.com/url?sa=i&amp;url=https%3A%2F%2Fwww.statista.com%2Fstatistics%2F218489%2Fopinion-of-the-iran-as-a-nuclear-power%2F%3Fsrsltid%3DAfmBOopsoO6KpStRYnMIvjWmgSOO3GOWJRdW9NWy-E2G5uzqjAIUBXEd&amp;psig=AOvVaw0Grz5PsZPb4yMvgTwnkkgb&amp;ust=1764724998915000&amp;source=images&amp;cd=vfe&amp;opi=89978449&amp;ved=0CBgQjhxqFwoTCJD-4YbfnZEDFQAAAAAdAAAAABAE</t>
        </r>
      </text>
    </comment>
    <comment ref="A22" authorId="0" shapeId="0" xr:uid="{00000000-0006-0000-0A00-000005000000}">
      <text>
        <r>
          <rPr>
            <sz val="11"/>
            <color theme="1"/>
            <rFont val="Aptos Narrow"/>
            <family val="2"/>
            <scheme val="minor"/>
          </rPr>
          <t>SPADE:
https://www.thejournal.ie/poll-7-2901401-Jul2016/</t>
        </r>
      </text>
    </comment>
    <comment ref="A25" authorId="0" shapeId="0" xr:uid="{00000000-0006-0000-0A00-000006000000}">
      <text>
        <r>
          <rPr>
            <sz val="11"/>
            <color theme="1"/>
            <rFont val="Aptos Narrow"/>
            <family val="2"/>
            <scheme val="minor"/>
          </rPr>
          <t>SPADE:
https://pubs.aip.org/aip/acp/article/1799/1/020006/784528/Malaysian-public-perception-towards-nuclear-power</t>
        </r>
      </text>
    </comment>
    <comment ref="A26" authorId="0" shapeId="0" xr:uid="{00000000-0006-0000-0A00-000007000000}">
      <text>
        <r>
          <rPr>
            <sz val="11"/>
            <color theme="1"/>
            <rFont val="Aptos Narrow"/>
            <family val="2"/>
            <scheme val="minor"/>
          </rPr>
          <t>SPADE:
https://inis.iaea.org/records/cz67w-qka57</t>
        </r>
      </text>
    </comment>
    <comment ref="A34" authorId="0" shapeId="0" xr:uid="{00000000-0006-0000-0A00-000008000000}">
      <text>
        <r>
          <rPr>
            <sz val="11"/>
            <color theme="1"/>
            <rFont val="Aptos Narrow"/>
            <family val="2"/>
            <scheme val="minor"/>
          </rPr>
          <t>SPADE:
https://www.sciencedirect.com/science/article/pii/S0301421513011464?utm_source=chatgpt.com</t>
        </r>
      </text>
    </comment>
    <comment ref="A39" authorId="0" shapeId="0" xr:uid="{00000000-0006-0000-0A00-000009000000}">
      <text>
        <r>
          <rPr>
            <sz val="11"/>
            <color theme="1"/>
            <rFont val="Aptos Narrow"/>
            <family val="2"/>
            <scheme val="minor"/>
          </rPr>
          <t>SPADE:
https://www.world-nuclear-news.org/articles/poll-finds-majority-of-swiss-support-nuclear-new-build?utm_source=chatgpt.com</t>
        </r>
      </text>
    </comment>
  </commentList>
</comments>
</file>

<file path=xl/sharedStrings.xml><?xml version="1.0" encoding="utf-8"?>
<sst xmlns="http://schemas.openxmlformats.org/spreadsheetml/2006/main" count="452" uniqueCount="57">
  <si>
    <t>Country</t>
  </si>
  <si>
    <t>Democratic Republic of the Congo</t>
  </si>
  <si>
    <t>Kazakhstan</t>
  </si>
  <si>
    <t>Bolivia</t>
  </si>
  <si>
    <t>Yemen</t>
  </si>
  <si>
    <t>Vietnam</t>
  </si>
  <si>
    <t>Argentina</t>
  </si>
  <si>
    <t>Australia</t>
  </si>
  <si>
    <t>Belgium</t>
  </si>
  <si>
    <t>Brazil</t>
  </si>
  <si>
    <t>Canada</t>
  </si>
  <si>
    <t>China</t>
  </si>
  <si>
    <t>Denmark</t>
  </si>
  <si>
    <t>Egypt</t>
  </si>
  <si>
    <t>Finland</t>
  </si>
  <si>
    <t>France</t>
  </si>
  <si>
    <t>Germany</t>
  </si>
  <si>
    <t>Iceland</t>
  </si>
  <si>
    <t>India</t>
  </si>
  <si>
    <t>Indonesia</t>
  </si>
  <si>
    <t>Iran</t>
  </si>
  <si>
    <t>Ireland</t>
  </si>
  <si>
    <t>Italy</t>
  </si>
  <si>
    <t>Japan</t>
  </si>
  <si>
    <t>Malaysia</t>
  </si>
  <si>
    <t>Mexico</t>
  </si>
  <si>
    <t>Netherlands</t>
  </si>
  <si>
    <t>New Zealand</t>
  </si>
  <si>
    <t>Norway</t>
  </si>
  <si>
    <t>Pakistan</t>
  </si>
  <si>
    <t>Poland</t>
  </si>
  <si>
    <t>Portugal</t>
  </si>
  <si>
    <t>Russia</t>
  </si>
  <si>
    <t>Saudi Arabia</t>
  </si>
  <si>
    <t>South Africa</t>
  </si>
  <si>
    <t>South Korea</t>
  </si>
  <si>
    <t>Spain</t>
  </si>
  <si>
    <t>Sweden</t>
  </si>
  <si>
    <t>Switzerland</t>
  </si>
  <si>
    <t>United Kingdom</t>
  </si>
  <si>
    <t>United States</t>
  </si>
  <si>
    <t>Temperature</t>
  </si>
  <si>
    <t>Relative humidity</t>
  </si>
  <si>
    <t>Sub-saharan africa</t>
  </si>
  <si>
    <t>Other eurasia</t>
  </si>
  <si>
    <t>Other latin america</t>
  </si>
  <si>
    <t>Middle east</t>
  </si>
  <si>
    <t>Other Asia pacific</t>
  </si>
  <si>
    <t>storage capacity</t>
  </si>
  <si>
    <t>Year</t>
  </si>
  <si>
    <t>capex</t>
  </si>
  <si>
    <t>CCS readiness index</t>
  </si>
  <si>
    <t>nuclear readiness index</t>
  </si>
  <si>
    <t>Support rate (%)</t>
  </si>
  <si>
    <t>Oppose rate (%)</t>
  </si>
  <si>
    <t>water reserve</t>
  </si>
  <si>
    <t>land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</si>
</sst>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4" fontId="0" fillId="0" borderId="0" xfId="0" applyNumberFormat="1"/>
    <xf numFmtId="164" fontId="0" fillId="0" borderId="0" xfId="0" applyNumberFormat="1"/>
    <xf numFmtId="0" fontId="0" fillId="2" borderId="0" xfId="0" applyFill="1"/>
    <xf numFmtId="2" fontId="0" fillId="2" borderId="0" xfId="0" applyNumberFormat="1" applyFill="1"/>
    <xf numFmtId="165" fontId="0" fillId="0" borderId="0" xfId="1" applyNumberFormat="1" applyFont="1"/>
    <xf numFmtId="2" fontId="0" fillId="0" borderId="0" xfId="0" applyNumberFormat="1"/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workbookViewId="0">
      <selection activeCell="A21" sqref="A21"/>
    </sheetView>
  </sheetViews>
  <sheetFormatPr defaultRowHeight="15" x14ac:dyDescent="0.25"/>
  <cols>
    <col min="1" max="1" width="33.2851562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workbookViewId="0">
      <selection activeCell="H11" sqref="H11"/>
    </sheetView>
  </sheetViews>
  <sheetFormatPr defaultRowHeight="15" x14ac:dyDescent="0.25"/>
  <sheetData>
    <row r="1" spans="1:18" x14ac:dyDescent="0.25">
      <c r="B1">
        <v>0</v>
      </c>
      <c r="C1">
        <v>2.5</v>
      </c>
      <c r="D1">
        <v>5</v>
      </c>
      <c r="E1">
        <v>7.5</v>
      </c>
      <c r="F1">
        <v>10</v>
      </c>
      <c r="G1">
        <v>12.5</v>
      </c>
      <c r="H1">
        <v>15</v>
      </c>
      <c r="I1">
        <v>17.5</v>
      </c>
      <c r="J1">
        <v>20</v>
      </c>
      <c r="K1">
        <v>22.5</v>
      </c>
      <c r="L1">
        <v>25</v>
      </c>
      <c r="M1">
        <v>27.5</v>
      </c>
      <c r="N1">
        <v>30</v>
      </c>
      <c r="O1">
        <v>32.5</v>
      </c>
      <c r="P1">
        <v>35</v>
      </c>
      <c r="Q1">
        <v>37.5</v>
      </c>
      <c r="R1">
        <v>40</v>
      </c>
    </row>
    <row r="2" spans="1:18" x14ac:dyDescent="0.25">
      <c r="A2">
        <v>0</v>
      </c>
      <c r="B2">
        <v>28.168823794554751</v>
      </c>
      <c r="C2">
        <v>27.922835115817541</v>
      </c>
      <c r="D2">
        <v>27.830286426777619</v>
      </c>
      <c r="E2">
        <v>27.737737737737699</v>
      </c>
      <c r="F2">
        <v>27.905624923168752</v>
      </c>
      <c r="G2">
        <v>28.073512108599811</v>
      </c>
      <c r="H2">
        <v>26.843510176843481</v>
      </c>
      <c r="I2">
        <v>25.613508245087161</v>
      </c>
      <c r="J2">
        <v>24.927032295453319</v>
      </c>
      <c r="K2">
        <v>24.24055634581946</v>
      </c>
      <c r="L2">
        <v>23.33421140438681</v>
      </c>
      <c r="M2">
        <v>22.42786646295415</v>
      </c>
      <c r="N2">
        <v>22.159176720580199</v>
      </c>
      <c r="O2">
        <v>21.890486978206251</v>
      </c>
      <c r="P2">
        <v>21.52380450626061</v>
      </c>
      <c r="Q2">
        <v>21.157122034314959</v>
      </c>
      <c r="R2">
        <v>20.25583478215054</v>
      </c>
    </row>
    <row r="3" spans="1:18" x14ac:dyDescent="0.25">
      <c r="A3">
        <v>5</v>
      </c>
      <c r="B3">
        <v>33.717050383717009</v>
      </c>
      <c r="C3">
        <v>32.2222222222222</v>
      </c>
      <c r="D3">
        <v>31.441441441441398</v>
      </c>
      <c r="E3">
        <v>30.6606606606606</v>
      </c>
      <c r="F3">
        <v>29.479479479479451</v>
      </c>
      <c r="G3">
        <v>28.298298298298299</v>
      </c>
      <c r="H3">
        <v>26.4164164164164</v>
      </c>
      <c r="I3">
        <v>24.534534534534501</v>
      </c>
      <c r="J3">
        <v>25.095095095095051</v>
      </c>
      <c r="K3">
        <v>25.6556556556556</v>
      </c>
      <c r="L3">
        <v>24.634634634634601</v>
      </c>
      <c r="M3">
        <v>23.613613613613602</v>
      </c>
      <c r="N3">
        <v>23.773773773773751</v>
      </c>
      <c r="O3">
        <v>23.933933933933901</v>
      </c>
      <c r="P3">
        <v>23.5335335335335</v>
      </c>
      <c r="Q3">
        <v>23.1331331331331</v>
      </c>
      <c r="R3">
        <v>21.170599170599139</v>
      </c>
    </row>
    <row r="4" spans="1:18" x14ac:dyDescent="0.25">
      <c r="A4">
        <v>10</v>
      </c>
      <c r="B4">
        <v>32.746079412746063</v>
      </c>
      <c r="C4">
        <v>32.062062062062047</v>
      </c>
      <c r="D4">
        <v>30.930930930930899</v>
      </c>
      <c r="E4">
        <v>29.79979979979975</v>
      </c>
      <c r="F4">
        <v>29.31931931931928</v>
      </c>
      <c r="G4">
        <v>28.8388388388388</v>
      </c>
      <c r="H4">
        <v>27.357357357357319</v>
      </c>
      <c r="I4">
        <v>25.875875875875849</v>
      </c>
      <c r="J4">
        <v>25.955955955955929</v>
      </c>
      <c r="K4">
        <v>26.036036036035998</v>
      </c>
      <c r="L4">
        <v>24.984984984984951</v>
      </c>
      <c r="M4">
        <v>23.933933933933901</v>
      </c>
      <c r="N4">
        <v>23.653653653653631</v>
      </c>
      <c r="O4">
        <v>23.373373373373351</v>
      </c>
      <c r="P4">
        <v>22.90290290290287</v>
      </c>
      <c r="Q4">
        <v>22.4324324324324</v>
      </c>
      <c r="R4">
        <v>21.07803041136372</v>
      </c>
    </row>
    <row r="5" spans="1:18" x14ac:dyDescent="0.25">
      <c r="A5">
        <v>15</v>
      </c>
      <c r="B5">
        <v>31.77510844177511</v>
      </c>
      <c r="C5">
        <v>31.901901901901901</v>
      </c>
      <c r="D5">
        <v>30.420420420420399</v>
      </c>
      <c r="E5">
        <v>28.9389389389389</v>
      </c>
      <c r="F5">
        <v>29.159159159159099</v>
      </c>
      <c r="G5">
        <v>29.379379379379301</v>
      </c>
      <c r="H5">
        <v>28.298298298298249</v>
      </c>
      <c r="I5">
        <v>27.2172172172172</v>
      </c>
      <c r="J5">
        <v>26.8168168168168</v>
      </c>
      <c r="K5">
        <v>26.4164164164164</v>
      </c>
      <c r="L5">
        <v>25.335335335335301</v>
      </c>
      <c r="M5">
        <v>24.254254254254199</v>
      </c>
      <c r="N5">
        <v>23.5335335335335</v>
      </c>
      <c r="O5">
        <v>22.812812812812801</v>
      </c>
      <c r="P5">
        <v>22.27227227227225</v>
      </c>
      <c r="Q5">
        <v>21.731731731731699</v>
      </c>
      <c r="R5">
        <v>20.98546165212829</v>
      </c>
    </row>
    <row r="6" spans="1:18" x14ac:dyDescent="0.25">
      <c r="A6">
        <v>20</v>
      </c>
      <c r="B6">
        <v>32.077410744077369</v>
      </c>
      <c r="C6">
        <v>31.981981981981949</v>
      </c>
      <c r="D6">
        <v>30.770770770770721</v>
      </c>
      <c r="E6">
        <v>29.559559559559499</v>
      </c>
      <c r="F6">
        <v>29.589589589589519</v>
      </c>
      <c r="G6">
        <v>29.619619619619549</v>
      </c>
      <c r="H6">
        <v>28.528528528528479</v>
      </c>
      <c r="I6">
        <v>27.437437437437399</v>
      </c>
      <c r="J6">
        <v>26.306306306306279</v>
      </c>
      <c r="K6">
        <v>25.175175175175148</v>
      </c>
      <c r="L6">
        <v>24.434434434434401</v>
      </c>
      <c r="M6">
        <v>23.69369369369365</v>
      </c>
      <c r="N6">
        <v>23.293293293293249</v>
      </c>
      <c r="O6">
        <v>22.892892892892849</v>
      </c>
      <c r="P6">
        <v>22.272272272272229</v>
      </c>
      <c r="Q6">
        <v>21.651651651651601</v>
      </c>
      <c r="R6">
        <v>20.47905047905045</v>
      </c>
    </row>
    <row r="7" spans="1:18" x14ac:dyDescent="0.25">
      <c r="A7">
        <v>25</v>
      </c>
      <c r="B7">
        <v>32.379713046379628</v>
      </c>
      <c r="C7">
        <v>32.062062062061997</v>
      </c>
      <c r="D7">
        <v>31.12112112112105</v>
      </c>
      <c r="E7">
        <v>30.180180180180098</v>
      </c>
      <c r="F7">
        <v>30.020020020019949</v>
      </c>
      <c r="G7">
        <v>29.8598598598598</v>
      </c>
      <c r="H7">
        <v>28.758758758758699</v>
      </c>
      <c r="I7">
        <v>27.657657657657602</v>
      </c>
      <c r="J7">
        <v>25.795795795795751</v>
      </c>
      <c r="K7">
        <v>23.933933933933901</v>
      </c>
      <c r="L7">
        <v>23.5335335335335</v>
      </c>
      <c r="M7">
        <v>23.1331331331331</v>
      </c>
      <c r="N7">
        <v>23.053053053052999</v>
      </c>
      <c r="O7">
        <v>22.972972972972901</v>
      </c>
      <c r="P7">
        <v>22.2722722722722</v>
      </c>
      <c r="Q7">
        <v>21.5715715715715</v>
      </c>
      <c r="R7">
        <v>19.972639305972589</v>
      </c>
    </row>
    <row r="8" spans="1:18" x14ac:dyDescent="0.25">
      <c r="A8">
        <v>30</v>
      </c>
      <c r="B8">
        <v>32.934934934934901</v>
      </c>
      <c r="C8">
        <v>32.282282282282253</v>
      </c>
      <c r="D8">
        <v>31.461461461461429</v>
      </c>
      <c r="E8">
        <v>30.640640640640601</v>
      </c>
      <c r="F8">
        <v>30.060060060060021</v>
      </c>
      <c r="G8">
        <v>29.479479479479451</v>
      </c>
      <c r="H8">
        <v>28.5385385385385</v>
      </c>
      <c r="I8">
        <v>27.597597597597549</v>
      </c>
      <c r="J8">
        <v>26.386386386386349</v>
      </c>
      <c r="K8">
        <v>25.175175175175148</v>
      </c>
      <c r="L8">
        <v>24.354354354354321</v>
      </c>
      <c r="M8">
        <v>23.5335335335335</v>
      </c>
      <c r="N8">
        <v>23.143143143143099</v>
      </c>
      <c r="O8">
        <v>22.752752752752698</v>
      </c>
      <c r="P8">
        <v>22.24224224224217</v>
      </c>
      <c r="Q8">
        <v>21.731731731731649</v>
      </c>
      <c r="R8">
        <v>20.199437532770808</v>
      </c>
    </row>
    <row r="9" spans="1:18" x14ac:dyDescent="0.25">
      <c r="A9">
        <v>35</v>
      </c>
      <c r="B9">
        <v>33.490156823490167</v>
      </c>
      <c r="C9">
        <v>32.502502502502502</v>
      </c>
      <c r="D9">
        <v>31.801801801801801</v>
      </c>
      <c r="E9">
        <v>31.101101101101101</v>
      </c>
      <c r="F9">
        <v>30.1001001001001</v>
      </c>
      <c r="G9">
        <v>29.099099099099099</v>
      </c>
      <c r="H9">
        <v>28.318318318318301</v>
      </c>
      <c r="I9">
        <v>27.537537537537499</v>
      </c>
      <c r="J9">
        <v>26.97697697697695</v>
      </c>
      <c r="K9">
        <v>26.4164164164164</v>
      </c>
      <c r="L9">
        <v>25.175175175175148</v>
      </c>
      <c r="M9">
        <v>23.933933933933901</v>
      </c>
      <c r="N9">
        <v>23.2332332332332</v>
      </c>
      <c r="O9">
        <v>22.5325325325325</v>
      </c>
      <c r="P9">
        <v>22.212212212212151</v>
      </c>
      <c r="Q9">
        <v>21.891891891891799</v>
      </c>
      <c r="R9">
        <v>20.426235759569028</v>
      </c>
    </row>
    <row r="10" spans="1:18" x14ac:dyDescent="0.25">
      <c r="A10">
        <v>40</v>
      </c>
      <c r="B10">
        <v>34.380380380380323</v>
      </c>
      <c r="C10">
        <v>33.4434434434434</v>
      </c>
      <c r="D10">
        <v>32.512512512512473</v>
      </c>
      <c r="E10">
        <v>31.581581581581549</v>
      </c>
      <c r="F10">
        <v>30.570570570570549</v>
      </c>
      <c r="G10">
        <v>29.559559559559549</v>
      </c>
      <c r="H10">
        <v>28.818818818818801</v>
      </c>
      <c r="I10">
        <v>28.07807807807805</v>
      </c>
      <c r="J10">
        <v>26.936936936936899</v>
      </c>
      <c r="K10">
        <v>25.795795795795751</v>
      </c>
      <c r="L10">
        <v>24.82482482482477</v>
      </c>
      <c r="M10">
        <v>23.853853853853799</v>
      </c>
      <c r="N10">
        <v>23.3433433433433</v>
      </c>
      <c r="O10">
        <v>22.8328328328328</v>
      </c>
      <c r="P10">
        <v>22.442442442442399</v>
      </c>
      <c r="Q10">
        <v>22.052052052052002</v>
      </c>
      <c r="R10">
        <v>20.246913580246861</v>
      </c>
    </row>
    <row r="11" spans="1:18" x14ac:dyDescent="0.25">
      <c r="A11">
        <v>45</v>
      </c>
      <c r="B11">
        <v>35.270603937270501</v>
      </c>
      <c r="C11">
        <v>34.384384384384298</v>
      </c>
      <c r="D11">
        <v>33.223223223223137</v>
      </c>
      <c r="E11">
        <v>32.062062062061997</v>
      </c>
      <c r="F11">
        <v>31.041041041041002</v>
      </c>
      <c r="G11">
        <v>30.020020020019999</v>
      </c>
      <c r="H11">
        <v>29.319319319319298</v>
      </c>
      <c r="I11">
        <v>28.618618618618601</v>
      </c>
      <c r="J11">
        <v>26.896896896896848</v>
      </c>
      <c r="K11">
        <v>25.175175175175099</v>
      </c>
      <c r="L11">
        <v>24.474474474474398</v>
      </c>
      <c r="M11">
        <v>23.773773773773701</v>
      </c>
      <c r="N11">
        <v>23.453453453453399</v>
      </c>
      <c r="O11">
        <v>23.1331331331331</v>
      </c>
      <c r="P11">
        <v>22.67267267267265</v>
      </c>
      <c r="Q11">
        <v>22.212212212212201</v>
      </c>
      <c r="R11">
        <v>20.067591400924709</v>
      </c>
    </row>
    <row r="12" spans="1:18" x14ac:dyDescent="0.25">
      <c r="A12">
        <v>50</v>
      </c>
      <c r="B12">
        <v>34.554554554554457</v>
      </c>
      <c r="C12">
        <v>33.683683683683597</v>
      </c>
      <c r="D12">
        <v>32.832832832832771</v>
      </c>
      <c r="E12">
        <v>31.981981981981949</v>
      </c>
      <c r="F12">
        <v>31.081081081081049</v>
      </c>
      <c r="G12">
        <v>30.180180180180152</v>
      </c>
      <c r="H12">
        <v>29.399399399399378</v>
      </c>
      <c r="I12">
        <v>28.618618618618601</v>
      </c>
      <c r="J12">
        <v>27.247247247247198</v>
      </c>
      <c r="K12">
        <v>25.875875875875799</v>
      </c>
      <c r="L12">
        <v>25.135135135135069</v>
      </c>
      <c r="M12">
        <v>24.39439439439435</v>
      </c>
      <c r="N12">
        <v>23.5335335335335</v>
      </c>
      <c r="O12">
        <v>22.67267267267265</v>
      </c>
      <c r="P12">
        <v>22.442442442442431</v>
      </c>
      <c r="Q12">
        <v>22.212212212212201</v>
      </c>
      <c r="R12">
        <v>20.333476333476309</v>
      </c>
    </row>
    <row r="13" spans="1:18" x14ac:dyDescent="0.25">
      <c r="A13">
        <v>55</v>
      </c>
      <c r="B13">
        <v>33.838505171838442</v>
      </c>
      <c r="C13">
        <v>32.982982982982897</v>
      </c>
      <c r="D13">
        <v>32.442442442442399</v>
      </c>
      <c r="E13">
        <v>31.901901901901901</v>
      </c>
      <c r="F13">
        <v>31.121121121121099</v>
      </c>
      <c r="G13">
        <v>30.340340340340301</v>
      </c>
      <c r="H13">
        <v>29.479479479479451</v>
      </c>
      <c r="I13">
        <v>28.618618618618601</v>
      </c>
      <c r="J13">
        <v>27.597597597597549</v>
      </c>
      <c r="K13">
        <v>26.5765765765765</v>
      </c>
      <c r="L13">
        <v>25.795795795795751</v>
      </c>
      <c r="M13">
        <v>25.015015015014999</v>
      </c>
      <c r="N13">
        <v>23.613613613613602</v>
      </c>
      <c r="O13">
        <v>22.212212212212201</v>
      </c>
      <c r="P13">
        <v>22.212212212212201</v>
      </c>
      <c r="Q13">
        <v>22.212212212212201</v>
      </c>
      <c r="R13">
        <v>20.59936126602793</v>
      </c>
    </row>
    <row r="14" spans="1:18" x14ac:dyDescent="0.25">
      <c r="A14">
        <v>60</v>
      </c>
      <c r="B14">
        <v>36.147480814147443</v>
      </c>
      <c r="C14">
        <v>35.245245245245201</v>
      </c>
      <c r="D14">
        <v>33.8438438438438</v>
      </c>
      <c r="E14">
        <v>32.442442442442399</v>
      </c>
      <c r="F14">
        <v>31.151151151151101</v>
      </c>
      <c r="G14">
        <v>29.8598598598598</v>
      </c>
      <c r="H14">
        <v>29.669669669669631</v>
      </c>
      <c r="I14">
        <v>29.479479479479451</v>
      </c>
      <c r="J14">
        <v>28.108108108108048</v>
      </c>
      <c r="K14">
        <v>26.736736736736649</v>
      </c>
      <c r="L14">
        <v>25.60560560560555</v>
      </c>
      <c r="M14">
        <v>24.474474474474452</v>
      </c>
      <c r="N14">
        <v>23.573573573573551</v>
      </c>
      <c r="O14">
        <v>22.67267267267265</v>
      </c>
      <c r="P14">
        <v>22.56256256256253</v>
      </c>
      <c r="Q14">
        <v>22.452452452452398</v>
      </c>
      <c r="R14">
        <v>20.33214166547496</v>
      </c>
    </row>
    <row r="15" spans="1:18" x14ac:dyDescent="0.25">
      <c r="A15">
        <v>65</v>
      </c>
      <c r="B15">
        <v>38.456456456456444</v>
      </c>
      <c r="C15">
        <v>37.507507507507498</v>
      </c>
      <c r="D15">
        <v>35.245245245245201</v>
      </c>
      <c r="E15">
        <v>32.982982982982897</v>
      </c>
      <c r="F15">
        <v>31.181181181181099</v>
      </c>
      <c r="G15">
        <v>29.379379379379301</v>
      </c>
      <c r="H15">
        <v>29.8598598598598</v>
      </c>
      <c r="I15">
        <v>30.340340340340301</v>
      </c>
      <c r="J15">
        <v>28.618618618618552</v>
      </c>
      <c r="K15">
        <v>26.896896896896799</v>
      </c>
      <c r="L15">
        <v>25.41541541541535</v>
      </c>
      <c r="M15">
        <v>23.933933933933901</v>
      </c>
      <c r="N15">
        <v>23.5335335335335</v>
      </c>
      <c r="O15">
        <v>23.1331331331331</v>
      </c>
      <c r="P15">
        <v>22.912912912912851</v>
      </c>
      <c r="Q15">
        <v>22.692692692692599</v>
      </c>
      <c r="R15">
        <v>20.064922064922001</v>
      </c>
    </row>
    <row r="16" spans="1:18" x14ac:dyDescent="0.25">
      <c r="A16">
        <v>70</v>
      </c>
      <c r="B16">
        <v>40.609943276609911</v>
      </c>
      <c r="C16">
        <v>40.170170170170152</v>
      </c>
      <c r="D16">
        <v>36.496496496496448</v>
      </c>
      <c r="E16">
        <v>32.822822822822737</v>
      </c>
      <c r="F16">
        <v>31.5715715715715</v>
      </c>
      <c r="G16">
        <v>30.320320320320249</v>
      </c>
      <c r="H16">
        <v>30.05005005005</v>
      </c>
      <c r="I16">
        <v>29.779779779779751</v>
      </c>
      <c r="J16">
        <v>28.728728728728679</v>
      </c>
      <c r="K16">
        <v>27.6776776776776</v>
      </c>
      <c r="L16">
        <v>26.076076076076021</v>
      </c>
      <c r="M16">
        <v>24.474474474474452</v>
      </c>
      <c r="N16">
        <v>24.154154154154121</v>
      </c>
      <c r="O16">
        <v>23.8338338338338</v>
      </c>
      <c r="P16">
        <v>23.333333333333279</v>
      </c>
      <c r="Q16">
        <v>22.83283283283275</v>
      </c>
      <c r="R16">
        <v>20.177415510748801</v>
      </c>
    </row>
    <row r="17" spans="1:18" x14ac:dyDescent="0.25">
      <c r="A17">
        <v>75</v>
      </c>
      <c r="B17">
        <v>42.763430096763379</v>
      </c>
      <c r="C17">
        <v>42.8328328328328</v>
      </c>
      <c r="D17">
        <v>37.747747747747702</v>
      </c>
      <c r="E17">
        <v>32.662662662662598</v>
      </c>
      <c r="F17">
        <v>31.961961961961901</v>
      </c>
      <c r="G17">
        <v>31.2612612612612</v>
      </c>
      <c r="H17">
        <v>30.240240240240201</v>
      </c>
      <c r="I17">
        <v>29.219219219219202</v>
      </c>
      <c r="J17">
        <v>28.8388388388388</v>
      </c>
      <c r="K17">
        <v>28.458458458458399</v>
      </c>
      <c r="L17">
        <v>26.736736736736699</v>
      </c>
      <c r="M17">
        <v>25.015015015014999</v>
      </c>
      <c r="N17">
        <v>24.774774774774752</v>
      </c>
      <c r="O17">
        <v>24.534534534534501</v>
      </c>
      <c r="P17">
        <v>23.753753753753699</v>
      </c>
      <c r="Q17">
        <v>22.972972972972901</v>
      </c>
      <c r="R17">
        <v>20.289908956575591</v>
      </c>
    </row>
    <row r="18" spans="1:18" x14ac:dyDescent="0.25">
      <c r="A18">
        <v>80</v>
      </c>
      <c r="B18">
        <v>43.113113113113087</v>
      </c>
      <c r="C18">
        <v>41.731731731731699</v>
      </c>
      <c r="D18">
        <v>38.68868868868865</v>
      </c>
      <c r="E18">
        <v>35.645645645645601</v>
      </c>
      <c r="F18">
        <v>33.653653653653599</v>
      </c>
      <c r="G18">
        <v>31.661661661661601</v>
      </c>
      <c r="H18">
        <v>30.870870870870821</v>
      </c>
      <c r="I18">
        <v>30.080080080080052</v>
      </c>
      <c r="J18">
        <v>29.389389389389351</v>
      </c>
      <c r="K18">
        <v>28.698698698698649</v>
      </c>
      <c r="L18">
        <v>27.40740740740738</v>
      </c>
      <c r="M18">
        <v>26.1161161161161</v>
      </c>
      <c r="N18">
        <v>25.915915915915871</v>
      </c>
      <c r="O18">
        <v>25.71571571571565</v>
      </c>
      <c r="P18">
        <v>24.58458458458453</v>
      </c>
      <c r="Q18">
        <v>23.453453453453399</v>
      </c>
      <c r="R18">
        <v>21.151818485151772</v>
      </c>
    </row>
    <row r="19" spans="1:18" x14ac:dyDescent="0.25">
      <c r="A19">
        <v>85</v>
      </c>
      <c r="B19">
        <v>43.462796129462767</v>
      </c>
      <c r="C19">
        <v>40.630630630630598</v>
      </c>
      <c r="D19">
        <v>39.629629629629598</v>
      </c>
      <c r="E19">
        <v>38.628628628628597</v>
      </c>
      <c r="F19">
        <v>35.345345345345287</v>
      </c>
      <c r="G19">
        <v>32.062062062061997</v>
      </c>
      <c r="H19">
        <v>31.501501501501451</v>
      </c>
      <c r="I19">
        <v>30.940940940940902</v>
      </c>
      <c r="J19">
        <v>29.939939939939901</v>
      </c>
      <c r="K19">
        <v>28.9389389389389</v>
      </c>
      <c r="L19">
        <v>28.07807807807805</v>
      </c>
      <c r="M19">
        <v>27.2172172172172</v>
      </c>
      <c r="N19">
        <v>27.057057057057001</v>
      </c>
      <c r="O19">
        <v>26.896896896896799</v>
      </c>
      <c r="P19">
        <v>25.41541541541535</v>
      </c>
      <c r="Q19">
        <v>23.933933933933901</v>
      </c>
      <c r="R19">
        <v>22.013728013727949</v>
      </c>
    </row>
    <row r="20" spans="1:18" x14ac:dyDescent="0.25">
      <c r="A20">
        <v>90</v>
      </c>
      <c r="B20">
        <v>47.534200867534139</v>
      </c>
      <c r="C20">
        <v>45.2552552552552</v>
      </c>
      <c r="D20">
        <v>42.132132132132071</v>
      </c>
      <c r="E20">
        <v>39.009009009008949</v>
      </c>
      <c r="F20">
        <v>36.036036036035973</v>
      </c>
      <c r="G20">
        <v>33.063063063062998</v>
      </c>
      <c r="H20">
        <v>32.082082082082017</v>
      </c>
      <c r="I20">
        <v>31.101101101101051</v>
      </c>
      <c r="J20">
        <v>30.370370370370321</v>
      </c>
      <c r="K20">
        <v>29.639639639639601</v>
      </c>
      <c r="L20">
        <v>28.96896896896892</v>
      </c>
      <c r="M20">
        <v>28.298298298298249</v>
      </c>
      <c r="N20">
        <v>27.517517517517451</v>
      </c>
      <c r="O20">
        <v>26.736736736736649</v>
      </c>
      <c r="P20">
        <v>25.955955955955901</v>
      </c>
      <c r="Q20">
        <v>25.175175175175148</v>
      </c>
      <c r="R20">
        <v>21.94556461223123</v>
      </c>
    </row>
    <row r="21" spans="1:18" x14ac:dyDescent="0.25">
      <c r="A21">
        <v>95</v>
      </c>
      <c r="B21">
        <v>51.605605605605497</v>
      </c>
      <c r="C21">
        <v>49.879879879879802</v>
      </c>
      <c r="D21">
        <v>44.634634634634551</v>
      </c>
      <c r="E21">
        <v>39.389389389389301</v>
      </c>
      <c r="F21">
        <v>36.726726726726653</v>
      </c>
      <c r="G21">
        <v>34.064064064063999</v>
      </c>
      <c r="H21">
        <v>32.662662662662598</v>
      </c>
      <c r="I21">
        <v>31.2612612612612</v>
      </c>
      <c r="J21">
        <v>30.800800800800751</v>
      </c>
      <c r="K21">
        <v>30.340340340340301</v>
      </c>
      <c r="L21">
        <v>29.8598598598598</v>
      </c>
      <c r="M21">
        <v>29.379379379379301</v>
      </c>
      <c r="N21">
        <v>27.977977977977901</v>
      </c>
      <c r="O21">
        <v>26.5765765765765</v>
      </c>
      <c r="P21">
        <v>26.496496496496452</v>
      </c>
      <c r="Q21">
        <v>26.4164164164164</v>
      </c>
      <c r="R21">
        <v>21.877401210734501</v>
      </c>
    </row>
    <row r="22" spans="1:18" x14ac:dyDescent="0.25">
      <c r="A22">
        <v>100</v>
      </c>
      <c r="B22">
        <v>46.658284015009087</v>
      </c>
      <c r="C22">
        <v>44.999560964473183</v>
      </c>
      <c r="D22">
        <v>41.367332244525159</v>
      </c>
      <c r="E22">
        <v>37.735103524577148</v>
      </c>
      <c r="F22">
        <v>35.164813936743698</v>
      </c>
      <c r="G22">
        <v>32.594524348910262</v>
      </c>
      <c r="H22">
        <v>32.121770893700663</v>
      </c>
      <c r="I22">
        <v>31.649017438491079</v>
      </c>
      <c r="J22">
        <v>30.526315789473639</v>
      </c>
      <c r="K22">
        <v>29.40361414045617</v>
      </c>
      <c r="L22">
        <v>28.33219184096372</v>
      </c>
      <c r="M22">
        <v>27.260769541471259</v>
      </c>
      <c r="N22">
        <v>26.48631087227573</v>
      </c>
      <c r="O22">
        <v>25.711852203080209</v>
      </c>
      <c r="P22">
        <v>25.054352598212191</v>
      </c>
      <c r="Q22">
        <v>24.396852993344169</v>
      </c>
      <c r="R22">
        <v>21.155922840133311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6"/>
  <sheetViews>
    <sheetView topLeftCell="A22" workbookViewId="0">
      <selection activeCell="A2" sqref="A2:A41"/>
    </sheetView>
  </sheetViews>
  <sheetFormatPr defaultColWidth="23.140625" defaultRowHeight="15" x14ac:dyDescent="0.25"/>
  <sheetData>
    <row r="1" spans="1:3" x14ac:dyDescent="0.25">
      <c r="A1" t="s">
        <v>0</v>
      </c>
      <c r="B1" t="s">
        <v>41</v>
      </c>
      <c r="C1" t="s">
        <v>42</v>
      </c>
    </row>
    <row r="2" spans="1:3" x14ac:dyDescent="0.25">
      <c r="A2" s="1" t="s">
        <v>43</v>
      </c>
      <c r="B2">
        <v>25.978000000000002</v>
      </c>
      <c r="C2">
        <v>78.215000000000003</v>
      </c>
    </row>
    <row r="3" spans="1:3" x14ac:dyDescent="0.25">
      <c r="A3" s="1" t="s">
        <v>44</v>
      </c>
      <c r="B3">
        <v>14.048999999999999</v>
      </c>
      <c r="C3">
        <v>59.94</v>
      </c>
    </row>
    <row r="4" spans="1:3" x14ac:dyDescent="0.25">
      <c r="A4" s="1" t="s">
        <v>45</v>
      </c>
      <c r="B4">
        <v>14.377000000000001</v>
      </c>
      <c r="C4">
        <v>78.215000000000003</v>
      </c>
    </row>
    <row r="5" spans="1:3" x14ac:dyDescent="0.25">
      <c r="A5" s="1" t="s">
        <v>46</v>
      </c>
      <c r="B5">
        <v>24.207000000000001</v>
      </c>
      <c r="C5">
        <v>48.591999999999999</v>
      </c>
    </row>
    <row r="6" spans="1:3" x14ac:dyDescent="0.25">
      <c r="A6" s="1" t="s">
        <v>47</v>
      </c>
      <c r="B6">
        <v>26.579000000000001</v>
      </c>
      <c r="C6">
        <v>86.658000000000001</v>
      </c>
    </row>
    <row r="7" spans="1:3" x14ac:dyDescent="0.25">
      <c r="A7" s="1" t="s">
        <v>6</v>
      </c>
      <c r="B7">
        <v>17.62</v>
      </c>
      <c r="C7">
        <v>73.042000000000002</v>
      </c>
    </row>
    <row r="8" spans="1:3" x14ac:dyDescent="0.25">
      <c r="A8" s="1" t="s">
        <v>7</v>
      </c>
      <c r="B8">
        <v>13.755000000000001</v>
      </c>
      <c r="C8">
        <v>73.692999999999998</v>
      </c>
    </row>
    <row r="9" spans="1:3" x14ac:dyDescent="0.25">
      <c r="A9" s="1" t="s">
        <v>8</v>
      </c>
      <c r="B9">
        <v>11.824</v>
      </c>
      <c r="C9">
        <v>81.076999999999998</v>
      </c>
    </row>
    <row r="10" spans="1:3" x14ac:dyDescent="0.25">
      <c r="A10" s="1" t="s">
        <v>9</v>
      </c>
      <c r="B10">
        <v>22.067</v>
      </c>
      <c r="C10">
        <v>65.314999999999998</v>
      </c>
    </row>
    <row r="11" spans="1:3" x14ac:dyDescent="0.25">
      <c r="A11" s="1" t="s">
        <v>10</v>
      </c>
      <c r="B11">
        <v>8.6140000000000008</v>
      </c>
      <c r="C11">
        <v>74.891000000000005</v>
      </c>
    </row>
    <row r="12" spans="1:3" x14ac:dyDescent="0.25">
      <c r="A12" s="1" t="s">
        <v>11</v>
      </c>
      <c r="B12">
        <v>13.375</v>
      </c>
      <c r="C12">
        <v>55.444000000000003</v>
      </c>
    </row>
    <row r="13" spans="1:3" x14ac:dyDescent="0.25">
      <c r="A13" s="1" t="s">
        <v>12</v>
      </c>
      <c r="B13">
        <v>10.050000000000001</v>
      </c>
      <c r="C13">
        <v>81.597999999999999</v>
      </c>
    </row>
    <row r="14" spans="1:3" x14ac:dyDescent="0.25">
      <c r="A14" s="1" t="s">
        <v>13</v>
      </c>
      <c r="B14">
        <v>24.207000000000001</v>
      </c>
      <c r="C14">
        <v>48.591999999999999</v>
      </c>
    </row>
    <row r="15" spans="1:3" x14ac:dyDescent="0.25">
      <c r="A15" s="1" t="s">
        <v>14</v>
      </c>
      <c r="B15">
        <v>7.0309999999999997</v>
      </c>
      <c r="C15">
        <v>84.706999999999994</v>
      </c>
    </row>
    <row r="16" spans="1:3" x14ac:dyDescent="0.25">
      <c r="A16" s="1" t="s">
        <v>15</v>
      </c>
      <c r="B16">
        <v>12.446999999999999</v>
      </c>
      <c r="C16">
        <v>80.349000000000004</v>
      </c>
    </row>
    <row r="17" spans="1:3" x14ac:dyDescent="0.25">
      <c r="A17" s="1" t="s">
        <v>16</v>
      </c>
      <c r="B17">
        <v>11.872999999999999</v>
      </c>
      <c r="C17">
        <v>75.099999999999994</v>
      </c>
    </row>
    <row r="18" spans="1:3" x14ac:dyDescent="0.25">
      <c r="A18" s="1" t="s">
        <v>17</v>
      </c>
      <c r="B18">
        <v>3.9990000000000001</v>
      </c>
      <c r="C18">
        <v>79.843000000000004</v>
      </c>
    </row>
    <row r="19" spans="1:3" x14ac:dyDescent="0.25">
      <c r="A19" s="1" t="s">
        <v>18</v>
      </c>
      <c r="B19">
        <v>24.922000000000001</v>
      </c>
      <c r="C19">
        <v>60.936</v>
      </c>
    </row>
    <row r="20" spans="1:3" x14ac:dyDescent="0.25">
      <c r="A20" s="1" t="s">
        <v>19</v>
      </c>
      <c r="B20">
        <v>27.358000000000001</v>
      </c>
      <c r="C20">
        <v>80.641999999999996</v>
      </c>
    </row>
    <row r="21" spans="1:3" x14ac:dyDescent="0.25">
      <c r="A21" s="1" t="s">
        <v>20</v>
      </c>
      <c r="B21">
        <v>17.991</v>
      </c>
      <c r="C21">
        <v>36.76</v>
      </c>
    </row>
    <row r="22" spans="1:3" x14ac:dyDescent="0.25">
      <c r="A22" s="1" t="s">
        <v>21</v>
      </c>
      <c r="B22">
        <v>10.917</v>
      </c>
      <c r="C22">
        <v>81.772999999999996</v>
      </c>
    </row>
    <row r="23" spans="1:3" x14ac:dyDescent="0.25">
      <c r="A23" s="1" t="s">
        <v>22</v>
      </c>
      <c r="B23">
        <v>17.247</v>
      </c>
      <c r="C23">
        <v>73.325999999999993</v>
      </c>
    </row>
    <row r="24" spans="1:3" x14ac:dyDescent="0.25">
      <c r="A24" s="1" t="s">
        <v>23</v>
      </c>
      <c r="B24">
        <v>16.62</v>
      </c>
      <c r="C24">
        <v>73.844999999999999</v>
      </c>
    </row>
    <row r="25" spans="1:3" x14ac:dyDescent="0.25">
      <c r="A25" s="1" t="s">
        <v>24</v>
      </c>
      <c r="B25">
        <v>26.885000000000002</v>
      </c>
      <c r="C25">
        <v>83.260999999999996</v>
      </c>
    </row>
    <row r="26" spans="1:3" x14ac:dyDescent="0.25">
      <c r="A26" s="1" t="s">
        <v>25</v>
      </c>
      <c r="B26">
        <v>17.399000000000001</v>
      </c>
      <c r="C26">
        <v>55.05</v>
      </c>
    </row>
    <row r="27" spans="1:3" x14ac:dyDescent="0.25">
      <c r="A27" s="1" t="s">
        <v>26</v>
      </c>
      <c r="B27">
        <v>11.433</v>
      </c>
      <c r="C27">
        <v>82.555999999999997</v>
      </c>
    </row>
    <row r="28" spans="1:3" x14ac:dyDescent="0.25">
      <c r="A28" s="1" t="s">
        <v>27</v>
      </c>
      <c r="B28">
        <v>13.709</v>
      </c>
      <c r="C28">
        <v>78.281999999999996</v>
      </c>
    </row>
    <row r="29" spans="1:3" x14ac:dyDescent="0.25">
      <c r="A29" s="1" t="s">
        <v>28</v>
      </c>
      <c r="B29">
        <v>7.0570000000000004</v>
      </c>
      <c r="C29">
        <v>80.891000000000005</v>
      </c>
    </row>
    <row r="30" spans="1:3" x14ac:dyDescent="0.25">
      <c r="A30" s="1" t="s">
        <v>29</v>
      </c>
      <c r="B30">
        <v>21.853000000000002</v>
      </c>
      <c r="C30">
        <v>58.561999999999998</v>
      </c>
    </row>
    <row r="31" spans="1:3" x14ac:dyDescent="0.25">
      <c r="A31" s="1" t="s">
        <v>30</v>
      </c>
      <c r="B31">
        <v>11.303000000000001</v>
      </c>
      <c r="C31">
        <v>74.891000000000005</v>
      </c>
    </row>
    <row r="32" spans="1:3" x14ac:dyDescent="0.25">
      <c r="A32" s="1" t="s">
        <v>31</v>
      </c>
      <c r="B32">
        <v>17.52</v>
      </c>
      <c r="C32">
        <v>74.91</v>
      </c>
    </row>
    <row r="33" spans="1:3" x14ac:dyDescent="0.25">
      <c r="A33" s="1" t="s">
        <v>32</v>
      </c>
      <c r="B33">
        <v>6.79</v>
      </c>
      <c r="C33">
        <v>75.421000000000006</v>
      </c>
    </row>
    <row r="34" spans="1:3" x14ac:dyDescent="0.25">
      <c r="A34" s="1" t="s">
        <v>33</v>
      </c>
      <c r="B34">
        <v>27.632999999999999</v>
      </c>
      <c r="C34">
        <v>26.367000000000001</v>
      </c>
    </row>
    <row r="35" spans="1:3" x14ac:dyDescent="0.25">
      <c r="A35" s="1" t="s">
        <v>34</v>
      </c>
      <c r="B35">
        <v>19.710999999999999</v>
      </c>
      <c r="C35">
        <v>47.597999999999999</v>
      </c>
    </row>
    <row r="36" spans="1:3" x14ac:dyDescent="0.25">
      <c r="A36" s="1" t="s">
        <v>35</v>
      </c>
      <c r="B36">
        <v>13.148999999999999</v>
      </c>
      <c r="C36">
        <v>72.808999999999997</v>
      </c>
    </row>
    <row r="37" spans="1:3" x14ac:dyDescent="0.25">
      <c r="A37" s="1" t="s">
        <v>36</v>
      </c>
      <c r="B37">
        <v>15.643000000000001</v>
      </c>
      <c r="C37">
        <v>60.923999999999999</v>
      </c>
    </row>
    <row r="38" spans="1:3" x14ac:dyDescent="0.25">
      <c r="A38" s="1" t="s">
        <v>37</v>
      </c>
      <c r="B38">
        <v>8.0030000000000001</v>
      </c>
      <c r="C38">
        <v>80.516999999999996</v>
      </c>
    </row>
    <row r="39" spans="1:3" x14ac:dyDescent="0.25">
      <c r="A39" s="1" t="s">
        <v>38</v>
      </c>
      <c r="B39">
        <v>10.331</v>
      </c>
      <c r="C39">
        <v>79.775000000000006</v>
      </c>
    </row>
    <row r="40" spans="1:3" x14ac:dyDescent="0.25">
      <c r="A40" s="1" t="s">
        <v>39</v>
      </c>
      <c r="B40">
        <v>11.816000000000001</v>
      </c>
      <c r="C40">
        <v>79.584999999999994</v>
      </c>
    </row>
    <row r="41" spans="1:3" x14ac:dyDescent="0.25">
      <c r="A41" s="1" t="s">
        <v>40</v>
      </c>
      <c r="B41">
        <v>14.715</v>
      </c>
      <c r="C41">
        <v>70.638000000000005</v>
      </c>
    </row>
    <row r="42" spans="1:3" x14ac:dyDescent="0.25">
      <c r="A42" s="1"/>
    </row>
    <row r="43" spans="1:3" x14ac:dyDescent="0.25">
      <c r="A43" s="1"/>
    </row>
    <row r="44" spans="1:3" x14ac:dyDescent="0.25">
      <c r="A44" s="1"/>
    </row>
    <row r="45" spans="1:3" x14ac:dyDescent="0.25">
      <c r="A45" s="1"/>
    </row>
    <row r="46" spans="1:3" x14ac:dyDescent="0.25">
      <c r="A46" s="1"/>
    </row>
    <row r="47" spans="1:3" x14ac:dyDescent="0.25">
      <c r="A47" s="1"/>
    </row>
    <row r="48" spans="1:3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T193"/>
  <sheetViews>
    <sheetView workbookViewId="0">
      <selection activeCell="E9" sqref="E9"/>
    </sheetView>
  </sheetViews>
  <sheetFormatPr defaultRowHeight="15" x14ac:dyDescent="0.25"/>
  <cols>
    <col min="1" max="1" width="22.28515625" customWidth="1"/>
  </cols>
  <sheetData>
    <row r="1" spans="1:72" x14ac:dyDescent="0.25">
      <c r="A1" t="s">
        <v>0</v>
      </c>
      <c r="B1">
        <v>2030</v>
      </c>
      <c r="C1">
        <f t="shared" ref="C1:AH1" si="0">B1+1</f>
        <v>2031</v>
      </c>
      <c r="D1">
        <f t="shared" si="0"/>
        <v>2032</v>
      </c>
      <c r="E1">
        <f t="shared" si="0"/>
        <v>2033</v>
      </c>
      <c r="F1">
        <f t="shared" si="0"/>
        <v>2034</v>
      </c>
      <c r="G1">
        <f t="shared" si="0"/>
        <v>2035</v>
      </c>
      <c r="H1">
        <f t="shared" si="0"/>
        <v>2036</v>
      </c>
      <c r="I1">
        <f t="shared" si="0"/>
        <v>2037</v>
      </c>
      <c r="J1">
        <f t="shared" si="0"/>
        <v>2038</v>
      </c>
      <c r="K1">
        <f t="shared" si="0"/>
        <v>2039</v>
      </c>
      <c r="L1">
        <f t="shared" si="0"/>
        <v>2040</v>
      </c>
      <c r="M1">
        <f t="shared" si="0"/>
        <v>2041</v>
      </c>
      <c r="N1">
        <f t="shared" si="0"/>
        <v>2042</v>
      </c>
      <c r="O1">
        <f t="shared" si="0"/>
        <v>2043</v>
      </c>
      <c r="P1">
        <f t="shared" si="0"/>
        <v>2044</v>
      </c>
      <c r="Q1">
        <f t="shared" si="0"/>
        <v>2045</v>
      </c>
      <c r="R1">
        <f t="shared" si="0"/>
        <v>2046</v>
      </c>
      <c r="S1">
        <f t="shared" si="0"/>
        <v>2047</v>
      </c>
      <c r="T1">
        <f t="shared" si="0"/>
        <v>2048</v>
      </c>
      <c r="U1">
        <f t="shared" si="0"/>
        <v>2049</v>
      </c>
      <c r="V1">
        <f t="shared" si="0"/>
        <v>2050</v>
      </c>
      <c r="W1">
        <f t="shared" si="0"/>
        <v>2051</v>
      </c>
      <c r="X1">
        <f t="shared" si="0"/>
        <v>2052</v>
      </c>
      <c r="Y1">
        <f t="shared" si="0"/>
        <v>2053</v>
      </c>
      <c r="Z1">
        <f t="shared" si="0"/>
        <v>2054</v>
      </c>
      <c r="AA1">
        <f t="shared" si="0"/>
        <v>2055</v>
      </c>
      <c r="AB1">
        <f t="shared" si="0"/>
        <v>2056</v>
      </c>
      <c r="AC1">
        <f t="shared" si="0"/>
        <v>2057</v>
      </c>
      <c r="AD1">
        <f t="shared" si="0"/>
        <v>2058</v>
      </c>
      <c r="AE1">
        <f t="shared" si="0"/>
        <v>2059</v>
      </c>
      <c r="AF1">
        <f t="shared" si="0"/>
        <v>2060</v>
      </c>
      <c r="AG1">
        <f t="shared" si="0"/>
        <v>2061</v>
      </c>
      <c r="AH1">
        <f t="shared" si="0"/>
        <v>2062</v>
      </c>
      <c r="AI1">
        <f t="shared" ref="AI1:BN1" si="1">AH1+1</f>
        <v>2063</v>
      </c>
      <c r="AJ1">
        <f t="shared" si="1"/>
        <v>2064</v>
      </c>
      <c r="AK1">
        <f t="shared" si="1"/>
        <v>2065</v>
      </c>
      <c r="AL1">
        <f t="shared" si="1"/>
        <v>2066</v>
      </c>
      <c r="AM1">
        <f t="shared" si="1"/>
        <v>2067</v>
      </c>
      <c r="AN1">
        <f t="shared" si="1"/>
        <v>2068</v>
      </c>
      <c r="AO1">
        <f t="shared" si="1"/>
        <v>2069</v>
      </c>
      <c r="AP1">
        <f t="shared" si="1"/>
        <v>2070</v>
      </c>
      <c r="AQ1">
        <f t="shared" si="1"/>
        <v>2071</v>
      </c>
      <c r="AR1">
        <f t="shared" si="1"/>
        <v>2072</v>
      </c>
      <c r="AS1">
        <f t="shared" si="1"/>
        <v>2073</v>
      </c>
      <c r="AT1">
        <f t="shared" si="1"/>
        <v>2074</v>
      </c>
      <c r="AU1">
        <f t="shared" si="1"/>
        <v>2075</v>
      </c>
      <c r="AV1">
        <f t="shared" si="1"/>
        <v>2076</v>
      </c>
      <c r="AW1">
        <f t="shared" si="1"/>
        <v>2077</v>
      </c>
      <c r="AX1">
        <f t="shared" si="1"/>
        <v>2078</v>
      </c>
      <c r="AY1">
        <f t="shared" si="1"/>
        <v>2079</v>
      </c>
      <c r="AZ1">
        <f t="shared" si="1"/>
        <v>2080</v>
      </c>
      <c r="BA1">
        <f t="shared" si="1"/>
        <v>2081</v>
      </c>
      <c r="BB1">
        <f t="shared" si="1"/>
        <v>2082</v>
      </c>
      <c r="BC1">
        <f t="shared" si="1"/>
        <v>2083</v>
      </c>
      <c r="BD1">
        <f t="shared" si="1"/>
        <v>2084</v>
      </c>
      <c r="BE1">
        <f t="shared" si="1"/>
        <v>2085</v>
      </c>
      <c r="BF1">
        <f t="shared" si="1"/>
        <v>2086</v>
      </c>
      <c r="BG1">
        <f t="shared" si="1"/>
        <v>2087</v>
      </c>
      <c r="BH1">
        <f t="shared" si="1"/>
        <v>2088</v>
      </c>
      <c r="BI1">
        <f t="shared" si="1"/>
        <v>2089</v>
      </c>
      <c r="BJ1">
        <f t="shared" si="1"/>
        <v>2090</v>
      </c>
      <c r="BK1">
        <f t="shared" si="1"/>
        <v>2091</v>
      </c>
      <c r="BL1">
        <f t="shared" si="1"/>
        <v>2092</v>
      </c>
      <c r="BM1">
        <f t="shared" si="1"/>
        <v>2093</v>
      </c>
      <c r="BN1">
        <f t="shared" si="1"/>
        <v>2094</v>
      </c>
      <c r="BO1">
        <f t="shared" ref="BO1:BT1" si="2">BN1+1</f>
        <v>2095</v>
      </c>
      <c r="BP1">
        <f t="shared" si="2"/>
        <v>2096</v>
      </c>
      <c r="BQ1">
        <f t="shared" si="2"/>
        <v>2097</v>
      </c>
      <c r="BR1">
        <f t="shared" si="2"/>
        <v>2098</v>
      </c>
      <c r="BS1">
        <f t="shared" si="2"/>
        <v>2099</v>
      </c>
      <c r="BT1">
        <f t="shared" si="2"/>
        <v>2100</v>
      </c>
    </row>
    <row r="2" spans="1:72" x14ac:dyDescent="0.25">
      <c r="A2" s="1" t="s">
        <v>43</v>
      </c>
      <c r="B2">
        <v>0</v>
      </c>
      <c r="C2">
        <f t="shared" ref="C2:AH2" si="3">B2</f>
        <v>0</v>
      </c>
      <c r="D2">
        <f t="shared" si="3"/>
        <v>0</v>
      </c>
      <c r="E2">
        <f t="shared" si="3"/>
        <v>0</v>
      </c>
      <c r="F2">
        <f t="shared" si="3"/>
        <v>0</v>
      </c>
      <c r="G2">
        <f t="shared" si="3"/>
        <v>0</v>
      </c>
      <c r="H2">
        <f t="shared" si="3"/>
        <v>0</v>
      </c>
      <c r="I2">
        <f t="shared" si="3"/>
        <v>0</v>
      </c>
      <c r="J2">
        <f t="shared" si="3"/>
        <v>0</v>
      </c>
      <c r="K2">
        <f t="shared" si="3"/>
        <v>0</v>
      </c>
      <c r="L2">
        <f t="shared" si="3"/>
        <v>0</v>
      </c>
      <c r="M2">
        <f t="shared" si="3"/>
        <v>0</v>
      </c>
      <c r="N2">
        <f t="shared" si="3"/>
        <v>0</v>
      </c>
      <c r="O2">
        <f t="shared" si="3"/>
        <v>0</v>
      </c>
      <c r="P2">
        <f t="shared" si="3"/>
        <v>0</v>
      </c>
      <c r="Q2">
        <f t="shared" si="3"/>
        <v>0</v>
      </c>
      <c r="R2">
        <f t="shared" si="3"/>
        <v>0</v>
      </c>
      <c r="S2">
        <f t="shared" si="3"/>
        <v>0</v>
      </c>
      <c r="T2">
        <f t="shared" si="3"/>
        <v>0</v>
      </c>
      <c r="U2">
        <f t="shared" si="3"/>
        <v>0</v>
      </c>
      <c r="V2">
        <f t="shared" si="3"/>
        <v>0</v>
      </c>
      <c r="W2">
        <f t="shared" si="3"/>
        <v>0</v>
      </c>
      <c r="X2">
        <f t="shared" si="3"/>
        <v>0</v>
      </c>
      <c r="Y2">
        <f t="shared" si="3"/>
        <v>0</v>
      </c>
      <c r="Z2">
        <f t="shared" si="3"/>
        <v>0</v>
      </c>
      <c r="AA2">
        <f t="shared" si="3"/>
        <v>0</v>
      </c>
      <c r="AB2">
        <f t="shared" si="3"/>
        <v>0</v>
      </c>
      <c r="AC2">
        <f t="shared" si="3"/>
        <v>0</v>
      </c>
      <c r="AD2">
        <f t="shared" si="3"/>
        <v>0</v>
      </c>
      <c r="AE2">
        <f t="shared" si="3"/>
        <v>0</v>
      </c>
      <c r="AF2">
        <f t="shared" si="3"/>
        <v>0</v>
      </c>
      <c r="AG2">
        <f t="shared" si="3"/>
        <v>0</v>
      </c>
      <c r="AH2">
        <f t="shared" si="3"/>
        <v>0</v>
      </c>
      <c r="AI2">
        <f t="shared" ref="AI2:BN2" si="4">AH2</f>
        <v>0</v>
      </c>
      <c r="AJ2">
        <f t="shared" si="4"/>
        <v>0</v>
      </c>
      <c r="AK2">
        <f t="shared" si="4"/>
        <v>0</v>
      </c>
      <c r="AL2">
        <f t="shared" si="4"/>
        <v>0</v>
      </c>
      <c r="AM2">
        <f t="shared" si="4"/>
        <v>0</v>
      </c>
      <c r="AN2">
        <f t="shared" si="4"/>
        <v>0</v>
      </c>
      <c r="AO2">
        <f t="shared" si="4"/>
        <v>0</v>
      </c>
      <c r="AP2">
        <f t="shared" si="4"/>
        <v>0</v>
      </c>
      <c r="AQ2">
        <f t="shared" si="4"/>
        <v>0</v>
      </c>
      <c r="AR2">
        <f t="shared" si="4"/>
        <v>0</v>
      </c>
      <c r="AS2">
        <f t="shared" si="4"/>
        <v>0</v>
      </c>
      <c r="AT2">
        <f t="shared" si="4"/>
        <v>0</v>
      </c>
      <c r="AU2">
        <f t="shared" si="4"/>
        <v>0</v>
      </c>
      <c r="AV2">
        <f t="shared" si="4"/>
        <v>0</v>
      </c>
      <c r="AW2">
        <f t="shared" si="4"/>
        <v>0</v>
      </c>
      <c r="AX2">
        <f t="shared" si="4"/>
        <v>0</v>
      </c>
      <c r="AY2">
        <f t="shared" si="4"/>
        <v>0</v>
      </c>
      <c r="AZ2">
        <f t="shared" si="4"/>
        <v>0</v>
      </c>
      <c r="BA2">
        <f t="shared" si="4"/>
        <v>0</v>
      </c>
      <c r="BB2">
        <f t="shared" si="4"/>
        <v>0</v>
      </c>
      <c r="BC2">
        <f t="shared" si="4"/>
        <v>0</v>
      </c>
      <c r="BD2">
        <f t="shared" si="4"/>
        <v>0</v>
      </c>
      <c r="BE2">
        <f t="shared" si="4"/>
        <v>0</v>
      </c>
      <c r="BF2">
        <f t="shared" si="4"/>
        <v>0</v>
      </c>
      <c r="BG2">
        <f t="shared" si="4"/>
        <v>0</v>
      </c>
      <c r="BH2">
        <f t="shared" si="4"/>
        <v>0</v>
      </c>
      <c r="BI2">
        <f t="shared" si="4"/>
        <v>0</v>
      </c>
      <c r="BJ2">
        <f t="shared" si="4"/>
        <v>0</v>
      </c>
      <c r="BK2">
        <f t="shared" si="4"/>
        <v>0</v>
      </c>
      <c r="BL2">
        <f t="shared" si="4"/>
        <v>0</v>
      </c>
      <c r="BM2">
        <f t="shared" si="4"/>
        <v>0</v>
      </c>
      <c r="BN2">
        <f t="shared" si="4"/>
        <v>0</v>
      </c>
      <c r="BO2">
        <f t="shared" ref="BO2:BT2" si="5">BN2</f>
        <v>0</v>
      </c>
      <c r="BP2">
        <f t="shared" si="5"/>
        <v>0</v>
      </c>
      <c r="BQ2">
        <f t="shared" si="5"/>
        <v>0</v>
      </c>
      <c r="BR2">
        <f t="shared" si="5"/>
        <v>0</v>
      </c>
      <c r="BS2">
        <f t="shared" si="5"/>
        <v>0</v>
      </c>
      <c r="BT2">
        <f t="shared" si="5"/>
        <v>0</v>
      </c>
    </row>
    <row r="3" spans="1:72" x14ac:dyDescent="0.25">
      <c r="A3" s="1" t="s">
        <v>44</v>
      </c>
      <c r="B3">
        <v>5.6530555555555564</v>
      </c>
      <c r="C3">
        <f t="shared" ref="C3:AH3" si="6">B3</f>
        <v>5.6530555555555564</v>
      </c>
      <c r="D3">
        <f t="shared" si="6"/>
        <v>5.6530555555555564</v>
      </c>
      <c r="E3">
        <f t="shared" si="6"/>
        <v>5.6530555555555564</v>
      </c>
      <c r="F3">
        <f t="shared" si="6"/>
        <v>5.6530555555555564</v>
      </c>
      <c r="G3">
        <f t="shared" si="6"/>
        <v>5.6530555555555564</v>
      </c>
      <c r="H3">
        <f t="shared" si="6"/>
        <v>5.6530555555555564</v>
      </c>
      <c r="I3">
        <f t="shared" si="6"/>
        <v>5.6530555555555564</v>
      </c>
      <c r="J3">
        <f t="shared" si="6"/>
        <v>5.6530555555555564</v>
      </c>
      <c r="K3">
        <f t="shared" si="6"/>
        <v>5.6530555555555564</v>
      </c>
      <c r="L3">
        <f t="shared" si="6"/>
        <v>5.6530555555555564</v>
      </c>
      <c r="M3">
        <f t="shared" si="6"/>
        <v>5.6530555555555564</v>
      </c>
      <c r="N3">
        <f t="shared" si="6"/>
        <v>5.6530555555555564</v>
      </c>
      <c r="O3">
        <f t="shared" si="6"/>
        <v>5.6530555555555564</v>
      </c>
      <c r="P3">
        <f t="shared" si="6"/>
        <v>5.6530555555555564</v>
      </c>
      <c r="Q3">
        <f t="shared" si="6"/>
        <v>5.6530555555555564</v>
      </c>
      <c r="R3">
        <f t="shared" si="6"/>
        <v>5.6530555555555564</v>
      </c>
      <c r="S3">
        <f t="shared" si="6"/>
        <v>5.6530555555555564</v>
      </c>
      <c r="T3">
        <f t="shared" si="6"/>
        <v>5.6530555555555564</v>
      </c>
      <c r="U3">
        <f t="shared" si="6"/>
        <v>5.6530555555555564</v>
      </c>
      <c r="V3">
        <f t="shared" si="6"/>
        <v>5.6530555555555564</v>
      </c>
      <c r="W3">
        <f t="shared" si="6"/>
        <v>5.6530555555555564</v>
      </c>
      <c r="X3">
        <f t="shared" si="6"/>
        <v>5.6530555555555564</v>
      </c>
      <c r="Y3">
        <f t="shared" si="6"/>
        <v>5.6530555555555564</v>
      </c>
      <c r="Z3">
        <f t="shared" si="6"/>
        <v>5.6530555555555564</v>
      </c>
      <c r="AA3">
        <f t="shared" si="6"/>
        <v>5.6530555555555564</v>
      </c>
      <c r="AB3">
        <f t="shared" si="6"/>
        <v>5.6530555555555564</v>
      </c>
      <c r="AC3">
        <f t="shared" si="6"/>
        <v>5.6530555555555564</v>
      </c>
      <c r="AD3">
        <f t="shared" si="6"/>
        <v>5.6530555555555564</v>
      </c>
      <c r="AE3">
        <f t="shared" si="6"/>
        <v>5.6530555555555564</v>
      </c>
      <c r="AF3">
        <f t="shared" si="6"/>
        <v>5.6530555555555564</v>
      </c>
      <c r="AG3">
        <f t="shared" si="6"/>
        <v>5.6530555555555564</v>
      </c>
      <c r="AH3">
        <f t="shared" si="6"/>
        <v>5.6530555555555564</v>
      </c>
      <c r="AI3">
        <f t="shared" ref="AI3:BN3" si="7">AH3</f>
        <v>5.6530555555555564</v>
      </c>
      <c r="AJ3">
        <f t="shared" si="7"/>
        <v>5.6530555555555564</v>
      </c>
      <c r="AK3">
        <f t="shared" si="7"/>
        <v>5.6530555555555564</v>
      </c>
      <c r="AL3">
        <f t="shared" si="7"/>
        <v>5.6530555555555564</v>
      </c>
      <c r="AM3">
        <f t="shared" si="7"/>
        <v>5.6530555555555564</v>
      </c>
      <c r="AN3">
        <f t="shared" si="7"/>
        <v>5.6530555555555564</v>
      </c>
      <c r="AO3">
        <f t="shared" si="7"/>
        <v>5.6530555555555564</v>
      </c>
      <c r="AP3">
        <f t="shared" si="7"/>
        <v>5.6530555555555564</v>
      </c>
      <c r="AQ3">
        <f t="shared" si="7"/>
        <v>5.6530555555555564</v>
      </c>
      <c r="AR3">
        <f t="shared" si="7"/>
        <v>5.6530555555555564</v>
      </c>
      <c r="AS3">
        <f t="shared" si="7"/>
        <v>5.6530555555555564</v>
      </c>
      <c r="AT3">
        <f t="shared" si="7"/>
        <v>5.6530555555555564</v>
      </c>
      <c r="AU3">
        <f t="shared" si="7"/>
        <v>5.6530555555555564</v>
      </c>
      <c r="AV3">
        <f t="shared" si="7"/>
        <v>5.6530555555555564</v>
      </c>
      <c r="AW3">
        <f t="shared" si="7"/>
        <v>5.6530555555555564</v>
      </c>
      <c r="AX3">
        <f t="shared" si="7"/>
        <v>5.6530555555555564</v>
      </c>
      <c r="AY3">
        <f t="shared" si="7"/>
        <v>5.6530555555555564</v>
      </c>
      <c r="AZ3">
        <f t="shared" si="7"/>
        <v>5.6530555555555564</v>
      </c>
      <c r="BA3">
        <f t="shared" si="7"/>
        <v>5.6530555555555564</v>
      </c>
      <c r="BB3">
        <f t="shared" si="7"/>
        <v>5.6530555555555564</v>
      </c>
      <c r="BC3">
        <f t="shared" si="7"/>
        <v>5.6530555555555564</v>
      </c>
      <c r="BD3">
        <f t="shared" si="7"/>
        <v>5.6530555555555564</v>
      </c>
      <c r="BE3">
        <f t="shared" si="7"/>
        <v>5.6530555555555564</v>
      </c>
      <c r="BF3">
        <f t="shared" si="7"/>
        <v>5.6530555555555564</v>
      </c>
      <c r="BG3">
        <f t="shared" si="7"/>
        <v>5.6530555555555564</v>
      </c>
      <c r="BH3">
        <f t="shared" si="7"/>
        <v>5.6530555555555564</v>
      </c>
      <c r="BI3">
        <f t="shared" si="7"/>
        <v>5.6530555555555564</v>
      </c>
      <c r="BJ3">
        <f t="shared" si="7"/>
        <v>5.6530555555555564</v>
      </c>
      <c r="BK3">
        <f t="shared" si="7"/>
        <v>5.6530555555555564</v>
      </c>
      <c r="BL3">
        <f t="shared" si="7"/>
        <v>5.6530555555555564</v>
      </c>
      <c r="BM3">
        <f t="shared" si="7"/>
        <v>5.6530555555555564</v>
      </c>
      <c r="BN3">
        <f t="shared" si="7"/>
        <v>5.6530555555555564</v>
      </c>
      <c r="BO3">
        <f t="shared" ref="BO3:BT3" si="8">BN3</f>
        <v>5.6530555555555564</v>
      </c>
      <c r="BP3">
        <f t="shared" si="8"/>
        <v>5.6530555555555564</v>
      </c>
      <c r="BQ3">
        <f t="shared" si="8"/>
        <v>5.6530555555555564</v>
      </c>
      <c r="BR3">
        <f t="shared" si="8"/>
        <v>5.6530555555555564</v>
      </c>
      <c r="BS3">
        <f t="shared" si="8"/>
        <v>5.6530555555555564</v>
      </c>
      <c r="BT3">
        <f t="shared" si="8"/>
        <v>5.6530555555555564</v>
      </c>
    </row>
    <row r="4" spans="1:72" x14ac:dyDescent="0.25">
      <c r="A4" s="1" t="s">
        <v>45</v>
      </c>
      <c r="B4">
        <v>6.3871428571428561</v>
      </c>
      <c r="C4">
        <f t="shared" ref="C4:AH4" si="9">B4</f>
        <v>6.3871428571428561</v>
      </c>
      <c r="D4">
        <f t="shared" si="9"/>
        <v>6.3871428571428561</v>
      </c>
      <c r="E4">
        <f t="shared" si="9"/>
        <v>6.3871428571428561</v>
      </c>
      <c r="F4">
        <f t="shared" si="9"/>
        <v>6.3871428571428561</v>
      </c>
      <c r="G4">
        <f t="shared" si="9"/>
        <v>6.3871428571428561</v>
      </c>
      <c r="H4">
        <f t="shared" si="9"/>
        <v>6.3871428571428561</v>
      </c>
      <c r="I4">
        <f t="shared" si="9"/>
        <v>6.3871428571428561</v>
      </c>
      <c r="J4">
        <f t="shared" si="9"/>
        <v>6.3871428571428561</v>
      </c>
      <c r="K4">
        <f t="shared" si="9"/>
        <v>6.3871428571428561</v>
      </c>
      <c r="L4">
        <f t="shared" si="9"/>
        <v>6.3871428571428561</v>
      </c>
      <c r="M4">
        <f t="shared" si="9"/>
        <v>6.3871428571428561</v>
      </c>
      <c r="N4">
        <f t="shared" si="9"/>
        <v>6.3871428571428561</v>
      </c>
      <c r="O4">
        <f t="shared" si="9"/>
        <v>6.3871428571428561</v>
      </c>
      <c r="P4">
        <f t="shared" si="9"/>
        <v>6.3871428571428561</v>
      </c>
      <c r="Q4">
        <f t="shared" si="9"/>
        <v>6.3871428571428561</v>
      </c>
      <c r="R4">
        <f t="shared" si="9"/>
        <v>6.3871428571428561</v>
      </c>
      <c r="S4">
        <f t="shared" si="9"/>
        <v>6.3871428571428561</v>
      </c>
      <c r="T4">
        <f t="shared" si="9"/>
        <v>6.3871428571428561</v>
      </c>
      <c r="U4">
        <f t="shared" si="9"/>
        <v>6.3871428571428561</v>
      </c>
      <c r="V4">
        <f t="shared" si="9"/>
        <v>6.3871428571428561</v>
      </c>
      <c r="W4">
        <f t="shared" si="9"/>
        <v>6.3871428571428561</v>
      </c>
      <c r="X4">
        <f t="shared" si="9"/>
        <v>6.3871428571428561</v>
      </c>
      <c r="Y4">
        <f t="shared" si="9"/>
        <v>6.3871428571428561</v>
      </c>
      <c r="Z4">
        <f t="shared" si="9"/>
        <v>6.3871428571428561</v>
      </c>
      <c r="AA4">
        <f t="shared" si="9"/>
        <v>6.3871428571428561</v>
      </c>
      <c r="AB4">
        <f t="shared" si="9"/>
        <v>6.3871428571428561</v>
      </c>
      <c r="AC4">
        <f t="shared" si="9"/>
        <v>6.3871428571428561</v>
      </c>
      <c r="AD4">
        <f t="shared" si="9"/>
        <v>6.3871428571428561</v>
      </c>
      <c r="AE4">
        <f t="shared" si="9"/>
        <v>6.3871428571428561</v>
      </c>
      <c r="AF4">
        <f t="shared" si="9"/>
        <v>6.3871428571428561</v>
      </c>
      <c r="AG4">
        <f t="shared" si="9"/>
        <v>6.3871428571428561</v>
      </c>
      <c r="AH4">
        <f t="shared" si="9"/>
        <v>6.3871428571428561</v>
      </c>
      <c r="AI4">
        <f t="shared" ref="AI4:BN4" si="10">AH4</f>
        <v>6.3871428571428561</v>
      </c>
      <c r="AJ4">
        <f t="shared" si="10"/>
        <v>6.3871428571428561</v>
      </c>
      <c r="AK4">
        <f t="shared" si="10"/>
        <v>6.3871428571428561</v>
      </c>
      <c r="AL4">
        <f t="shared" si="10"/>
        <v>6.3871428571428561</v>
      </c>
      <c r="AM4">
        <f t="shared" si="10"/>
        <v>6.3871428571428561</v>
      </c>
      <c r="AN4">
        <f t="shared" si="10"/>
        <v>6.3871428571428561</v>
      </c>
      <c r="AO4">
        <f t="shared" si="10"/>
        <v>6.3871428571428561</v>
      </c>
      <c r="AP4">
        <f t="shared" si="10"/>
        <v>6.3871428571428561</v>
      </c>
      <c r="AQ4">
        <f t="shared" si="10"/>
        <v>6.3871428571428561</v>
      </c>
      <c r="AR4">
        <f t="shared" si="10"/>
        <v>6.3871428571428561</v>
      </c>
      <c r="AS4">
        <f t="shared" si="10"/>
        <v>6.3871428571428561</v>
      </c>
      <c r="AT4">
        <f t="shared" si="10"/>
        <v>6.3871428571428561</v>
      </c>
      <c r="AU4">
        <f t="shared" si="10"/>
        <v>6.3871428571428561</v>
      </c>
      <c r="AV4">
        <f t="shared" si="10"/>
        <v>6.3871428571428561</v>
      </c>
      <c r="AW4">
        <f t="shared" si="10"/>
        <v>6.3871428571428561</v>
      </c>
      <c r="AX4">
        <f t="shared" si="10"/>
        <v>6.3871428571428561</v>
      </c>
      <c r="AY4">
        <f t="shared" si="10"/>
        <v>6.3871428571428561</v>
      </c>
      <c r="AZ4">
        <f t="shared" si="10"/>
        <v>6.3871428571428561</v>
      </c>
      <c r="BA4">
        <f t="shared" si="10"/>
        <v>6.3871428571428561</v>
      </c>
      <c r="BB4">
        <f t="shared" si="10"/>
        <v>6.3871428571428561</v>
      </c>
      <c r="BC4">
        <f t="shared" si="10"/>
        <v>6.3871428571428561</v>
      </c>
      <c r="BD4">
        <f t="shared" si="10"/>
        <v>6.3871428571428561</v>
      </c>
      <c r="BE4">
        <f t="shared" si="10"/>
        <v>6.3871428571428561</v>
      </c>
      <c r="BF4">
        <f t="shared" si="10"/>
        <v>6.3871428571428561</v>
      </c>
      <c r="BG4">
        <f t="shared" si="10"/>
        <v>6.3871428571428561</v>
      </c>
      <c r="BH4">
        <f t="shared" si="10"/>
        <v>6.3871428571428561</v>
      </c>
      <c r="BI4">
        <f t="shared" si="10"/>
        <v>6.3871428571428561</v>
      </c>
      <c r="BJ4">
        <f t="shared" si="10"/>
        <v>6.3871428571428561</v>
      </c>
      <c r="BK4">
        <f t="shared" si="10"/>
        <v>6.3871428571428561</v>
      </c>
      <c r="BL4">
        <f t="shared" si="10"/>
        <v>6.3871428571428561</v>
      </c>
      <c r="BM4">
        <f t="shared" si="10"/>
        <v>6.3871428571428561</v>
      </c>
      <c r="BN4">
        <f t="shared" si="10"/>
        <v>6.3871428571428561</v>
      </c>
      <c r="BO4">
        <f t="shared" ref="BO4:BT4" si="11">BN4</f>
        <v>6.3871428571428561</v>
      </c>
      <c r="BP4">
        <f t="shared" si="11"/>
        <v>6.3871428571428561</v>
      </c>
      <c r="BQ4">
        <f t="shared" si="11"/>
        <v>6.3871428571428561</v>
      </c>
      <c r="BR4">
        <f t="shared" si="11"/>
        <v>6.3871428571428561</v>
      </c>
      <c r="BS4">
        <f t="shared" si="11"/>
        <v>6.3871428571428561</v>
      </c>
      <c r="BT4">
        <f t="shared" si="11"/>
        <v>6.3871428571428561</v>
      </c>
    </row>
    <row r="5" spans="1:72" x14ac:dyDescent="0.25">
      <c r="A5" s="1" t="s">
        <v>46</v>
      </c>
      <c r="B5">
        <v>0</v>
      </c>
      <c r="C5">
        <f t="shared" ref="C5:AH5" si="12">B5</f>
        <v>0</v>
      </c>
      <c r="D5">
        <f t="shared" si="12"/>
        <v>0</v>
      </c>
      <c r="E5">
        <f t="shared" si="12"/>
        <v>0</v>
      </c>
      <c r="F5">
        <f t="shared" si="12"/>
        <v>0</v>
      </c>
      <c r="G5">
        <f t="shared" si="12"/>
        <v>0</v>
      </c>
      <c r="H5">
        <f t="shared" si="12"/>
        <v>0</v>
      </c>
      <c r="I5">
        <f t="shared" si="12"/>
        <v>0</v>
      </c>
      <c r="J5">
        <f t="shared" si="12"/>
        <v>0</v>
      </c>
      <c r="K5">
        <f t="shared" si="12"/>
        <v>0</v>
      </c>
      <c r="L5">
        <f t="shared" si="12"/>
        <v>0</v>
      </c>
      <c r="M5">
        <f t="shared" si="12"/>
        <v>0</v>
      </c>
      <c r="N5">
        <f t="shared" si="12"/>
        <v>0</v>
      </c>
      <c r="O5">
        <f t="shared" si="12"/>
        <v>0</v>
      </c>
      <c r="P5">
        <f t="shared" si="12"/>
        <v>0</v>
      </c>
      <c r="Q5">
        <f t="shared" si="12"/>
        <v>0</v>
      </c>
      <c r="R5">
        <f t="shared" si="12"/>
        <v>0</v>
      </c>
      <c r="S5">
        <f t="shared" si="12"/>
        <v>0</v>
      </c>
      <c r="T5">
        <f t="shared" si="12"/>
        <v>0</v>
      </c>
      <c r="U5">
        <f t="shared" si="12"/>
        <v>0</v>
      </c>
      <c r="V5">
        <f t="shared" si="12"/>
        <v>0</v>
      </c>
      <c r="W5">
        <f t="shared" si="12"/>
        <v>0</v>
      </c>
      <c r="X5">
        <f t="shared" si="12"/>
        <v>0</v>
      </c>
      <c r="Y5">
        <f t="shared" si="12"/>
        <v>0</v>
      </c>
      <c r="Z5">
        <f t="shared" si="12"/>
        <v>0</v>
      </c>
      <c r="AA5">
        <f t="shared" si="12"/>
        <v>0</v>
      </c>
      <c r="AB5">
        <f t="shared" si="12"/>
        <v>0</v>
      </c>
      <c r="AC5">
        <f t="shared" si="12"/>
        <v>0</v>
      </c>
      <c r="AD5">
        <f t="shared" si="12"/>
        <v>0</v>
      </c>
      <c r="AE5">
        <f t="shared" si="12"/>
        <v>0</v>
      </c>
      <c r="AF5">
        <f t="shared" si="12"/>
        <v>0</v>
      </c>
      <c r="AG5">
        <f t="shared" si="12"/>
        <v>0</v>
      </c>
      <c r="AH5">
        <f t="shared" si="12"/>
        <v>0</v>
      </c>
      <c r="AI5">
        <f t="shared" ref="AI5:BN5" si="13">AH5</f>
        <v>0</v>
      </c>
      <c r="AJ5">
        <f t="shared" si="13"/>
        <v>0</v>
      </c>
      <c r="AK5">
        <f t="shared" si="13"/>
        <v>0</v>
      </c>
      <c r="AL5">
        <f t="shared" si="13"/>
        <v>0</v>
      </c>
      <c r="AM5">
        <f t="shared" si="13"/>
        <v>0</v>
      </c>
      <c r="AN5">
        <f t="shared" si="13"/>
        <v>0</v>
      </c>
      <c r="AO5">
        <f t="shared" si="13"/>
        <v>0</v>
      </c>
      <c r="AP5">
        <f t="shared" si="13"/>
        <v>0</v>
      </c>
      <c r="AQ5">
        <f t="shared" si="13"/>
        <v>0</v>
      </c>
      <c r="AR5">
        <f t="shared" si="13"/>
        <v>0</v>
      </c>
      <c r="AS5">
        <f t="shared" si="13"/>
        <v>0</v>
      </c>
      <c r="AT5">
        <f t="shared" si="13"/>
        <v>0</v>
      </c>
      <c r="AU5">
        <f t="shared" si="13"/>
        <v>0</v>
      </c>
      <c r="AV5">
        <f t="shared" si="13"/>
        <v>0</v>
      </c>
      <c r="AW5">
        <f t="shared" si="13"/>
        <v>0</v>
      </c>
      <c r="AX5">
        <f t="shared" si="13"/>
        <v>0</v>
      </c>
      <c r="AY5">
        <f t="shared" si="13"/>
        <v>0</v>
      </c>
      <c r="AZ5">
        <f t="shared" si="13"/>
        <v>0</v>
      </c>
      <c r="BA5">
        <f t="shared" si="13"/>
        <v>0</v>
      </c>
      <c r="BB5">
        <f t="shared" si="13"/>
        <v>0</v>
      </c>
      <c r="BC5">
        <f t="shared" si="13"/>
        <v>0</v>
      </c>
      <c r="BD5">
        <f t="shared" si="13"/>
        <v>0</v>
      </c>
      <c r="BE5">
        <f t="shared" si="13"/>
        <v>0</v>
      </c>
      <c r="BF5">
        <f t="shared" si="13"/>
        <v>0</v>
      </c>
      <c r="BG5">
        <f t="shared" si="13"/>
        <v>0</v>
      </c>
      <c r="BH5">
        <f t="shared" si="13"/>
        <v>0</v>
      </c>
      <c r="BI5">
        <f t="shared" si="13"/>
        <v>0</v>
      </c>
      <c r="BJ5">
        <f t="shared" si="13"/>
        <v>0</v>
      </c>
      <c r="BK5">
        <f t="shared" si="13"/>
        <v>0</v>
      </c>
      <c r="BL5">
        <f t="shared" si="13"/>
        <v>0</v>
      </c>
      <c r="BM5">
        <f t="shared" si="13"/>
        <v>0</v>
      </c>
      <c r="BN5">
        <f t="shared" si="13"/>
        <v>0</v>
      </c>
      <c r="BO5">
        <f t="shared" ref="BO5:BT5" si="14">BN5</f>
        <v>0</v>
      </c>
      <c r="BP5">
        <f t="shared" si="14"/>
        <v>0</v>
      </c>
      <c r="BQ5">
        <f t="shared" si="14"/>
        <v>0</v>
      </c>
      <c r="BR5">
        <f t="shared" si="14"/>
        <v>0</v>
      </c>
      <c r="BS5">
        <f t="shared" si="14"/>
        <v>0</v>
      </c>
      <c r="BT5">
        <f t="shared" si="14"/>
        <v>0</v>
      </c>
    </row>
    <row r="6" spans="1:72" x14ac:dyDescent="0.25">
      <c r="A6" s="1" t="s">
        <v>47</v>
      </c>
      <c r="B6" s="7">
        <v>0.97210526315789469</v>
      </c>
      <c r="C6">
        <f t="shared" ref="C6:AH6" si="15">B6</f>
        <v>0.97210526315789469</v>
      </c>
      <c r="D6">
        <f t="shared" si="15"/>
        <v>0.97210526315789469</v>
      </c>
      <c r="E6">
        <f t="shared" si="15"/>
        <v>0.97210526315789469</v>
      </c>
      <c r="F6">
        <f t="shared" si="15"/>
        <v>0.97210526315789469</v>
      </c>
      <c r="G6">
        <f t="shared" si="15"/>
        <v>0.97210526315789469</v>
      </c>
      <c r="H6">
        <f t="shared" si="15"/>
        <v>0.97210526315789469</v>
      </c>
      <c r="I6">
        <f t="shared" si="15"/>
        <v>0.97210526315789469</v>
      </c>
      <c r="J6">
        <f t="shared" si="15"/>
        <v>0.97210526315789469</v>
      </c>
      <c r="K6">
        <f t="shared" si="15"/>
        <v>0.97210526315789469</v>
      </c>
      <c r="L6">
        <f t="shared" si="15"/>
        <v>0.97210526315789469</v>
      </c>
      <c r="M6">
        <f t="shared" si="15"/>
        <v>0.97210526315789469</v>
      </c>
      <c r="N6">
        <f t="shared" si="15"/>
        <v>0.97210526315789469</v>
      </c>
      <c r="O6">
        <f t="shared" si="15"/>
        <v>0.97210526315789469</v>
      </c>
      <c r="P6">
        <f t="shared" si="15"/>
        <v>0.97210526315789469</v>
      </c>
      <c r="Q6">
        <f t="shared" si="15"/>
        <v>0.97210526315789469</v>
      </c>
      <c r="R6">
        <f t="shared" si="15"/>
        <v>0.97210526315789469</v>
      </c>
      <c r="S6">
        <f t="shared" si="15"/>
        <v>0.97210526315789469</v>
      </c>
      <c r="T6">
        <f t="shared" si="15"/>
        <v>0.97210526315789469</v>
      </c>
      <c r="U6">
        <f t="shared" si="15"/>
        <v>0.97210526315789469</v>
      </c>
      <c r="V6">
        <f t="shared" si="15"/>
        <v>0.97210526315789469</v>
      </c>
      <c r="W6">
        <f t="shared" si="15"/>
        <v>0.97210526315789469</v>
      </c>
      <c r="X6">
        <f t="shared" si="15"/>
        <v>0.97210526315789469</v>
      </c>
      <c r="Y6">
        <f t="shared" si="15"/>
        <v>0.97210526315789469</v>
      </c>
      <c r="Z6">
        <f t="shared" si="15"/>
        <v>0.97210526315789469</v>
      </c>
      <c r="AA6">
        <f t="shared" si="15"/>
        <v>0.97210526315789469</v>
      </c>
      <c r="AB6">
        <f t="shared" si="15"/>
        <v>0.97210526315789469</v>
      </c>
      <c r="AC6">
        <f t="shared" si="15"/>
        <v>0.97210526315789469</v>
      </c>
      <c r="AD6">
        <f t="shared" si="15"/>
        <v>0.97210526315789469</v>
      </c>
      <c r="AE6">
        <f t="shared" si="15"/>
        <v>0.97210526315789469</v>
      </c>
      <c r="AF6">
        <f t="shared" si="15"/>
        <v>0.97210526315789469</v>
      </c>
      <c r="AG6">
        <f t="shared" si="15"/>
        <v>0.97210526315789469</v>
      </c>
      <c r="AH6">
        <f t="shared" si="15"/>
        <v>0.97210526315789469</v>
      </c>
      <c r="AI6">
        <f t="shared" ref="AI6:BN6" si="16">AH6</f>
        <v>0.97210526315789469</v>
      </c>
      <c r="AJ6">
        <f t="shared" si="16"/>
        <v>0.97210526315789469</v>
      </c>
      <c r="AK6">
        <f t="shared" si="16"/>
        <v>0.97210526315789469</v>
      </c>
      <c r="AL6">
        <f t="shared" si="16"/>
        <v>0.97210526315789469</v>
      </c>
      <c r="AM6">
        <f t="shared" si="16"/>
        <v>0.97210526315789469</v>
      </c>
      <c r="AN6">
        <f t="shared" si="16"/>
        <v>0.97210526315789469</v>
      </c>
      <c r="AO6">
        <f t="shared" si="16"/>
        <v>0.97210526315789469</v>
      </c>
      <c r="AP6">
        <f t="shared" si="16"/>
        <v>0.97210526315789469</v>
      </c>
      <c r="AQ6">
        <f t="shared" si="16"/>
        <v>0.97210526315789469</v>
      </c>
      <c r="AR6">
        <f t="shared" si="16"/>
        <v>0.97210526315789469</v>
      </c>
      <c r="AS6">
        <f t="shared" si="16"/>
        <v>0.97210526315789469</v>
      </c>
      <c r="AT6">
        <f t="shared" si="16"/>
        <v>0.97210526315789469</v>
      </c>
      <c r="AU6">
        <f t="shared" si="16"/>
        <v>0.97210526315789469</v>
      </c>
      <c r="AV6">
        <f t="shared" si="16"/>
        <v>0.97210526315789469</v>
      </c>
      <c r="AW6">
        <f t="shared" si="16"/>
        <v>0.97210526315789469</v>
      </c>
      <c r="AX6">
        <f t="shared" si="16"/>
        <v>0.97210526315789469</v>
      </c>
      <c r="AY6">
        <f t="shared" si="16"/>
        <v>0.97210526315789469</v>
      </c>
      <c r="AZ6">
        <f t="shared" si="16"/>
        <v>0.97210526315789469</v>
      </c>
      <c r="BA6">
        <f t="shared" si="16"/>
        <v>0.97210526315789469</v>
      </c>
      <c r="BB6">
        <f t="shared" si="16"/>
        <v>0.97210526315789469</v>
      </c>
      <c r="BC6">
        <f t="shared" si="16"/>
        <v>0.97210526315789469</v>
      </c>
      <c r="BD6">
        <f t="shared" si="16"/>
        <v>0.97210526315789469</v>
      </c>
      <c r="BE6">
        <f t="shared" si="16"/>
        <v>0.97210526315789469</v>
      </c>
      <c r="BF6">
        <f t="shared" si="16"/>
        <v>0.97210526315789469</v>
      </c>
      <c r="BG6">
        <f t="shared" si="16"/>
        <v>0.97210526315789469</v>
      </c>
      <c r="BH6">
        <f t="shared" si="16"/>
        <v>0.97210526315789469</v>
      </c>
      <c r="BI6">
        <f t="shared" si="16"/>
        <v>0.97210526315789469</v>
      </c>
      <c r="BJ6">
        <f t="shared" si="16"/>
        <v>0.97210526315789469</v>
      </c>
      <c r="BK6">
        <f t="shared" si="16"/>
        <v>0.97210526315789469</v>
      </c>
      <c r="BL6">
        <f t="shared" si="16"/>
        <v>0.97210526315789469</v>
      </c>
      <c r="BM6">
        <f t="shared" si="16"/>
        <v>0.97210526315789469</v>
      </c>
      <c r="BN6">
        <f t="shared" si="16"/>
        <v>0.97210526315789469</v>
      </c>
      <c r="BO6">
        <f t="shared" ref="BO6:BT6" si="17">BN6</f>
        <v>0.97210526315789469</v>
      </c>
      <c r="BP6">
        <f t="shared" si="17"/>
        <v>0.97210526315789469</v>
      </c>
      <c r="BQ6">
        <f t="shared" si="17"/>
        <v>0.97210526315789469</v>
      </c>
      <c r="BR6">
        <f t="shared" si="17"/>
        <v>0.97210526315789469</v>
      </c>
      <c r="BS6">
        <f t="shared" si="17"/>
        <v>0.97210526315789469</v>
      </c>
      <c r="BT6">
        <f t="shared" si="17"/>
        <v>0.97210526315789469</v>
      </c>
    </row>
    <row r="7" spans="1:72" x14ac:dyDescent="0.25">
      <c r="A7" s="1" t="s">
        <v>6</v>
      </c>
      <c r="B7">
        <v>0.81</v>
      </c>
      <c r="C7">
        <f t="shared" ref="C7:AH7" si="18">B7</f>
        <v>0.81</v>
      </c>
      <c r="D7">
        <f t="shared" si="18"/>
        <v>0.81</v>
      </c>
      <c r="E7">
        <f t="shared" si="18"/>
        <v>0.81</v>
      </c>
      <c r="F7">
        <f t="shared" si="18"/>
        <v>0.81</v>
      </c>
      <c r="G7">
        <f t="shared" si="18"/>
        <v>0.81</v>
      </c>
      <c r="H7">
        <f t="shared" si="18"/>
        <v>0.81</v>
      </c>
      <c r="I7">
        <f t="shared" si="18"/>
        <v>0.81</v>
      </c>
      <c r="J7">
        <f t="shared" si="18"/>
        <v>0.81</v>
      </c>
      <c r="K7">
        <f t="shared" si="18"/>
        <v>0.81</v>
      </c>
      <c r="L7">
        <f t="shared" si="18"/>
        <v>0.81</v>
      </c>
      <c r="M7">
        <f t="shared" si="18"/>
        <v>0.81</v>
      </c>
      <c r="N7">
        <f t="shared" si="18"/>
        <v>0.81</v>
      </c>
      <c r="O7">
        <f t="shared" si="18"/>
        <v>0.81</v>
      </c>
      <c r="P7">
        <f t="shared" si="18"/>
        <v>0.81</v>
      </c>
      <c r="Q7">
        <f t="shared" si="18"/>
        <v>0.81</v>
      </c>
      <c r="R7">
        <f t="shared" si="18"/>
        <v>0.81</v>
      </c>
      <c r="S7">
        <f t="shared" si="18"/>
        <v>0.81</v>
      </c>
      <c r="T7">
        <f t="shared" si="18"/>
        <v>0.81</v>
      </c>
      <c r="U7">
        <f t="shared" si="18"/>
        <v>0.81</v>
      </c>
      <c r="V7">
        <f t="shared" si="18"/>
        <v>0.81</v>
      </c>
      <c r="W7">
        <f t="shared" si="18"/>
        <v>0.81</v>
      </c>
      <c r="X7">
        <f t="shared" si="18"/>
        <v>0.81</v>
      </c>
      <c r="Y7">
        <f t="shared" si="18"/>
        <v>0.81</v>
      </c>
      <c r="Z7">
        <f t="shared" si="18"/>
        <v>0.81</v>
      </c>
      <c r="AA7">
        <f t="shared" si="18"/>
        <v>0.81</v>
      </c>
      <c r="AB7">
        <f t="shared" si="18"/>
        <v>0.81</v>
      </c>
      <c r="AC7">
        <f t="shared" si="18"/>
        <v>0.81</v>
      </c>
      <c r="AD7">
        <f t="shared" si="18"/>
        <v>0.81</v>
      </c>
      <c r="AE7">
        <f t="shared" si="18"/>
        <v>0.81</v>
      </c>
      <c r="AF7">
        <f t="shared" si="18"/>
        <v>0.81</v>
      </c>
      <c r="AG7">
        <f t="shared" si="18"/>
        <v>0.81</v>
      </c>
      <c r="AH7">
        <f t="shared" si="18"/>
        <v>0.81</v>
      </c>
      <c r="AI7">
        <f t="shared" ref="AI7:BN7" si="19">AH7</f>
        <v>0.81</v>
      </c>
      <c r="AJ7">
        <f t="shared" si="19"/>
        <v>0.81</v>
      </c>
      <c r="AK7">
        <f t="shared" si="19"/>
        <v>0.81</v>
      </c>
      <c r="AL7">
        <f t="shared" si="19"/>
        <v>0.81</v>
      </c>
      <c r="AM7">
        <f t="shared" si="19"/>
        <v>0.81</v>
      </c>
      <c r="AN7">
        <f t="shared" si="19"/>
        <v>0.81</v>
      </c>
      <c r="AO7">
        <f t="shared" si="19"/>
        <v>0.81</v>
      </c>
      <c r="AP7">
        <f t="shared" si="19"/>
        <v>0.81</v>
      </c>
      <c r="AQ7">
        <f t="shared" si="19"/>
        <v>0.81</v>
      </c>
      <c r="AR7">
        <f t="shared" si="19"/>
        <v>0.81</v>
      </c>
      <c r="AS7">
        <f t="shared" si="19"/>
        <v>0.81</v>
      </c>
      <c r="AT7">
        <f t="shared" si="19"/>
        <v>0.81</v>
      </c>
      <c r="AU7">
        <f t="shared" si="19"/>
        <v>0.81</v>
      </c>
      <c r="AV7">
        <f t="shared" si="19"/>
        <v>0.81</v>
      </c>
      <c r="AW7">
        <f t="shared" si="19"/>
        <v>0.81</v>
      </c>
      <c r="AX7">
        <f t="shared" si="19"/>
        <v>0.81</v>
      </c>
      <c r="AY7">
        <f t="shared" si="19"/>
        <v>0.81</v>
      </c>
      <c r="AZ7">
        <f t="shared" si="19"/>
        <v>0.81</v>
      </c>
      <c r="BA7">
        <f t="shared" si="19"/>
        <v>0.81</v>
      </c>
      <c r="BB7">
        <f t="shared" si="19"/>
        <v>0.81</v>
      </c>
      <c r="BC7">
        <f t="shared" si="19"/>
        <v>0.81</v>
      </c>
      <c r="BD7">
        <f t="shared" si="19"/>
        <v>0.81</v>
      </c>
      <c r="BE7">
        <f t="shared" si="19"/>
        <v>0.81</v>
      </c>
      <c r="BF7">
        <f t="shared" si="19"/>
        <v>0.81</v>
      </c>
      <c r="BG7">
        <f t="shared" si="19"/>
        <v>0.81</v>
      </c>
      <c r="BH7">
        <f t="shared" si="19"/>
        <v>0.81</v>
      </c>
      <c r="BI7">
        <f t="shared" si="19"/>
        <v>0.81</v>
      </c>
      <c r="BJ7">
        <f t="shared" si="19"/>
        <v>0.81</v>
      </c>
      <c r="BK7">
        <f t="shared" si="19"/>
        <v>0.81</v>
      </c>
      <c r="BL7">
        <f t="shared" si="19"/>
        <v>0.81</v>
      </c>
      <c r="BM7">
        <f t="shared" si="19"/>
        <v>0.81</v>
      </c>
      <c r="BN7">
        <f t="shared" si="19"/>
        <v>0.81</v>
      </c>
      <c r="BO7">
        <f t="shared" ref="BO7:BT7" si="20">BN7</f>
        <v>0.81</v>
      </c>
      <c r="BP7">
        <f t="shared" si="20"/>
        <v>0.81</v>
      </c>
      <c r="BQ7">
        <f t="shared" si="20"/>
        <v>0.81</v>
      </c>
      <c r="BR7">
        <f t="shared" si="20"/>
        <v>0.81</v>
      </c>
      <c r="BS7">
        <f t="shared" si="20"/>
        <v>0.81</v>
      </c>
      <c r="BT7">
        <f t="shared" si="20"/>
        <v>0.81</v>
      </c>
    </row>
    <row r="8" spans="1:72" x14ac:dyDescent="0.25">
      <c r="A8" s="1" t="s">
        <v>7</v>
      </c>
      <c r="B8">
        <v>0</v>
      </c>
      <c r="C8">
        <f t="shared" ref="C8:AH8" si="21">B8</f>
        <v>0</v>
      </c>
      <c r="D8">
        <f t="shared" si="21"/>
        <v>0</v>
      </c>
      <c r="E8">
        <f t="shared" si="21"/>
        <v>0</v>
      </c>
      <c r="F8">
        <f t="shared" si="21"/>
        <v>0</v>
      </c>
      <c r="G8">
        <f t="shared" si="21"/>
        <v>0</v>
      </c>
      <c r="H8">
        <f t="shared" si="21"/>
        <v>0</v>
      </c>
      <c r="I8">
        <f t="shared" si="21"/>
        <v>0</v>
      </c>
      <c r="J8">
        <f t="shared" si="21"/>
        <v>0</v>
      </c>
      <c r="K8">
        <f t="shared" si="21"/>
        <v>0</v>
      </c>
      <c r="L8">
        <f t="shared" si="21"/>
        <v>0</v>
      </c>
      <c r="M8">
        <f t="shared" si="21"/>
        <v>0</v>
      </c>
      <c r="N8">
        <f t="shared" si="21"/>
        <v>0</v>
      </c>
      <c r="O8">
        <f t="shared" si="21"/>
        <v>0</v>
      </c>
      <c r="P8">
        <f t="shared" si="21"/>
        <v>0</v>
      </c>
      <c r="Q8">
        <f t="shared" si="21"/>
        <v>0</v>
      </c>
      <c r="R8">
        <f t="shared" si="21"/>
        <v>0</v>
      </c>
      <c r="S8">
        <f t="shared" si="21"/>
        <v>0</v>
      </c>
      <c r="T8">
        <f t="shared" si="21"/>
        <v>0</v>
      </c>
      <c r="U8">
        <f t="shared" si="21"/>
        <v>0</v>
      </c>
      <c r="V8">
        <f t="shared" si="21"/>
        <v>0</v>
      </c>
      <c r="W8">
        <f t="shared" si="21"/>
        <v>0</v>
      </c>
      <c r="X8">
        <f t="shared" si="21"/>
        <v>0</v>
      </c>
      <c r="Y8">
        <f t="shared" si="21"/>
        <v>0</v>
      </c>
      <c r="Z8">
        <f t="shared" si="21"/>
        <v>0</v>
      </c>
      <c r="AA8">
        <f t="shared" si="21"/>
        <v>0</v>
      </c>
      <c r="AB8">
        <f t="shared" si="21"/>
        <v>0</v>
      </c>
      <c r="AC8">
        <f t="shared" si="21"/>
        <v>0</v>
      </c>
      <c r="AD8">
        <f t="shared" si="21"/>
        <v>0</v>
      </c>
      <c r="AE8">
        <f t="shared" si="21"/>
        <v>0</v>
      </c>
      <c r="AF8">
        <f t="shared" si="21"/>
        <v>0</v>
      </c>
      <c r="AG8">
        <f t="shared" si="21"/>
        <v>0</v>
      </c>
      <c r="AH8">
        <f t="shared" si="21"/>
        <v>0</v>
      </c>
      <c r="AI8">
        <f t="shared" ref="AI8:BN8" si="22">AH8</f>
        <v>0</v>
      </c>
      <c r="AJ8">
        <f t="shared" si="22"/>
        <v>0</v>
      </c>
      <c r="AK8">
        <f t="shared" si="22"/>
        <v>0</v>
      </c>
      <c r="AL8">
        <f t="shared" si="22"/>
        <v>0</v>
      </c>
      <c r="AM8">
        <f t="shared" si="22"/>
        <v>0</v>
      </c>
      <c r="AN8">
        <f t="shared" si="22"/>
        <v>0</v>
      </c>
      <c r="AO8">
        <f t="shared" si="22"/>
        <v>0</v>
      </c>
      <c r="AP8">
        <f t="shared" si="22"/>
        <v>0</v>
      </c>
      <c r="AQ8">
        <f t="shared" si="22"/>
        <v>0</v>
      </c>
      <c r="AR8">
        <f t="shared" si="22"/>
        <v>0</v>
      </c>
      <c r="AS8">
        <f t="shared" si="22"/>
        <v>0</v>
      </c>
      <c r="AT8">
        <f t="shared" si="22"/>
        <v>0</v>
      </c>
      <c r="AU8">
        <f t="shared" si="22"/>
        <v>0</v>
      </c>
      <c r="AV8">
        <f t="shared" si="22"/>
        <v>0</v>
      </c>
      <c r="AW8">
        <f t="shared" si="22"/>
        <v>0</v>
      </c>
      <c r="AX8">
        <f t="shared" si="22"/>
        <v>0</v>
      </c>
      <c r="AY8">
        <f t="shared" si="22"/>
        <v>0</v>
      </c>
      <c r="AZ8">
        <f t="shared" si="22"/>
        <v>0</v>
      </c>
      <c r="BA8">
        <f t="shared" si="22"/>
        <v>0</v>
      </c>
      <c r="BB8">
        <f t="shared" si="22"/>
        <v>0</v>
      </c>
      <c r="BC8">
        <f t="shared" si="22"/>
        <v>0</v>
      </c>
      <c r="BD8">
        <f t="shared" si="22"/>
        <v>0</v>
      </c>
      <c r="BE8">
        <f t="shared" si="22"/>
        <v>0</v>
      </c>
      <c r="BF8">
        <f t="shared" si="22"/>
        <v>0</v>
      </c>
      <c r="BG8">
        <f t="shared" si="22"/>
        <v>0</v>
      </c>
      <c r="BH8">
        <f t="shared" si="22"/>
        <v>0</v>
      </c>
      <c r="BI8">
        <f t="shared" si="22"/>
        <v>0</v>
      </c>
      <c r="BJ8">
        <f t="shared" si="22"/>
        <v>0</v>
      </c>
      <c r="BK8">
        <f t="shared" si="22"/>
        <v>0</v>
      </c>
      <c r="BL8">
        <f t="shared" si="22"/>
        <v>0</v>
      </c>
      <c r="BM8">
        <f t="shared" si="22"/>
        <v>0</v>
      </c>
      <c r="BN8">
        <f t="shared" si="22"/>
        <v>0</v>
      </c>
      <c r="BO8">
        <f t="shared" ref="BO8:BT8" si="23">BN8</f>
        <v>0</v>
      </c>
      <c r="BP8">
        <f t="shared" si="23"/>
        <v>0</v>
      </c>
      <c r="BQ8">
        <f t="shared" si="23"/>
        <v>0</v>
      </c>
      <c r="BR8">
        <f t="shared" si="23"/>
        <v>0</v>
      </c>
      <c r="BS8">
        <f t="shared" si="23"/>
        <v>0</v>
      </c>
      <c r="BT8">
        <f t="shared" si="23"/>
        <v>0</v>
      </c>
    </row>
    <row r="9" spans="1:72" x14ac:dyDescent="0.25">
      <c r="A9" s="1" t="s">
        <v>8</v>
      </c>
      <c r="B9">
        <v>0</v>
      </c>
      <c r="C9">
        <f t="shared" ref="C9:AH9" si="24">B9</f>
        <v>0</v>
      </c>
      <c r="D9">
        <f t="shared" si="24"/>
        <v>0</v>
      </c>
      <c r="E9">
        <f t="shared" si="24"/>
        <v>0</v>
      </c>
      <c r="F9">
        <f t="shared" si="24"/>
        <v>0</v>
      </c>
      <c r="G9">
        <f t="shared" si="24"/>
        <v>0</v>
      </c>
      <c r="H9">
        <f t="shared" si="24"/>
        <v>0</v>
      </c>
      <c r="I9">
        <f t="shared" si="24"/>
        <v>0</v>
      </c>
      <c r="J9">
        <f t="shared" si="24"/>
        <v>0</v>
      </c>
      <c r="K9">
        <f t="shared" si="24"/>
        <v>0</v>
      </c>
      <c r="L9">
        <f t="shared" si="24"/>
        <v>0</v>
      </c>
      <c r="M9">
        <f t="shared" si="24"/>
        <v>0</v>
      </c>
      <c r="N9">
        <f t="shared" si="24"/>
        <v>0</v>
      </c>
      <c r="O9">
        <f t="shared" si="24"/>
        <v>0</v>
      </c>
      <c r="P9">
        <f t="shared" si="24"/>
        <v>0</v>
      </c>
      <c r="Q9">
        <f t="shared" si="24"/>
        <v>0</v>
      </c>
      <c r="R9">
        <f t="shared" si="24"/>
        <v>0</v>
      </c>
      <c r="S9">
        <f t="shared" si="24"/>
        <v>0</v>
      </c>
      <c r="T9">
        <f t="shared" si="24"/>
        <v>0</v>
      </c>
      <c r="U9">
        <f t="shared" si="24"/>
        <v>0</v>
      </c>
      <c r="V9">
        <f t="shared" si="24"/>
        <v>0</v>
      </c>
      <c r="W9">
        <f t="shared" si="24"/>
        <v>0</v>
      </c>
      <c r="X9">
        <f t="shared" si="24"/>
        <v>0</v>
      </c>
      <c r="Y9">
        <f t="shared" si="24"/>
        <v>0</v>
      </c>
      <c r="Z9">
        <f t="shared" si="24"/>
        <v>0</v>
      </c>
      <c r="AA9">
        <f t="shared" si="24"/>
        <v>0</v>
      </c>
      <c r="AB9">
        <f t="shared" si="24"/>
        <v>0</v>
      </c>
      <c r="AC9">
        <f t="shared" si="24"/>
        <v>0</v>
      </c>
      <c r="AD9">
        <f t="shared" si="24"/>
        <v>0</v>
      </c>
      <c r="AE9">
        <f t="shared" si="24"/>
        <v>0</v>
      </c>
      <c r="AF9">
        <f t="shared" si="24"/>
        <v>0</v>
      </c>
      <c r="AG9">
        <f t="shared" si="24"/>
        <v>0</v>
      </c>
      <c r="AH9">
        <f t="shared" si="24"/>
        <v>0</v>
      </c>
      <c r="AI9">
        <f t="shared" ref="AI9:BN9" si="25">AH9</f>
        <v>0</v>
      </c>
      <c r="AJ9">
        <f t="shared" si="25"/>
        <v>0</v>
      </c>
      <c r="AK9">
        <f t="shared" si="25"/>
        <v>0</v>
      </c>
      <c r="AL9">
        <f t="shared" si="25"/>
        <v>0</v>
      </c>
      <c r="AM9">
        <f t="shared" si="25"/>
        <v>0</v>
      </c>
      <c r="AN9">
        <f t="shared" si="25"/>
        <v>0</v>
      </c>
      <c r="AO9">
        <f t="shared" si="25"/>
        <v>0</v>
      </c>
      <c r="AP9">
        <f t="shared" si="25"/>
        <v>0</v>
      </c>
      <c r="AQ9">
        <f t="shared" si="25"/>
        <v>0</v>
      </c>
      <c r="AR9">
        <f t="shared" si="25"/>
        <v>0</v>
      </c>
      <c r="AS9">
        <f t="shared" si="25"/>
        <v>0</v>
      </c>
      <c r="AT9">
        <f t="shared" si="25"/>
        <v>0</v>
      </c>
      <c r="AU9">
        <f t="shared" si="25"/>
        <v>0</v>
      </c>
      <c r="AV9">
        <f t="shared" si="25"/>
        <v>0</v>
      </c>
      <c r="AW9">
        <f t="shared" si="25"/>
        <v>0</v>
      </c>
      <c r="AX9">
        <f t="shared" si="25"/>
        <v>0</v>
      </c>
      <c r="AY9">
        <f t="shared" si="25"/>
        <v>0</v>
      </c>
      <c r="AZ9">
        <f t="shared" si="25"/>
        <v>0</v>
      </c>
      <c r="BA9">
        <f t="shared" si="25"/>
        <v>0</v>
      </c>
      <c r="BB9">
        <f t="shared" si="25"/>
        <v>0</v>
      </c>
      <c r="BC9">
        <f t="shared" si="25"/>
        <v>0</v>
      </c>
      <c r="BD9">
        <f t="shared" si="25"/>
        <v>0</v>
      </c>
      <c r="BE9">
        <f t="shared" si="25"/>
        <v>0</v>
      </c>
      <c r="BF9">
        <f t="shared" si="25"/>
        <v>0</v>
      </c>
      <c r="BG9">
        <f t="shared" si="25"/>
        <v>0</v>
      </c>
      <c r="BH9">
        <f t="shared" si="25"/>
        <v>0</v>
      </c>
      <c r="BI9">
        <f t="shared" si="25"/>
        <v>0</v>
      </c>
      <c r="BJ9">
        <f t="shared" si="25"/>
        <v>0</v>
      </c>
      <c r="BK9">
        <f t="shared" si="25"/>
        <v>0</v>
      </c>
      <c r="BL9">
        <f t="shared" si="25"/>
        <v>0</v>
      </c>
      <c r="BM9">
        <f t="shared" si="25"/>
        <v>0</v>
      </c>
      <c r="BN9">
        <f t="shared" si="25"/>
        <v>0</v>
      </c>
      <c r="BO9">
        <f t="shared" ref="BO9:BT9" si="26">BN9</f>
        <v>0</v>
      </c>
      <c r="BP9">
        <f t="shared" si="26"/>
        <v>0</v>
      </c>
      <c r="BQ9">
        <f t="shared" si="26"/>
        <v>0</v>
      </c>
      <c r="BR9">
        <f t="shared" si="26"/>
        <v>0</v>
      </c>
      <c r="BS9">
        <f t="shared" si="26"/>
        <v>0</v>
      </c>
      <c r="BT9">
        <f t="shared" si="26"/>
        <v>0</v>
      </c>
    </row>
    <row r="10" spans="1:72" x14ac:dyDescent="0.25">
      <c r="A10" s="1" t="s">
        <v>9</v>
      </c>
      <c r="B10">
        <v>0</v>
      </c>
      <c r="C10">
        <f t="shared" ref="C10:AH10" si="27">B10</f>
        <v>0</v>
      </c>
      <c r="D10">
        <f t="shared" si="27"/>
        <v>0</v>
      </c>
      <c r="E10">
        <f t="shared" si="27"/>
        <v>0</v>
      </c>
      <c r="F10">
        <f t="shared" si="27"/>
        <v>0</v>
      </c>
      <c r="G10">
        <f t="shared" si="27"/>
        <v>0</v>
      </c>
      <c r="H10">
        <f t="shared" si="27"/>
        <v>0</v>
      </c>
      <c r="I10">
        <f t="shared" si="27"/>
        <v>0</v>
      </c>
      <c r="J10">
        <f t="shared" si="27"/>
        <v>0</v>
      </c>
      <c r="K10">
        <f t="shared" si="27"/>
        <v>0</v>
      </c>
      <c r="L10">
        <f t="shared" si="27"/>
        <v>0</v>
      </c>
      <c r="M10">
        <f t="shared" si="27"/>
        <v>0</v>
      </c>
      <c r="N10">
        <f t="shared" si="27"/>
        <v>0</v>
      </c>
      <c r="O10">
        <f t="shared" si="27"/>
        <v>0</v>
      </c>
      <c r="P10">
        <f t="shared" si="27"/>
        <v>0</v>
      </c>
      <c r="Q10">
        <f t="shared" si="27"/>
        <v>0</v>
      </c>
      <c r="R10">
        <f t="shared" si="27"/>
        <v>0</v>
      </c>
      <c r="S10">
        <f t="shared" si="27"/>
        <v>0</v>
      </c>
      <c r="T10">
        <f t="shared" si="27"/>
        <v>0</v>
      </c>
      <c r="U10">
        <f t="shared" si="27"/>
        <v>0</v>
      </c>
      <c r="V10">
        <f t="shared" si="27"/>
        <v>0</v>
      </c>
      <c r="W10">
        <f t="shared" si="27"/>
        <v>0</v>
      </c>
      <c r="X10">
        <f t="shared" si="27"/>
        <v>0</v>
      </c>
      <c r="Y10">
        <f t="shared" si="27"/>
        <v>0</v>
      </c>
      <c r="Z10">
        <f t="shared" si="27"/>
        <v>0</v>
      </c>
      <c r="AA10">
        <f t="shared" si="27"/>
        <v>0</v>
      </c>
      <c r="AB10">
        <f t="shared" si="27"/>
        <v>0</v>
      </c>
      <c r="AC10">
        <f t="shared" si="27"/>
        <v>0</v>
      </c>
      <c r="AD10">
        <f t="shared" si="27"/>
        <v>0</v>
      </c>
      <c r="AE10">
        <f t="shared" si="27"/>
        <v>0</v>
      </c>
      <c r="AF10">
        <f t="shared" si="27"/>
        <v>0</v>
      </c>
      <c r="AG10">
        <f t="shared" si="27"/>
        <v>0</v>
      </c>
      <c r="AH10">
        <f t="shared" si="27"/>
        <v>0</v>
      </c>
      <c r="AI10">
        <f t="shared" ref="AI10:BN10" si="28">AH10</f>
        <v>0</v>
      </c>
      <c r="AJ10">
        <f t="shared" si="28"/>
        <v>0</v>
      </c>
      <c r="AK10">
        <f t="shared" si="28"/>
        <v>0</v>
      </c>
      <c r="AL10">
        <f t="shared" si="28"/>
        <v>0</v>
      </c>
      <c r="AM10">
        <f t="shared" si="28"/>
        <v>0</v>
      </c>
      <c r="AN10">
        <f t="shared" si="28"/>
        <v>0</v>
      </c>
      <c r="AO10">
        <f t="shared" si="28"/>
        <v>0</v>
      </c>
      <c r="AP10">
        <f t="shared" si="28"/>
        <v>0</v>
      </c>
      <c r="AQ10">
        <f t="shared" si="28"/>
        <v>0</v>
      </c>
      <c r="AR10">
        <f t="shared" si="28"/>
        <v>0</v>
      </c>
      <c r="AS10">
        <f t="shared" si="28"/>
        <v>0</v>
      </c>
      <c r="AT10">
        <f t="shared" si="28"/>
        <v>0</v>
      </c>
      <c r="AU10">
        <f t="shared" si="28"/>
        <v>0</v>
      </c>
      <c r="AV10">
        <f t="shared" si="28"/>
        <v>0</v>
      </c>
      <c r="AW10">
        <f t="shared" si="28"/>
        <v>0</v>
      </c>
      <c r="AX10">
        <f t="shared" si="28"/>
        <v>0</v>
      </c>
      <c r="AY10">
        <f t="shared" si="28"/>
        <v>0</v>
      </c>
      <c r="AZ10">
        <f t="shared" si="28"/>
        <v>0</v>
      </c>
      <c r="BA10">
        <f t="shared" si="28"/>
        <v>0</v>
      </c>
      <c r="BB10">
        <f t="shared" si="28"/>
        <v>0</v>
      </c>
      <c r="BC10">
        <f t="shared" si="28"/>
        <v>0</v>
      </c>
      <c r="BD10">
        <f t="shared" si="28"/>
        <v>0</v>
      </c>
      <c r="BE10">
        <f t="shared" si="28"/>
        <v>0</v>
      </c>
      <c r="BF10">
        <f t="shared" si="28"/>
        <v>0</v>
      </c>
      <c r="BG10">
        <f t="shared" si="28"/>
        <v>0</v>
      </c>
      <c r="BH10">
        <f t="shared" si="28"/>
        <v>0</v>
      </c>
      <c r="BI10">
        <f t="shared" si="28"/>
        <v>0</v>
      </c>
      <c r="BJ10">
        <f t="shared" si="28"/>
        <v>0</v>
      </c>
      <c r="BK10">
        <f t="shared" si="28"/>
        <v>0</v>
      </c>
      <c r="BL10">
        <f t="shared" si="28"/>
        <v>0</v>
      </c>
      <c r="BM10">
        <f t="shared" si="28"/>
        <v>0</v>
      </c>
      <c r="BN10">
        <f t="shared" si="28"/>
        <v>0</v>
      </c>
      <c r="BO10">
        <f t="shared" ref="BO10:BT10" si="29">BN10</f>
        <v>0</v>
      </c>
      <c r="BP10">
        <f t="shared" si="29"/>
        <v>0</v>
      </c>
      <c r="BQ10">
        <f t="shared" si="29"/>
        <v>0</v>
      </c>
      <c r="BR10">
        <f t="shared" si="29"/>
        <v>0</v>
      </c>
      <c r="BS10">
        <f t="shared" si="29"/>
        <v>0</v>
      </c>
      <c r="BT10">
        <f t="shared" si="29"/>
        <v>0</v>
      </c>
    </row>
    <row r="11" spans="1:72" x14ac:dyDescent="0.25">
      <c r="A11" s="1" t="s">
        <v>10</v>
      </c>
      <c r="B11">
        <v>58.94</v>
      </c>
      <c r="C11">
        <f t="shared" ref="C11:AH11" si="30">B11</f>
        <v>58.94</v>
      </c>
      <c r="D11">
        <f t="shared" si="30"/>
        <v>58.94</v>
      </c>
      <c r="E11">
        <f t="shared" si="30"/>
        <v>58.94</v>
      </c>
      <c r="F11">
        <f t="shared" si="30"/>
        <v>58.94</v>
      </c>
      <c r="G11">
        <f t="shared" si="30"/>
        <v>58.94</v>
      </c>
      <c r="H11">
        <f t="shared" si="30"/>
        <v>58.94</v>
      </c>
      <c r="I11">
        <f t="shared" si="30"/>
        <v>58.94</v>
      </c>
      <c r="J11">
        <f t="shared" si="30"/>
        <v>58.94</v>
      </c>
      <c r="K11">
        <f t="shared" si="30"/>
        <v>58.94</v>
      </c>
      <c r="L11">
        <f t="shared" si="30"/>
        <v>58.94</v>
      </c>
      <c r="M11">
        <f t="shared" si="30"/>
        <v>58.94</v>
      </c>
      <c r="N11">
        <f t="shared" si="30"/>
        <v>58.94</v>
      </c>
      <c r="O11">
        <f t="shared" si="30"/>
        <v>58.94</v>
      </c>
      <c r="P11">
        <f t="shared" si="30"/>
        <v>58.94</v>
      </c>
      <c r="Q11">
        <f t="shared" si="30"/>
        <v>58.94</v>
      </c>
      <c r="R11">
        <f t="shared" si="30"/>
        <v>58.94</v>
      </c>
      <c r="S11">
        <f t="shared" si="30"/>
        <v>58.94</v>
      </c>
      <c r="T11">
        <f t="shared" si="30"/>
        <v>58.94</v>
      </c>
      <c r="U11">
        <f t="shared" si="30"/>
        <v>58.94</v>
      </c>
      <c r="V11">
        <f t="shared" si="30"/>
        <v>58.94</v>
      </c>
      <c r="W11">
        <f t="shared" si="30"/>
        <v>58.94</v>
      </c>
      <c r="X11">
        <f t="shared" si="30"/>
        <v>58.94</v>
      </c>
      <c r="Y11">
        <f t="shared" si="30"/>
        <v>58.94</v>
      </c>
      <c r="Z11">
        <f t="shared" si="30"/>
        <v>58.94</v>
      </c>
      <c r="AA11">
        <f t="shared" si="30"/>
        <v>58.94</v>
      </c>
      <c r="AB11">
        <f t="shared" si="30"/>
        <v>58.94</v>
      </c>
      <c r="AC11">
        <f t="shared" si="30"/>
        <v>58.94</v>
      </c>
      <c r="AD11">
        <f t="shared" si="30"/>
        <v>58.94</v>
      </c>
      <c r="AE11">
        <f t="shared" si="30"/>
        <v>58.94</v>
      </c>
      <c r="AF11">
        <f t="shared" si="30"/>
        <v>58.94</v>
      </c>
      <c r="AG11">
        <f t="shared" si="30"/>
        <v>58.94</v>
      </c>
      <c r="AH11">
        <f t="shared" si="30"/>
        <v>58.94</v>
      </c>
      <c r="AI11">
        <f t="shared" ref="AI11:BN11" si="31">AH11</f>
        <v>58.94</v>
      </c>
      <c r="AJ11">
        <f t="shared" si="31"/>
        <v>58.94</v>
      </c>
      <c r="AK11">
        <f t="shared" si="31"/>
        <v>58.94</v>
      </c>
      <c r="AL11">
        <f t="shared" si="31"/>
        <v>58.94</v>
      </c>
      <c r="AM11">
        <f t="shared" si="31"/>
        <v>58.94</v>
      </c>
      <c r="AN11">
        <f t="shared" si="31"/>
        <v>58.94</v>
      </c>
      <c r="AO11">
        <f t="shared" si="31"/>
        <v>58.94</v>
      </c>
      <c r="AP11">
        <f t="shared" si="31"/>
        <v>58.94</v>
      </c>
      <c r="AQ11">
        <f t="shared" si="31"/>
        <v>58.94</v>
      </c>
      <c r="AR11">
        <f t="shared" si="31"/>
        <v>58.94</v>
      </c>
      <c r="AS11">
        <f t="shared" si="31"/>
        <v>58.94</v>
      </c>
      <c r="AT11">
        <f t="shared" si="31"/>
        <v>58.94</v>
      </c>
      <c r="AU11">
        <f t="shared" si="31"/>
        <v>58.94</v>
      </c>
      <c r="AV11">
        <f t="shared" si="31"/>
        <v>58.94</v>
      </c>
      <c r="AW11">
        <f t="shared" si="31"/>
        <v>58.94</v>
      </c>
      <c r="AX11">
        <f t="shared" si="31"/>
        <v>58.94</v>
      </c>
      <c r="AY11">
        <f t="shared" si="31"/>
        <v>58.94</v>
      </c>
      <c r="AZ11">
        <f t="shared" si="31"/>
        <v>58.94</v>
      </c>
      <c r="BA11">
        <f t="shared" si="31"/>
        <v>58.94</v>
      </c>
      <c r="BB11">
        <f t="shared" si="31"/>
        <v>58.94</v>
      </c>
      <c r="BC11">
        <f t="shared" si="31"/>
        <v>58.94</v>
      </c>
      <c r="BD11">
        <f t="shared" si="31"/>
        <v>58.94</v>
      </c>
      <c r="BE11">
        <f t="shared" si="31"/>
        <v>58.94</v>
      </c>
      <c r="BF11">
        <f t="shared" si="31"/>
        <v>58.94</v>
      </c>
      <c r="BG11">
        <f t="shared" si="31"/>
        <v>58.94</v>
      </c>
      <c r="BH11">
        <f t="shared" si="31"/>
        <v>58.94</v>
      </c>
      <c r="BI11">
        <f t="shared" si="31"/>
        <v>58.94</v>
      </c>
      <c r="BJ11">
        <f t="shared" si="31"/>
        <v>58.94</v>
      </c>
      <c r="BK11">
        <f t="shared" si="31"/>
        <v>58.94</v>
      </c>
      <c r="BL11">
        <f t="shared" si="31"/>
        <v>58.94</v>
      </c>
      <c r="BM11">
        <f t="shared" si="31"/>
        <v>58.94</v>
      </c>
      <c r="BN11">
        <f t="shared" si="31"/>
        <v>58.94</v>
      </c>
      <c r="BO11">
        <f t="shared" ref="BO11:BT11" si="32">BN11</f>
        <v>58.94</v>
      </c>
      <c r="BP11">
        <f t="shared" si="32"/>
        <v>58.94</v>
      </c>
      <c r="BQ11">
        <f t="shared" si="32"/>
        <v>58.94</v>
      </c>
      <c r="BR11">
        <f t="shared" si="32"/>
        <v>58.94</v>
      </c>
      <c r="BS11">
        <f t="shared" si="32"/>
        <v>58.94</v>
      </c>
      <c r="BT11">
        <f t="shared" si="32"/>
        <v>58.94</v>
      </c>
    </row>
    <row r="12" spans="1:72" x14ac:dyDescent="0.25">
      <c r="A12" s="1" t="s">
        <v>11</v>
      </c>
      <c r="B12">
        <v>0</v>
      </c>
      <c r="C12">
        <f t="shared" ref="C12:AH12" si="33">B12</f>
        <v>0</v>
      </c>
      <c r="D12">
        <f t="shared" si="33"/>
        <v>0</v>
      </c>
      <c r="E12">
        <f t="shared" si="33"/>
        <v>0</v>
      </c>
      <c r="F12">
        <f t="shared" si="33"/>
        <v>0</v>
      </c>
      <c r="G12">
        <f t="shared" si="33"/>
        <v>0</v>
      </c>
      <c r="H12">
        <f t="shared" si="33"/>
        <v>0</v>
      </c>
      <c r="I12">
        <f t="shared" si="33"/>
        <v>0</v>
      </c>
      <c r="J12">
        <f t="shared" si="33"/>
        <v>0</v>
      </c>
      <c r="K12">
        <f t="shared" si="33"/>
        <v>0</v>
      </c>
      <c r="L12">
        <f t="shared" si="33"/>
        <v>0</v>
      </c>
      <c r="M12">
        <f t="shared" si="33"/>
        <v>0</v>
      </c>
      <c r="N12">
        <f t="shared" si="33"/>
        <v>0</v>
      </c>
      <c r="O12">
        <f t="shared" si="33"/>
        <v>0</v>
      </c>
      <c r="P12">
        <f t="shared" si="33"/>
        <v>0</v>
      </c>
      <c r="Q12">
        <f t="shared" si="33"/>
        <v>0</v>
      </c>
      <c r="R12">
        <f t="shared" si="33"/>
        <v>0</v>
      </c>
      <c r="S12">
        <f t="shared" si="33"/>
        <v>0</v>
      </c>
      <c r="T12">
        <f t="shared" si="33"/>
        <v>0</v>
      </c>
      <c r="U12">
        <f t="shared" si="33"/>
        <v>0</v>
      </c>
      <c r="V12">
        <f t="shared" si="33"/>
        <v>0</v>
      </c>
      <c r="W12">
        <f t="shared" si="33"/>
        <v>0</v>
      </c>
      <c r="X12">
        <f t="shared" si="33"/>
        <v>0</v>
      </c>
      <c r="Y12">
        <f t="shared" si="33"/>
        <v>0</v>
      </c>
      <c r="Z12">
        <f t="shared" si="33"/>
        <v>0</v>
      </c>
      <c r="AA12">
        <f t="shared" si="33"/>
        <v>0</v>
      </c>
      <c r="AB12">
        <f t="shared" si="33"/>
        <v>0</v>
      </c>
      <c r="AC12">
        <f t="shared" si="33"/>
        <v>0</v>
      </c>
      <c r="AD12">
        <f t="shared" si="33"/>
        <v>0</v>
      </c>
      <c r="AE12">
        <f t="shared" si="33"/>
        <v>0</v>
      </c>
      <c r="AF12">
        <f t="shared" si="33"/>
        <v>0</v>
      </c>
      <c r="AG12">
        <f t="shared" si="33"/>
        <v>0</v>
      </c>
      <c r="AH12">
        <f t="shared" si="33"/>
        <v>0</v>
      </c>
      <c r="AI12">
        <f t="shared" ref="AI12:BN12" si="34">AH12</f>
        <v>0</v>
      </c>
      <c r="AJ12">
        <f t="shared" si="34"/>
        <v>0</v>
      </c>
      <c r="AK12">
        <f t="shared" si="34"/>
        <v>0</v>
      </c>
      <c r="AL12">
        <f t="shared" si="34"/>
        <v>0</v>
      </c>
      <c r="AM12">
        <f t="shared" si="34"/>
        <v>0</v>
      </c>
      <c r="AN12">
        <f t="shared" si="34"/>
        <v>0</v>
      </c>
      <c r="AO12">
        <f t="shared" si="34"/>
        <v>0</v>
      </c>
      <c r="AP12">
        <f t="shared" si="34"/>
        <v>0</v>
      </c>
      <c r="AQ12">
        <f t="shared" si="34"/>
        <v>0</v>
      </c>
      <c r="AR12">
        <f t="shared" si="34"/>
        <v>0</v>
      </c>
      <c r="AS12">
        <f t="shared" si="34"/>
        <v>0</v>
      </c>
      <c r="AT12">
        <f t="shared" si="34"/>
        <v>0</v>
      </c>
      <c r="AU12">
        <f t="shared" si="34"/>
        <v>0</v>
      </c>
      <c r="AV12">
        <f t="shared" si="34"/>
        <v>0</v>
      </c>
      <c r="AW12">
        <f t="shared" si="34"/>
        <v>0</v>
      </c>
      <c r="AX12">
        <f t="shared" si="34"/>
        <v>0</v>
      </c>
      <c r="AY12">
        <f t="shared" si="34"/>
        <v>0</v>
      </c>
      <c r="AZ12">
        <f t="shared" si="34"/>
        <v>0</v>
      </c>
      <c r="BA12">
        <f t="shared" si="34"/>
        <v>0</v>
      </c>
      <c r="BB12">
        <f t="shared" si="34"/>
        <v>0</v>
      </c>
      <c r="BC12">
        <f t="shared" si="34"/>
        <v>0</v>
      </c>
      <c r="BD12">
        <f t="shared" si="34"/>
        <v>0</v>
      </c>
      <c r="BE12">
        <f t="shared" si="34"/>
        <v>0</v>
      </c>
      <c r="BF12">
        <f t="shared" si="34"/>
        <v>0</v>
      </c>
      <c r="BG12">
        <f t="shared" si="34"/>
        <v>0</v>
      </c>
      <c r="BH12">
        <f t="shared" si="34"/>
        <v>0</v>
      </c>
      <c r="BI12">
        <f t="shared" si="34"/>
        <v>0</v>
      </c>
      <c r="BJ12">
        <f t="shared" si="34"/>
        <v>0</v>
      </c>
      <c r="BK12">
        <f t="shared" si="34"/>
        <v>0</v>
      </c>
      <c r="BL12">
        <f t="shared" si="34"/>
        <v>0</v>
      </c>
      <c r="BM12">
        <f t="shared" si="34"/>
        <v>0</v>
      </c>
      <c r="BN12">
        <f t="shared" si="34"/>
        <v>0</v>
      </c>
      <c r="BO12">
        <f t="shared" ref="BO12:BT12" si="35">BN12</f>
        <v>0</v>
      </c>
      <c r="BP12">
        <f t="shared" si="35"/>
        <v>0</v>
      </c>
      <c r="BQ12">
        <f t="shared" si="35"/>
        <v>0</v>
      </c>
      <c r="BR12">
        <f t="shared" si="35"/>
        <v>0</v>
      </c>
      <c r="BS12">
        <f t="shared" si="35"/>
        <v>0</v>
      </c>
      <c r="BT12">
        <f t="shared" si="35"/>
        <v>0</v>
      </c>
    </row>
    <row r="13" spans="1:72" x14ac:dyDescent="0.25">
      <c r="A13" s="1" t="s">
        <v>12</v>
      </c>
      <c r="B13">
        <v>28.2</v>
      </c>
      <c r="C13">
        <f t="shared" ref="C13:AH13" si="36">B13</f>
        <v>28.2</v>
      </c>
      <c r="D13">
        <f t="shared" si="36"/>
        <v>28.2</v>
      </c>
      <c r="E13">
        <f t="shared" si="36"/>
        <v>28.2</v>
      </c>
      <c r="F13">
        <f t="shared" si="36"/>
        <v>28.2</v>
      </c>
      <c r="G13">
        <f t="shared" si="36"/>
        <v>28.2</v>
      </c>
      <c r="H13">
        <f t="shared" si="36"/>
        <v>28.2</v>
      </c>
      <c r="I13">
        <f t="shared" si="36"/>
        <v>28.2</v>
      </c>
      <c r="J13">
        <f t="shared" si="36"/>
        <v>28.2</v>
      </c>
      <c r="K13">
        <f t="shared" si="36"/>
        <v>28.2</v>
      </c>
      <c r="L13">
        <f t="shared" si="36"/>
        <v>28.2</v>
      </c>
      <c r="M13">
        <f t="shared" si="36"/>
        <v>28.2</v>
      </c>
      <c r="N13">
        <f t="shared" si="36"/>
        <v>28.2</v>
      </c>
      <c r="O13">
        <f t="shared" si="36"/>
        <v>28.2</v>
      </c>
      <c r="P13">
        <f t="shared" si="36"/>
        <v>28.2</v>
      </c>
      <c r="Q13">
        <f t="shared" si="36"/>
        <v>28.2</v>
      </c>
      <c r="R13">
        <f t="shared" si="36"/>
        <v>28.2</v>
      </c>
      <c r="S13">
        <f t="shared" si="36"/>
        <v>28.2</v>
      </c>
      <c r="T13">
        <f t="shared" si="36"/>
        <v>28.2</v>
      </c>
      <c r="U13">
        <f t="shared" si="36"/>
        <v>28.2</v>
      </c>
      <c r="V13">
        <f t="shared" si="36"/>
        <v>28.2</v>
      </c>
      <c r="W13">
        <f t="shared" si="36"/>
        <v>28.2</v>
      </c>
      <c r="X13">
        <f t="shared" si="36"/>
        <v>28.2</v>
      </c>
      <c r="Y13">
        <f t="shared" si="36"/>
        <v>28.2</v>
      </c>
      <c r="Z13">
        <f t="shared" si="36"/>
        <v>28.2</v>
      </c>
      <c r="AA13">
        <f t="shared" si="36"/>
        <v>28.2</v>
      </c>
      <c r="AB13">
        <f t="shared" si="36"/>
        <v>28.2</v>
      </c>
      <c r="AC13">
        <f t="shared" si="36"/>
        <v>28.2</v>
      </c>
      <c r="AD13">
        <f t="shared" si="36"/>
        <v>28.2</v>
      </c>
      <c r="AE13">
        <f t="shared" si="36"/>
        <v>28.2</v>
      </c>
      <c r="AF13">
        <f t="shared" si="36"/>
        <v>28.2</v>
      </c>
      <c r="AG13">
        <f t="shared" si="36"/>
        <v>28.2</v>
      </c>
      <c r="AH13">
        <f t="shared" si="36"/>
        <v>28.2</v>
      </c>
      <c r="AI13">
        <f t="shared" ref="AI13:BN13" si="37">AH13</f>
        <v>28.2</v>
      </c>
      <c r="AJ13">
        <f t="shared" si="37"/>
        <v>28.2</v>
      </c>
      <c r="AK13">
        <f t="shared" si="37"/>
        <v>28.2</v>
      </c>
      <c r="AL13">
        <f t="shared" si="37"/>
        <v>28.2</v>
      </c>
      <c r="AM13">
        <f t="shared" si="37"/>
        <v>28.2</v>
      </c>
      <c r="AN13">
        <f t="shared" si="37"/>
        <v>28.2</v>
      </c>
      <c r="AO13">
        <f t="shared" si="37"/>
        <v>28.2</v>
      </c>
      <c r="AP13">
        <f t="shared" si="37"/>
        <v>28.2</v>
      </c>
      <c r="AQ13">
        <f t="shared" si="37"/>
        <v>28.2</v>
      </c>
      <c r="AR13">
        <f t="shared" si="37"/>
        <v>28.2</v>
      </c>
      <c r="AS13">
        <f t="shared" si="37"/>
        <v>28.2</v>
      </c>
      <c r="AT13">
        <f t="shared" si="37"/>
        <v>28.2</v>
      </c>
      <c r="AU13">
        <f t="shared" si="37"/>
        <v>28.2</v>
      </c>
      <c r="AV13">
        <f t="shared" si="37"/>
        <v>28.2</v>
      </c>
      <c r="AW13">
        <f t="shared" si="37"/>
        <v>28.2</v>
      </c>
      <c r="AX13">
        <f t="shared" si="37"/>
        <v>28.2</v>
      </c>
      <c r="AY13">
        <f t="shared" si="37"/>
        <v>28.2</v>
      </c>
      <c r="AZ13">
        <f t="shared" si="37"/>
        <v>28.2</v>
      </c>
      <c r="BA13">
        <f t="shared" si="37"/>
        <v>28.2</v>
      </c>
      <c r="BB13">
        <f t="shared" si="37"/>
        <v>28.2</v>
      </c>
      <c r="BC13">
        <f t="shared" si="37"/>
        <v>28.2</v>
      </c>
      <c r="BD13">
        <f t="shared" si="37"/>
        <v>28.2</v>
      </c>
      <c r="BE13">
        <f t="shared" si="37"/>
        <v>28.2</v>
      </c>
      <c r="BF13">
        <f t="shared" si="37"/>
        <v>28.2</v>
      </c>
      <c r="BG13">
        <f t="shared" si="37"/>
        <v>28.2</v>
      </c>
      <c r="BH13">
        <f t="shared" si="37"/>
        <v>28.2</v>
      </c>
      <c r="BI13">
        <f t="shared" si="37"/>
        <v>28.2</v>
      </c>
      <c r="BJ13">
        <f t="shared" si="37"/>
        <v>28.2</v>
      </c>
      <c r="BK13">
        <f t="shared" si="37"/>
        <v>28.2</v>
      </c>
      <c r="BL13">
        <f t="shared" si="37"/>
        <v>28.2</v>
      </c>
      <c r="BM13">
        <f t="shared" si="37"/>
        <v>28.2</v>
      </c>
      <c r="BN13">
        <f t="shared" si="37"/>
        <v>28.2</v>
      </c>
      <c r="BO13">
        <f t="shared" ref="BO13:BT13" si="38">BN13</f>
        <v>28.2</v>
      </c>
      <c r="BP13">
        <f t="shared" si="38"/>
        <v>28.2</v>
      </c>
      <c r="BQ13">
        <f t="shared" si="38"/>
        <v>28.2</v>
      </c>
      <c r="BR13">
        <f t="shared" si="38"/>
        <v>28.2</v>
      </c>
      <c r="BS13">
        <f t="shared" si="38"/>
        <v>28.2</v>
      </c>
      <c r="BT13">
        <f t="shared" si="38"/>
        <v>28.2</v>
      </c>
    </row>
    <row r="14" spans="1:72" x14ac:dyDescent="0.25">
      <c r="A14" s="1" t="s">
        <v>13</v>
      </c>
      <c r="B14">
        <v>0</v>
      </c>
      <c r="C14">
        <f t="shared" ref="C14:AH14" si="39">B14</f>
        <v>0</v>
      </c>
      <c r="D14">
        <f t="shared" si="39"/>
        <v>0</v>
      </c>
      <c r="E14">
        <f t="shared" si="39"/>
        <v>0</v>
      </c>
      <c r="F14">
        <f t="shared" si="39"/>
        <v>0</v>
      </c>
      <c r="G14">
        <f t="shared" si="39"/>
        <v>0</v>
      </c>
      <c r="H14">
        <f t="shared" si="39"/>
        <v>0</v>
      </c>
      <c r="I14">
        <f t="shared" si="39"/>
        <v>0</v>
      </c>
      <c r="J14">
        <f t="shared" si="39"/>
        <v>0</v>
      </c>
      <c r="K14">
        <f t="shared" si="39"/>
        <v>0</v>
      </c>
      <c r="L14">
        <f t="shared" si="39"/>
        <v>0</v>
      </c>
      <c r="M14">
        <f t="shared" si="39"/>
        <v>0</v>
      </c>
      <c r="N14">
        <f t="shared" si="39"/>
        <v>0</v>
      </c>
      <c r="O14">
        <f t="shared" si="39"/>
        <v>0</v>
      </c>
      <c r="P14">
        <f t="shared" si="39"/>
        <v>0</v>
      </c>
      <c r="Q14">
        <f t="shared" si="39"/>
        <v>0</v>
      </c>
      <c r="R14">
        <f t="shared" si="39"/>
        <v>0</v>
      </c>
      <c r="S14">
        <f t="shared" si="39"/>
        <v>0</v>
      </c>
      <c r="T14">
        <f t="shared" si="39"/>
        <v>0</v>
      </c>
      <c r="U14">
        <f t="shared" si="39"/>
        <v>0</v>
      </c>
      <c r="V14">
        <f t="shared" si="39"/>
        <v>0</v>
      </c>
      <c r="W14">
        <f t="shared" si="39"/>
        <v>0</v>
      </c>
      <c r="X14">
        <f t="shared" si="39"/>
        <v>0</v>
      </c>
      <c r="Y14">
        <f t="shared" si="39"/>
        <v>0</v>
      </c>
      <c r="Z14">
        <f t="shared" si="39"/>
        <v>0</v>
      </c>
      <c r="AA14">
        <f t="shared" si="39"/>
        <v>0</v>
      </c>
      <c r="AB14">
        <f t="shared" si="39"/>
        <v>0</v>
      </c>
      <c r="AC14">
        <f t="shared" si="39"/>
        <v>0</v>
      </c>
      <c r="AD14">
        <f t="shared" si="39"/>
        <v>0</v>
      </c>
      <c r="AE14">
        <f t="shared" si="39"/>
        <v>0</v>
      </c>
      <c r="AF14">
        <f t="shared" si="39"/>
        <v>0</v>
      </c>
      <c r="AG14">
        <f t="shared" si="39"/>
        <v>0</v>
      </c>
      <c r="AH14">
        <f t="shared" si="39"/>
        <v>0</v>
      </c>
      <c r="AI14">
        <f t="shared" ref="AI14:BN14" si="40">AH14</f>
        <v>0</v>
      </c>
      <c r="AJ14">
        <f t="shared" si="40"/>
        <v>0</v>
      </c>
      <c r="AK14">
        <f t="shared" si="40"/>
        <v>0</v>
      </c>
      <c r="AL14">
        <f t="shared" si="40"/>
        <v>0</v>
      </c>
      <c r="AM14">
        <f t="shared" si="40"/>
        <v>0</v>
      </c>
      <c r="AN14">
        <f t="shared" si="40"/>
        <v>0</v>
      </c>
      <c r="AO14">
        <f t="shared" si="40"/>
        <v>0</v>
      </c>
      <c r="AP14">
        <f t="shared" si="40"/>
        <v>0</v>
      </c>
      <c r="AQ14">
        <f t="shared" si="40"/>
        <v>0</v>
      </c>
      <c r="AR14">
        <f t="shared" si="40"/>
        <v>0</v>
      </c>
      <c r="AS14">
        <f t="shared" si="40"/>
        <v>0</v>
      </c>
      <c r="AT14">
        <f t="shared" si="40"/>
        <v>0</v>
      </c>
      <c r="AU14">
        <f t="shared" si="40"/>
        <v>0</v>
      </c>
      <c r="AV14">
        <f t="shared" si="40"/>
        <v>0</v>
      </c>
      <c r="AW14">
        <f t="shared" si="40"/>
        <v>0</v>
      </c>
      <c r="AX14">
        <f t="shared" si="40"/>
        <v>0</v>
      </c>
      <c r="AY14">
        <f t="shared" si="40"/>
        <v>0</v>
      </c>
      <c r="AZ14">
        <f t="shared" si="40"/>
        <v>0</v>
      </c>
      <c r="BA14">
        <f t="shared" si="40"/>
        <v>0</v>
      </c>
      <c r="BB14">
        <f t="shared" si="40"/>
        <v>0</v>
      </c>
      <c r="BC14">
        <f t="shared" si="40"/>
        <v>0</v>
      </c>
      <c r="BD14">
        <f t="shared" si="40"/>
        <v>0</v>
      </c>
      <c r="BE14">
        <f t="shared" si="40"/>
        <v>0</v>
      </c>
      <c r="BF14">
        <f t="shared" si="40"/>
        <v>0</v>
      </c>
      <c r="BG14">
        <f t="shared" si="40"/>
        <v>0</v>
      </c>
      <c r="BH14">
        <f t="shared" si="40"/>
        <v>0</v>
      </c>
      <c r="BI14">
        <f t="shared" si="40"/>
        <v>0</v>
      </c>
      <c r="BJ14">
        <f t="shared" si="40"/>
        <v>0</v>
      </c>
      <c r="BK14">
        <f t="shared" si="40"/>
        <v>0</v>
      </c>
      <c r="BL14">
        <f t="shared" si="40"/>
        <v>0</v>
      </c>
      <c r="BM14">
        <f t="shared" si="40"/>
        <v>0</v>
      </c>
      <c r="BN14">
        <f t="shared" si="40"/>
        <v>0</v>
      </c>
      <c r="BO14">
        <f t="shared" ref="BO14:BT14" si="41">BN14</f>
        <v>0</v>
      </c>
      <c r="BP14">
        <f t="shared" si="41"/>
        <v>0</v>
      </c>
      <c r="BQ14">
        <f t="shared" si="41"/>
        <v>0</v>
      </c>
      <c r="BR14">
        <f t="shared" si="41"/>
        <v>0</v>
      </c>
      <c r="BS14">
        <f t="shared" si="41"/>
        <v>0</v>
      </c>
      <c r="BT14">
        <f t="shared" si="41"/>
        <v>0</v>
      </c>
    </row>
    <row r="15" spans="1:72" x14ac:dyDescent="0.25">
      <c r="A15" s="1" t="s">
        <v>14</v>
      </c>
      <c r="B15">
        <v>99.98</v>
      </c>
      <c r="C15">
        <f t="shared" ref="C15:AH15" si="42">B15</f>
        <v>99.98</v>
      </c>
      <c r="D15">
        <f t="shared" si="42"/>
        <v>99.98</v>
      </c>
      <c r="E15">
        <f t="shared" si="42"/>
        <v>99.98</v>
      </c>
      <c r="F15">
        <f t="shared" si="42"/>
        <v>99.98</v>
      </c>
      <c r="G15">
        <f t="shared" si="42"/>
        <v>99.98</v>
      </c>
      <c r="H15">
        <f t="shared" si="42"/>
        <v>99.98</v>
      </c>
      <c r="I15">
        <f t="shared" si="42"/>
        <v>99.98</v>
      </c>
      <c r="J15">
        <f t="shared" si="42"/>
        <v>99.98</v>
      </c>
      <c r="K15">
        <f t="shared" si="42"/>
        <v>99.98</v>
      </c>
      <c r="L15">
        <f t="shared" si="42"/>
        <v>99.98</v>
      </c>
      <c r="M15">
        <f t="shared" si="42"/>
        <v>99.98</v>
      </c>
      <c r="N15">
        <f t="shared" si="42"/>
        <v>99.98</v>
      </c>
      <c r="O15">
        <f t="shared" si="42"/>
        <v>99.98</v>
      </c>
      <c r="P15">
        <f t="shared" si="42"/>
        <v>99.98</v>
      </c>
      <c r="Q15">
        <f t="shared" si="42"/>
        <v>99.98</v>
      </c>
      <c r="R15">
        <f t="shared" si="42"/>
        <v>99.98</v>
      </c>
      <c r="S15">
        <f t="shared" si="42"/>
        <v>99.98</v>
      </c>
      <c r="T15">
        <f t="shared" si="42"/>
        <v>99.98</v>
      </c>
      <c r="U15">
        <f t="shared" si="42"/>
        <v>99.98</v>
      </c>
      <c r="V15">
        <f t="shared" si="42"/>
        <v>99.98</v>
      </c>
      <c r="W15">
        <f t="shared" si="42"/>
        <v>99.98</v>
      </c>
      <c r="X15">
        <f t="shared" si="42"/>
        <v>99.98</v>
      </c>
      <c r="Y15">
        <f t="shared" si="42"/>
        <v>99.98</v>
      </c>
      <c r="Z15">
        <f t="shared" si="42"/>
        <v>99.98</v>
      </c>
      <c r="AA15">
        <f t="shared" si="42"/>
        <v>99.98</v>
      </c>
      <c r="AB15">
        <f t="shared" si="42"/>
        <v>99.98</v>
      </c>
      <c r="AC15">
        <f t="shared" si="42"/>
        <v>99.98</v>
      </c>
      <c r="AD15">
        <f t="shared" si="42"/>
        <v>99.98</v>
      </c>
      <c r="AE15">
        <f t="shared" si="42"/>
        <v>99.98</v>
      </c>
      <c r="AF15">
        <f t="shared" si="42"/>
        <v>99.98</v>
      </c>
      <c r="AG15">
        <f t="shared" si="42"/>
        <v>99.98</v>
      </c>
      <c r="AH15">
        <f t="shared" si="42"/>
        <v>99.98</v>
      </c>
      <c r="AI15">
        <f t="shared" ref="AI15:BN15" si="43">AH15</f>
        <v>99.98</v>
      </c>
      <c r="AJ15">
        <f t="shared" si="43"/>
        <v>99.98</v>
      </c>
      <c r="AK15">
        <f t="shared" si="43"/>
        <v>99.98</v>
      </c>
      <c r="AL15">
        <f t="shared" si="43"/>
        <v>99.98</v>
      </c>
      <c r="AM15">
        <f t="shared" si="43"/>
        <v>99.98</v>
      </c>
      <c r="AN15">
        <f t="shared" si="43"/>
        <v>99.98</v>
      </c>
      <c r="AO15">
        <f t="shared" si="43"/>
        <v>99.98</v>
      </c>
      <c r="AP15">
        <f t="shared" si="43"/>
        <v>99.98</v>
      </c>
      <c r="AQ15">
        <f t="shared" si="43"/>
        <v>99.98</v>
      </c>
      <c r="AR15">
        <f t="shared" si="43"/>
        <v>99.98</v>
      </c>
      <c r="AS15">
        <f t="shared" si="43"/>
        <v>99.98</v>
      </c>
      <c r="AT15">
        <f t="shared" si="43"/>
        <v>99.98</v>
      </c>
      <c r="AU15">
        <f t="shared" si="43"/>
        <v>99.98</v>
      </c>
      <c r="AV15">
        <f t="shared" si="43"/>
        <v>99.98</v>
      </c>
      <c r="AW15">
        <f t="shared" si="43"/>
        <v>99.98</v>
      </c>
      <c r="AX15">
        <f t="shared" si="43"/>
        <v>99.98</v>
      </c>
      <c r="AY15">
        <f t="shared" si="43"/>
        <v>99.98</v>
      </c>
      <c r="AZ15">
        <f t="shared" si="43"/>
        <v>99.98</v>
      </c>
      <c r="BA15">
        <f t="shared" si="43"/>
        <v>99.98</v>
      </c>
      <c r="BB15">
        <f t="shared" si="43"/>
        <v>99.98</v>
      </c>
      <c r="BC15">
        <f t="shared" si="43"/>
        <v>99.98</v>
      </c>
      <c r="BD15">
        <f t="shared" si="43"/>
        <v>99.98</v>
      </c>
      <c r="BE15">
        <f t="shared" si="43"/>
        <v>99.98</v>
      </c>
      <c r="BF15">
        <f t="shared" si="43"/>
        <v>99.98</v>
      </c>
      <c r="BG15">
        <f t="shared" si="43"/>
        <v>99.98</v>
      </c>
      <c r="BH15">
        <f t="shared" si="43"/>
        <v>99.98</v>
      </c>
      <c r="BI15">
        <f t="shared" si="43"/>
        <v>99.98</v>
      </c>
      <c r="BJ15">
        <f t="shared" si="43"/>
        <v>99.98</v>
      </c>
      <c r="BK15">
        <f t="shared" si="43"/>
        <v>99.98</v>
      </c>
      <c r="BL15">
        <f t="shared" si="43"/>
        <v>99.98</v>
      </c>
      <c r="BM15">
        <f t="shared" si="43"/>
        <v>99.98</v>
      </c>
      <c r="BN15">
        <f t="shared" si="43"/>
        <v>99.98</v>
      </c>
      <c r="BO15">
        <f t="shared" ref="BO15:BT15" si="44">BN15</f>
        <v>99.98</v>
      </c>
      <c r="BP15">
        <f t="shared" si="44"/>
        <v>99.98</v>
      </c>
      <c r="BQ15">
        <f t="shared" si="44"/>
        <v>99.98</v>
      </c>
      <c r="BR15">
        <f t="shared" si="44"/>
        <v>99.98</v>
      </c>
      <c r="BS15">
        <f t="shared" si="44"/>
        <v>99.98</v>
      </c>
      <c r="BT15">
        <f t="shared" si="44"/>
        <v>99.98</v>
      </c>
    </row>
    <row r="16" spans="1:72" x14ac:dyDescent="0.25">
      <c r="A16" s="1" t="s">
        <v>15</v>
      </c>
      <c r="B16">
        <v>47.94</v>
      </c>
      <c r="C16">
        <f t="shared" ref="C16:AH16" si="45">B16</f>
        <v>47.94</v>
      </c>
      <c r="D16">
        <f t="shared" si="45"/>
        <v>47.94</v>
      </c>
      <c r="E16">
        <f t="shared" si="45"/>
        <v>47.94</v>
      </c>
      <c r="F16">
        <f t="shared" si="45"/>
        <v>47.94</v>
      </c>
      <c r="G16">
        <f t="shared" si="45"/>
        <v>47.94</v>
      </c>
      <c r="H16">
        <f t="shared" si="45"/>
        <v>47.94</v>
      </c>
      <c r="I16">
        <f t="shared" si="45"/>
        <v>47.94</v>
      </c>
      <c r="J16">
        <f t="shared" si="45"/>
        <v>47.94</v>
      </c>
      <c r="K16">
        <f t="shared" si="45"/>
        <v>47.94</v>
      </c>
      <c r="L16">
        <f t="shared" si="45"/>
        <v>47.94</v>
      </c>
      <c r="M16">
        <f t="shared" si="45"/>
        <v>47.94</v>
      </c>
      <c r="N16">
        <f t="shared" si="45"/>
        <v>47.94</v>
      </c>
      <c r="O16">
        <f t="shared" si="45"/>
        <v>47.94</v>
      </c>
      <c r="P16">
        <f t="shared" si="45"/>
        <v>47.94</v>
      </c>
      <c r="Q16">
        <f t="shared" si="45"/>
        <v>47.94</v>
      </c>
      <c r="R16">
        <f t="shared" si="45"/>
        <v>47.94</v>
      </c>
      <c r="S16">
        <f t="shared" si="45"/>
        <v>47.94</v>
      </c>
      <c r="T16">
        <f t="shared" si="45"/>
        <v>47.94</v>
      </c>
      <c r="U16">
        <f t="shared" si="45"/>
        <v>47.94</v>
      </c>
      <c r="V16">
        <f t="shared" si="45"/>
        <v>47.94</v>
      </c>
      <c r="W16">
        <f t="shared" si="45"/>
        <v>47.94</v>
      </c>
      <c r="X16">
        <f t="shared" si="45"/>
        <v>47.94</v>
      </c>
      <c r="Y16">
        <f t="shared" si="45"/>
        <v>47.94</v>
      </c>
      <c r="Z16">
        <f t="shared" si="45"/>
        <v>47.94</v>
      </c>
      <c r="AA16">
        <f t="shared" si="45"/>
        <v>47.94</v>
      </c>
      <c r="AB16">
        <f t="shared" si="45"/>
        <v>47.94</v>
      </c>
      <c r="AC16">
        <f t="shared" si="45"/>
        <v>47.94</v>
      </c>
      <c r="AD16">
        <f t="shared" si="45"/>
        <v>47.94</v>
      </c>
      <c r="AE16">
        <f t="shared" si="45"/>
        <v>47.94</v>
      </c>
      <c r="AF16">
        <f t="shared" si="45"/>
        <v>47.94</v>
      </c>
      <c r="AG16">
        <f t="shared" si="45"/>
        <v>47.94</v>
      </c>
      <c r="AH16">
        <f t="shared" si="45"/>
        <v>47.94</v>
      </c>
      <c r="AI16">
        <f t="shared" ref="AI16:BN16" si="46">AH16</f>
        <v>47.94</v>
      </c>
      <c r="AJ16">
        <f t="shared" si="46"/>
        <v>47.94</v>
      </c>
      <c r="AK16">
        <f t="shared" si="46"/>
        <v>47.94</v>
      </c>
      <c r="AL16">
        <f t="shared" si="46"/>
        <v>47.94</v>
      </c>
      <c r="AM16">
        <f t="shared" si="46"/>
        <v>47.94</v>
      </c>
      <c r="AN16">
        <f t="shared" si="46"/>
        <v>47.94</v>
      </c>
      <c r="AO16">
        <f t="shared" si="46"/>
        <v>47.94</v>
      </c>
      <c r="AP16">
        <f t="shared" si="46"/>
        <v>47.94</v>
      </c>
      <c r="AQ16">
        <f t="shared" si="46"/>
        <v>47.94</v>
      </c>
      <c r="AR16">
        <f t="shared" si="46"/>
        <v>47.94</v>
      </c>
      <c r="AS16">
        <f t="shared" si="46"/>
        <v>47.94</v>
      </c>
      <c r="AT16">
        <f t="shared" si="46"/>
        <v>47.94</v>
      </c>
      <c r="AU16">
        <f t="shared" si="46"/>
        <v>47.94</v>
      </c>
      <c r="AV16">
        <f t="shared" si="46"/>
        <v>47.94</v>
      </c>
      <c r="AW16">
        <f t="shared" si="46"/>
        <v>47.94</v>
      </c>
      <c r="AX16">
        <f t="shared" si="46"/>
        <v>47.94</v>
      </c>
      <c r="AY16">
        <f t="shared" si="46"/>
        <v>47.94</v>
      </c>
      <c r="AZ16">
        <f t="shared" si="46"/>
        <v>47.94</v>
      </c>
      <c r="BA16">
        <f t="shared" si="46"/>
        <v>47.94</v>
      </c>
      <c r="BB16">
        <f t="shared" si="46"/>
        <v>47.94</v>
      </c>
      <c r="BC16">
        <f t="shared" si="46"/>
        <v>47.94</v>
      </c>
      <c r="BD16">
        <f t="shared" si="46"/>
        <v>47.94</v>
      </c>
      <c r="BE16">
        <f t="shared" si="46"/>
        <v>47.94</v>
      </c>
      <c r="BF16">
        <f t="shared" si="46"/>
        <v>47.94</v>
      </c>
      <c r="BG16">
        <f t="shared" si="46"/>
        <v>47.94</v>
      </c>
      <c r="BH16">
        <f t="shared" si="46"/>
        <v>47.94</v>
      </c>
      <c r="BI16">
        <f t="shared" si="46"/>
        <v>47.94</v>
      </c>
      <c r="BJ16">
        <f t="shared" si="46"/>
        <v>47.94</v>
      </c>
      <c r="BK16">
        <f t="shared" si="46"/>
        <v>47.94</v>
      </c>
      <c r="BL16">
        <f t="shared" si="46"/>
        <v>47.94</v>
      </c>
      <c r="BM16">
        <f t="shared" si="46"/>
        <v>47.94</v>
      </c>
      <c r="BN16">
        <f t="shared" si="46"/>
        <v>47.94</v>
      </c>
      <c r="BO16">
        <f t="shared" ref="BO16:BT16" si="47">BN16</f>
        <v>47.94</v>
      </c>
      <c r="BP16">
        <f t="shared" si="47"/>
        <v>47.94</v>
      </c>
      <c r="BQ16">
        <f t="shared" si="47"/>
        <v>47.94</v>
      </c>
      <c r="BR16">
        <f t="shared" si="47"/>
        <v>47.94</v>
      </c>
      <c r="BS16">
        <f t="shared" si="47"/>
        <v>47.94</v>
      </c>
      <c r="BT16">
        <f t="shared" si="47"/>
        <v>47.94</v>
      </c>
    </row>
    <row r="17" spans="1:72" x14ac:dyDescent="0.25">
      <c r="A17" s="1" t="s">
        <v>16</v>
      </c>
      <c r="B17">
        <v>0</v>
      </c>
      <c r="C17">
        <f t="shared" ref="C17:AH17" si="48">B17</f>
        <v>0</v>
      </c>
      <c r="D17">
        <f t="shared" si="48"/>
        <v>0</v>
      </c>
      <c r="E17">
        <f t="shared" si="48"/>
        <v>0</v>
      </c>
      <c r="F17">
        <f t="shared" si="48"/>
        <v>0</v>
      </c>
      <c r="G17">
        <f t="shared" si="48"/>
        <v>0</v>
      </c>
      <c r="H17">
        <f t="shared" si="48"/>
        <v>0</v>
      </c>
      <c r="I17">
        <f t="shared" si="48"/>
        <v>0</v>
      </c>
      <c r="J17">
        <f t="shared" si="48"/>
        <v>0</v>
      </c>
      <c r="K17">
        <f t="shared" si="48"/>
        <v>0</v>
      </c>
      <c r="L17">
        <f t="shared" si="48"/>
        <v>0</v>
      </c>
      <c r="M17">
        <f t="shared" si="48"/>
        <v>0</v>
      </c>
      <c r="N17">
        <f t="shared" si="48"/>
        <v>0</v>
      </c>
      <c r="O17">
        <f t="shared" si="48"/>
        <v>0</v>
      </c>
      <c r="P17">
        <f t="shared" si="48"/>
        <v>0</v>
      </c>
      <c r="Q17">
        <f t="shared" si="48"/>
        <v>0</v>
      </c>
      <c r="R17">
        <f t="shared" si="48"/>
        <v>0</v>
      </c>
      <c r="S17">
        <f t="shared" si="48"/>
        <v>0</v>
      </c>
      <c r="T17">
        <f t="shared" si="48"/>
        <v>0</v>
      </c>
      <c r="U17">
        <f t="shared" si="48"/>
        <v>0</v>
      </c>
      <c r="V17">
        <f t="shared" si="48"/>
        <v>0</v>
      </c>
      <c r="W17">
        <f t="shared" si="48"/>
        <v>0</v>
      </c>
      <c r="X17">
        <f t="shared" si="48"/>
        <v>0</v>
      </c>
      <c r="Y17">
        <f t="shared" si="48"/>
        <v>0</v>
      </c>
      <c r="Z17">
        <f t="shared" si="48"/>
        <v>0</v>
      </c>
      <c r="AA17">
        <f t="shared" si="48"/>
        <v>0</v>
      </c>
      <c r="AB17">
        <f t="shared" si="48"/>
        <v>0</v>
      </c>
      <c r="AC17">
        <f t="shared" si="48"/>
        <v>0</v>
      </c>
      <c r="AD17">
        <f t="shared" si="48"/>
        <v>0</v>
      </c>
      <c r="AE17">
        <f t="shared" si="48"/>
        <v>0</v>
      </c>
      <c r="AF17">
        <f t="shared" si="48"/>
        <v>0</v>
      </c>
      <c r="AG17">
        <f t="shared" si="48"/>
        <v>0</v>
      </c>
      <c r="AH17">
        <f t="shared" si="48"/>
        <v>0</v>
      </c>
      <c r="AI17">
        <f t="shared" ref="AI17:BN17" si="49">AH17</f>
        <v>0</v>
      </c>
      <c r="AJ17">
        <f t="shared" si="49"/>
        <v>0</v>
      </c>
      <c r="AK17">
        <f t="shared" si="49"/>
        <v>0</v>
      </c>
      <c r="AL17">
        <f t="shared" si="49"/>
        <v>0</v>
      </c>
      <c r="AM17">
        <f t="shared" si="49"/>
        <v>0</v>
      </c>
      <c r="AN17">
        <f t="shared" si="49"/>
        <v>0</v>
      </c>
      <c r="AO17">
        <f t="shared" si="49"/>
        <v>0</v>
      </c>
      <c r="AP17">
        <f t="shared" si="49"/>
        <v>0</v>
      </c>
      <c r="AQ17">
        <f t="shared" si="49"/>
        <v>0</v>
      </c>
      <c r="AR17">
        <f t="shared" si="49"/>
        <v>0</v>
      </c>
      <c r="AS17">
        <f t="shared" si="49"/>
        <v>0</v>
      </c>
      <c r="AT17">
        <f t="shared" si="49"/>
        <v>0</v>
      </c>
      <c r="AU17">
        <f t="shared" si="49"/>
        <v>0</v>
      </c>
      <c r="AV17">
        <f t="shared" si="49"/>
        <v>0</v>
      </c>
      <c r="AW17">
        <f t="shared" si="49"/>
        <v>0</v>
      </c>
      <c r="AX17">
        <f t="shared" si="49"/>
        <v>0</v>
      </c>
      <c r="AY17">
        <f t="shared" si="49"/>
        <v>0</v>
      </c>
      <c r="AZ17">
        <f t="shared" si="49"/>
        <v>0</v>
      </c>
      <c r="BA17">
        <f t="shared" si="49"/>
        <v>0</v>
      </c>
      <c r="BB17">
        <f t="shared" si="49"/>
        <v>0</v>
      </c>
      <c r="BC17">
        <f t="shared" si="49"/>
        <v>0</v>
      </c>
      <c r="BD17">
        <f t="shared" si="49"/>
        <v>0</v>
      </c>
      <c r="BE17">
        <f t="shared" si="49"/>
        <v>0</v>
      </c>
      <c r="BF17">
        <f t="shared" si="49"/>
        <v>0</v>
      </c>
      <c r="BG17">
        <f t="shared" si="49"/>
        <v>0</v>
      </c>
      <c r="BH17">
        <f t="shared" si="49"/>
        <v>0</v>
      </c>
      <c r="BI17">
        <f t="shared" si="49"/>
        <v>0</v>
      </c>
      <c r="BJ17">
        <f t="shared" si="49"/>
        <v>0</v>
      </c>
      <c r="BK17">
        <f t="shared" si="49"/>
        <v>0</v>
      </c>
      <c r="BL17">
        <f t="shared" si="49"/>
        <v>0</v>
      </c>
      <c r="BM17">
        <f t="shared" si="49"/>
        <v>0</v>
      </c>
      <c r="BN17">
        <f t="shared" si="49"/>
        <v>0</v>
      </c>
      <c r="BO17">
        <f t="shared" ref="BO17:BT17" si="50">BN17</f>
        <v>0</v>
      </c>
      <c r="BP17">
        <f t="shared" si="50"/>
        <v>0</v>
      </c>
      <c r="BQ17">
        <f t="shared" si="50"/>
        <v>0</v>
      </c>
      <c r="BR17">
        <f t="shared" si="50"/>
        <v>0</v>
      </c>
      <c r="BS17">
        <f t="shared" si="50"/>
        <v>0</v>
      </c>
      <c r="BT17">
        <f t="shared" si="50"/>
        <v>0</v>
      </c>
    </row>
    <row r="18" spans="1:72" x14ac:dyDescent="0.25">
      <c r="A18" s="1" t="s">
        <v>17</v>
      </c>
      <c r="B18">
        <v>36.5</v>
      </c>
      <c r="C18">
        <f t="shared" ref="C18:AH18" si="51">B18</f>
        <v>36.5</v>
      </c>
      <c r="D18">
        <f t="shared" si="51"/>
        <v>36.5</v>
      </c>
      <c r="E18">
        <f t="shared" si="51"/>
        <v>36.5</v>
      </c>
      <c r="F18">
        <f t="shared" si="51"/>
        <v>36.5</v>
      </c>
      <c r="G18">
        <f t="shared" si="51"/>
        <v>36.5</v>
      </c>
      <c r="H18">
        <f t="shared" si="51"/>
        <v>36.5</v>
      </c>
      <c r="I18">
        <f t="shared" si="51"/>
        <v>36.5</v>
      </c>
      <c r="J18">
        <f t="shared" si="51"/>
        <v>36.5</v>
      </c>
      <c r="K18">
        <f t="shared" si="51"/>
        <v>36.5</v>
      </c>
      <c r="L18">
        <f t="shared" si="51"/>
        <v>36.5</v>
      </c>
      <c r="M18">
        <f t="shared" si="51"/>
        <v>36.5</v>
      </c>
      <c r="N18">
        <f t="shared" si="51"/>
        <v>36.5</v>
      </c>
      <c r="O18">
        <f t="shared" si="51"/>
        <v>36.5</v>
      </c>
      <c r="P18">
        <f t="shared" si="51"/>
        <v>36.5</v>
      </c>
      <c r="Q18">
        <f t="shared" si="51"/>
        <v>36.5</v>
      </c>
      <c r="R18">
        <f t="shared" si="51"/>
        <v>36.5</v>
      </c>
      <c r="S18">
        <f t="shared" si="51"/>
        <v>36.5</v>
      </c>
      <c r="T18">
        <f t="shared" si="51"/>
        <v>36.5</v>
      </c>
      <c r="U18">
        <f t="shared" si="51"/>
        <v>36.5</v>
      </c>
      <c r="V18">
        <f t="shared" si="51"/>
        <v>36.5</v>
      </c>
      <c r="W18">
        <f t="shared" si="51"/>
        <v>36.5</v>
      </c>
      <c r="X18">
        <f t="shared" si="51"/>
        <v>36.5</v>
      </c>
      <c r="Y18">
        <f t="shared" si="51"/>
        <v>36.5</v>
      </c>
      <c r="Z18">
        <f t="shared" si="51"/>
        <v>36.5</v>
      </c>
      <c r="AA18">
        <f t="shared" si="51"/>
        <v>36.5</v>
      </c>
      <c r="AB18">
        <f t="shared" si="51"/>
        <v>36.5</v>
      </c>
      <c r="AC18">
        <f t="shared" si="51"/>
        <v>36.5</v>
      </c>
      <c r="AD18">
        <f t="shared" si="51"/>
        <v>36.5</v>
      </c>
      <c r="AE18">
        <f t="shared" si="51"/>
        <v>36.5</v>
      </c>
      <c r="AF18">
        <f t="shared" si="51"/>
        <v>36.5</v>
      </c>
      <c r="AG18">
        <f t="shared" si="51"/>
        <v>36.5</v>
      </c>
      <c r="AH18">
        <f t="shared" si="51"/>
        <v>36.5</v>
      </c>
      <c r="AI18">
        <f t="shared" ref="AI18:BN18" si="52">AH18</f>
        <v>36.5</v>
      </c>
      <c r="AJ18">
        <f t="shared" si="52"/>
        <v>36.5</v>
      </c>
      <c r="AK18">
        <f t="shared" si="52"/>
        <v>36.5</v>
      </c>
      <c r="AL18">
        <f t="shared" si="52"/>
        <v>36.5</v>
      </c>
      <c r="AM18">
        <f t="shared" si="52"/>
        <v>36.5</v>
      </c>
      <c r="AN18">
        <f t="shared" si="52"/>
        <v>36.5</v>
      </c>
      <c r="AO18">
        <f t="shared" si="52"/>
        <v>36.5</v>
      </c>
      <c r="AP18">
        <f t="shared" si="52"/>
        <v>36.5</v>
      </c>
      <c r="AQ18">
        <f t="shared" si="52"/>
        <v>36.5</v>
      </c>
      <c r="AR18">
        <f t="shared" si="52"/>
        <v>36.5</v>
      </c>
      <c r="AS18">
        <f t="shared" si="52"/>
        <v>36.5</v>
      </c>
      <c r="AT18">
        <f t="shared" si="52"/>
        <v>36.5</v>
      </c>
      <c r="AU18">
        <f t="shared" si="52"/>
        <v>36.5</v>
      </c>
      <c r="AV18">
        <f t="shared" si="52"/>
        <v>36.5</v>
      </c>
      <c r="AW18">
        <f t="shared" si="52"/>
        <v>36.5</v>
      </c>
      <c r="AX18">
        <f t="shared" si="52"/>
        <v>36.5</v>
      </c>
      <c r="AY18">
        <f t="shared" si="52"/>
        <v>36.5</v>
      </c>
      <c r="AZ18">
        <f t="shared" si="52"/>
        <v>36.5</v>
      </c>
      <c r="BA18">
        <f t="shared" si="52"/>
        <v>36.5</v>
      </c>
      <c r="BB18">
        <f t="shared" si="52"/>
        <v>36.5</v>
      </c>
      <c r="BC18">
        <f t="shared" si="52"/>
        <v>36.5</v>
      </c>
      <c r="BD18">
        <f t="shared" si="52"/>
        <v>36.5</v>
      </c>
      <c r="BE18">
        <f t="shared" si="52"/>
        <v>36.5</v>
      </c>
      <c r="BF18">
        <f t="shared" si="52"/>
        <v>36.5</v>
      </c>
      <c r="BG18">
        <f t="shared" si="52"/>
        <v>36.5</v>
      </c>
      <c r="BH18">
        <f t="shared" si="52"/>
        <v>36.5</v>
      </c>
      <c r="BI18">
        <f t="shared" si="52"/>
        <v>36.5</v>
      </c>
      <c r="BJ18">
        <f t="shared" si="52"/>
        <v>36.5</v>
      </c>
      <c r="BK18">
        <f t="shared" si="52"/>
        <v>36.5</v>
      </c>
      <c r="BL18">
        <f t="shared" si="52"/>
        <v>36.5</v>
      </c>
      <c r="BM18">
        <f t="shared" si="52"/>
        <v>36.5</v>
      </c>
      <c r="BN18">
        <f t="shared" si="52"/>
        <v>36.5</v>
      </c>
      <c r="BO18">
        <f t="shared" ref="BO18:BT18" si="53">BN18</f>
        <v>36.5</v>
      </c>
      <c r="BP18">
        <f t="shared" si="53"/>
        <v>36.5</v>
      </c>
      <c r="BQ18">
        <f t="shared" si="53"/>
        <v>36.5</v>
      </c>
      <c r="BR18">
        <f t="shared" si="53"/>
        <v>36.5</v>
      </c>
      <c r="BS18">
        <f t="shared" si="53"/>
        <v>36.5</v>
      </c>
      <c r="BT18">
        <f t="shared" si="53"/>
        <v>36.5</v>
      </c>
    </row>
    <row r="19" spans="1:72" x14ac:dyDescent="0.25">
      <c r="A19" s="1" t="s">
        <v>18</v>
      </c>
      <c r="B19">
        <v>0</v>
      </c>
      <c r="C19">
        <f t="shared" ref="C19:AH19" si="54">B19</f>
        <v>0</v>
      </c>
      <c r="D19">
        <f t="shared" si="54"/>
        <v>0</v>
      </c>
      <c r="E19">
        <f t="shared" si="54"/>
        <v>0</v>
      </c>
      <c r="F19">
        <f t="shared" si="54"/>
        <v>0</v>
      </c>
      <c r="G19">
        <f t="shared" si="54"/>
        <v>0</v>
      </c>
      <c r="H19">
        <f t="shared" si="54"/>
        <v>0</v>
      </c>
      <c r="I19">
        <f t="shared" si="54"/>
        <v>0</v>
      </c>
      <c r="J19">
        <f t="shared" si="54"/>
        <v>0</v>
      </c>
      <c r="K19">
        <f t="shared" si="54"/>
        <v>0</v>
      </c>
      <c r="L19">
        <f t="shared" si="54"/>
        <v>0</v>
      </c>
      <c r="M19">
        <f t="shared" si="54"/>
        <v>0</v>
      </c>
      <c r="N19">
        <f t="shared" si="54"/>
        <v>0</v>
      </c>
      <c r="O19">
        <f t="shared" si="54"/>
        <v>0</v>
      </c>
      <c r="P19">
        <f t="shared" si="54"/>
        <v>0</v>
      </c>
      <c r="Q19">
        <f t="shared" si="54"/>
        <v>0</v>
      </c>
      <c r="R19">
        <f t="shared" si="54"/>
        <v>0</v>
      </c>
      <c r="S19">
        <f t="shared" si="54"/>
        <v>0</v>
      </c>
      <c r="T19">
        <f t="shared" si="54"/>
        <v>0</v>
      </c>
      <c r="U19">
        <f t="shared" si="54"/>
        <v>0</v>
      </c>
      <c r="V19">
        <f t="shared" si="54"/>
        <v>0</v>
      </c>
      <c r="W19">
        <f t="shared" si="54"/>
        <v>0</v>
      </c>
      <c r="X19">
        <f t="shared" si="54"/>
        <v>0</v>
      </c>
      <c r="Y19">
        <f t="shared" si="54"/>
        <v>0</v>
      </c>
      <c r="Z19">
        <f t="shared" si="54"/>
        <v>0</v>
      </c>
      <c r="AA19">
        <f t="shared" si="54"/>
        <v>0</v>
      </c>
      <c r="AB19">
        <f t="shared" si="54"/>
        <v>0</v>
      </c>
      <c r="AC19">
        <f t="shared" si="54"/>
        <v>0</v>
      </c>
      <c r="AD19">
        <f t="shared" si="54"/>
        <v>0</v>
      </c>
      <c r="AE19">
        <f t="shared" si="54"/>
        <v>0</v>
      </c>
      <c r="AF19">
        <f t="shared" si="54"/>
        <v>0</v>
      </c>
      <c r="AG19">
        <f t="shared" si="54"/>
        <v>0</v>
      </c>
      <c r="AH19">
        <f t="shared" si="54"/>
        <v>0</v>
      </c>
      <c r="AI19">
        <f t="shared" ref="AI19:BN19" si="55">AH19</f>
        <v>0</v>
      </c>
      <c r="AJ19">
        <f t="shared" si="55"/>
        <v>0</v>
      </c>
      <c r="AK19">
        <f t="shared" si="55"/>
        <v>0</v>
      </c>
      <c r="AL19">
        <f t="shared" si="55"/>
        <v>0</v>
      </c>
      <c r="AM19">
        <f t="shared" si="55"/>
        <v>0</v>
      </c>
      <c r="AN19">
        <f t="shared" si="55"/>
        <v>0</v>
      </c>
      <c r="AO19">
        <f t="shared" si="55"/>
        <v>0</v>
      </c>
      <c r="AP19">
        <f t="shared" si="55"/>
        <v>0</v>
      </c>
      <c r="AQ19">
        <f t="shared" si="55"/>
        <v>0</v>
      </c>
      <c r="AR19">
        <f t="shared" si="55"/>
        <v>0</v>
      </c>
      <c r="AS19">
        <f t="shared" si="55"/>
        <v>0</v>
      </c>
      <c r="AT19">
        <f t="shared" si="55"/>
        <v>0</v>
      </c>
      <c r="AU19">
        <f t="shared" si="55"/>
        <v>0</v>
      </c>
      <c r="AV19">
        <f t="shared" si="55"/>
        <v>0</v>
      </c>
      <c r="AW19">
        <f t="shared" si="55"/>
        <v>0</v>
      </c>
      <c r="AX19">
        <f t="shared" si="55"/>
        <v>0</v>
      </c>
      <c r="AY19">
        <f t="shared" si="55"/>
        <v>0</v>
      </c>
      <c r="AZ19">
        <f t="shared" si="55"/>
        <v>0</v>
      </c>
      <c r="BA19">
        <f t="shared" si="55"/>
        <v>0</v>
      </c>
      <c r="BB19">
        <f t="shared" si="55"/>
        <v>0</v>
      </c>
      <c r="BC19">
        <f t="shared" si="55"/>
        <v>0</v>
      </c>
      <c r="BD19">
        <f t="shared" si="55"/>
        <v>0</v>
      </c>
      <c r="BE19">
        <f t="shared" si="55"/>
        <v>0</v>
      </c>
      <c r="BF19">
        <f t="shared" si="55"/>
        <v>0</v>
      </c>
      <c r="BG19">
        <f t="shared" si="55"/>
        <v>0</v>
      </c>
      <c r="BH19">
        <f t="shared" si="55"/>
        <v>0</v>
      </c>
      <c r="BI19">
        <f t="shared" si="55"/>
        <v>0</v>
      </c>
      <c r="BJ19">
        <f t="shared" si="55"/>
        <v>0</v>
      </c>
      <c r="BK19">
        <f t="shared" si="55"/>
        <v>0</v>
      </c>
      <c r="BL19">
        <f t="shared" si="55"/>
        <v>0</v>
      </c>
      <c r="BM19">
        <f t="shared" si="55"/>
        <v>0</v>
      </c>
      <c r="BN19">
        <f t="shared" si="55"/>
        <v>0</v>
      </c>
      <c r="BO19">
        <f t="shared" ref="BO19:BT19" si="56">BN19</f>
        <v>0</v>
      </c>
      <c r="BP19">
        <f t="shared" si="56"/>
        <v>0</v>
      </c>
      <c r="BQ19">
        <f t="shared" si="56"/>
        <v>0</v>
      </c>
      <c r="BR19">
        <f t="shared" si="56"/>
        <v>0</v>
      </c>
      <c r="BS19">
        <f t="shared" si="56"/>
        <v>0</v>
      </c>
      <c r="BT19">
        <f t="shared" si="56"/>
        <v>0</v>
      </c>
    </row>
    <row r="20" spans="1:72" x14ac:dyDescent="0.25">
      <c r="A20" s="1" t="s">
        <v>19</v>
      </c>
      <c r="B20">
        <v>0</v>
      </c>
      <c r="C20">
        <f t="shared" ref="C20:AH20" si="57">B20</f>
        <v>0</v>
      </c>
      <c r="D20">
        <f t="shared" si="57"/>
        <v>0</v>
      </c>
      <c r="E20">
        <f t="shared" si="57"/>
        <v>0</v>
      </c>
      <c r="F20">
        <f t="shared" si="57"/>
        <v>0</v>
      </c>
      <c r="G20">
        <f t="shared" si="57"/>
        <v>0</v>
      </c>
      <c r="H20">
        <f t="shared" si="57"/>
        <v>0</v>
      </c>
      <c r="I20">
        <f t="shared" si="57"/>
        <v>0</v>
      </c>
      <c r="J20">
        <f t="shared" si="57"/>
        <v>0</v>
      </c>
      <c r="K20">
        <f t="shared" si="57"/>
        <v>0</v>
      </c>
      <c r="L20">
        <f t="shared" si="57"/>
        <v>0</v>
      </c>
      <c r="M20">
        <f t="shared" si="57"/>
        <v>0</v>
      </c>
      <c r="N20">
        <f t="shared" si="57"/>
        <v>0</v>
      </c>
      <c r="O20">
        <f t="shared" si="57"/>
        <v>0</v>
      </c>
      <c r="P20">
        <f t="shared" si="57"/>
        <v>0</v>
      </c>
      <c r="Q20">
        <f t="shared" si="57"/>
        <v>0</v>
      </c>
      <c r="R20">
        <f t="shared" si="57"/>
        <v>0</v>
      </c>
      <c r="S20">
        <f t="shared" si="57"/>
        <v>0</v>
      </c>
      <c r="T20">
        <f t="shared" si="57"/>
        <v>0</v>
      </c>
      <c r="U20">
        <f t="shared" si="57"/>
        <v>0</v>
      </c>
      <c r="V20">
        <f t="shared" si="57"/>
        <v>0</v>
      </c>
      <c r="W20">
        <f t="shared" si="57"/>
        <v>0</v>
      </c>
      <c r="X20">
        <f t="shared" si="57"/>
        <v>0</v>
      </c>
      <c r="Y20">
        <f t="shared" si="57"/>
        <v>0</v>
      </c>
      <c r="Z20">
        <f t="shared" si="57"/>
        <v>0</v>
      </c>
      <c r="AA20">
        <f t="shared" si="57"/>
        <v>0</v>
      </c>
      <c r="AB20">
        <f t="shared" si="57"/>
        <v>0</v>
      </c>
      <c r="AC20">
        <f t="shared" si="57"/>
        <v>0</v>
      </c>
      <c r="AD20">
        <f t="shared" si="57"/>
        <v>0</v>
      </c>
      <c r="AE20">
        <f t="shared" si="57"/>
        <v>0</v>
      </c>
      <c r="AF20">
        <f t="shared" si="57"/>
        <v>0</v>
      </c>
      <c r="AG20">
        <f t="shared" si="57"/>
        <v>0</v>
      </c>
      <c r="AH20">
        <f t="shared" si="57"/>
        <v>0</v>
      </c>
      <c r="AI20">
        <f t="shared" ref="AI20:BN20" si="58">AH20</f>
        <v>0</v>
      </c>
      <c r="AJ20">
        <f t="shared" si="58"/>
        <v>0</v>
      </c>
      <c r="AK20">
        <f t="shared" si="58"/>
        <v>0</v>
      </c>
      <c r="AL20">
        <f t="shared" si="58"/>
        <v>0</v>
      </c>
      <c r="AM20">
        <f t="shared" si="58"/>
        <v>0</v>
      </c>
      <c r="AN20">
        <f t="shared" si="58"/>
        <v>0</v>
      </c>
      <c r="AO20">
        <f t="shared" si="58"/>
        <v>0</v>
      </c>
      <c r="AP20">
        <f t="shared" si="58"/>
        <v>0</v>
      </c>
      <c r="AQ20">
        <f t="shared" si="58"/>
        <v>0</v>
      </c>
      <c r="AR20">
        <f t="shared" si="58"/>
        <v>0</v>
      </c>
      <c r="AS20">
        <f t="shared" si="58"/>
        <v>0</v>
      </c>
      <c r="AT20">
        <f t="shared" si="58"/>
        <v>0</v>
      </c>
      <c r="AU20">
        <f t="shared" si="58"/>
        <v>0</v>
      </c>
      <c r="AV20">
        <f t="shared" si="58"/>
        <v>0</v>
      </c>
      <c r="AW20">
        <f t="shared" si="58"/>
        <v>0</v>
      </c>
      <c r="AX20">
        <f t="shared" si="58"/>
        <v>0</v>
      </c>
      <c r="AY20">
        <f t="shared" si="58"/>
        <v>0</v>
      </c>
      <c r="AZ20">
        <f t="shared" si="58"/>
        <v>0</v>
      </c>
      <c r="BA20">
        <f t="shared" si="58"/>
        <v>0</v>
      </c>
      <c r="BB20">
        <f t="shared" si="58"/>
        <v>0</v>
      </c>
      <c r="BC20">
        <f t="shared" si="58"/>
        <v>0</v>
      </c>
      <c r="BD20">
        <f t="shared" si="58"/>
        <v>0</v>
      </c>
      <c r="BE20">
        <f t="shared" si="58"/>
        <v>0</v>
      </c>
      <c r="BF20">
        <f t="shared" si="58"/>
        <v>0</v>
      </c>
      <c r="BG20">
        <f t="shared" si="58"/>
        <v>0</v>
      </c>
      <c r="BH20">
        <f t="shared" si="58"/>
        <v>0</v>
      </c>
      <c r="BI20">
        <f t="shared" si="58"/>
        <v>0</v>
      </c>
      <c r="BJ20">
        <f t="shared" si="58"/>
        <v>0</v>
      </c>
      <c r="BK20">
        <f t="shared" si="58"/>
        <v>0</v>
      </c>
      <c r="BL20">
        <f t="shared" si="58"/>
        <v>0</v>
      </c>
      <c r="BM20">
        <f t="shared" si="58"/>
        <v>0</v>
      </c>
      <c r="BN20">
        <f t="shared" si="58"/>
        <v>0</v>
      </c>
      <c r="BO20">
        <f t="shared" ref="BO20:BT20" si="59">BN20</f>
        <v>0</v>
      </c>
      <c r="BP20">
        <f t="shared" si="59"/>
        <v>0</v>
      </c>
      <c r="BQ20">
        <f t="shared" si="59"/>
        <v>0</v>
      </c>
      <c r="BR20">
        <f t="shared" si="59"/>
        <v>0</v>
      </c>
      <c r="BS20">
        <f t="shared" si="59"/>
        <v>0</v>
      </c>
      <c r="BT20">
        <f t="shared" si="59"/>
        <v>0</v>
      </c>
    </row>
    <row r="21" spans="1:72" x14ac:dyDescent="0.25">
      <c r="A21" s="1" t="s">
        <v>20</v>
      </c>
      <c r="B21">
        <v>0</v>
      </c>
      <c r="C21">
        <f t="shared" ref="C21:AH21" si="60">B21</f>
        <v>0</v>
      </c>
      <c r="D21">
        <f t="shared" si="60"/>
        <v>0</v>
      </c>
      <c r="E21">
        <f t="shared" si="60"/>
        <v>0</v>
      </c>
      <c r="F21">
        <f t="shared" si="60"/>
        <v>0</v>
      </c>
      <c r="G21">
        <f t="shared" si="60"/>
        <v>0</v>
      </c>
      <c r="H21">
        <f t="shared" si="60"/>
        <v>0</v>
      </c>
      <c r="I21">
        <f t="shared" si="60"/>
        <v>0</v>
      </c>
      <c r="J21">
        <f t="shared" si="60"/>
        <v>0</v>
      </c>
      <c r="K21">
        <f t="shared" si="60"/>
        <v>0</v>
      </c>
      <c r="L21">
        <f t="shared" si="60"/>
        <v>0</v>
      </c>
      <c r="M21">
        <f t="shared" si="60"/>
        <v>0</v>
      </c>
      <c r="N21">
        <f t="shared" si="60"/>
        <v>0</v>
      </c>
      <c r="O21">
        <f t="shared" si="60"/>
        <v>0</v>
      </c>
      <c r="P21">
        <f t="shared" si="60"/>
        <v>0</v>
      </c>
      <c r="Q21">
        <f t="shared" si="60"/>
        <v>0</v>
      </c>
      <c r="R21">
        <f t="shared" si="60"/>
        <v>0</v>
      </c>
      <c r="S21">
        <f t="shared" si="60"/>
        <v>0</v>
      </c>
      <c r="T21">
        <f t="shared" si="60"/>
        <v>0</v>
      </c>
      <c r="U21">
        <f t="shared" si="60"/>
        <v>0</v>
      </c>
      <c r="V21">
        <f t="shared" si="60"/>
        <v>0</v>
      </c>
      <c r="W21">
        <f t="shared" si="60"/>
        <v>0</v>
      </c>
      <c r="X21">
        <f t="shared" si="60"/>
        <v>0</v>
      </c>
      <c r="Y21">
        <f t="shared" si="60"/>
        <v>0</v>
      </c>
      <c r="Z21">
        <f t="shared" si="60"/>
        <v>0</v>
      </c>
      <c r="AA21">
        <f t="shared" si="60"/>
        <v>0</v>
      </c>
      <c r="AB21">
        <f t="shared" si="60"/>
        <v>0</v>
      </c>
      <c r="AC21">
        <f t="shared" si="60"/>
        <v>0</v>
      </c>
      <c r="AD21">
        <f t="shared" si="60"/>
        <v>0</v>
      </c>
      <c r="AE21">
        <f t="shared" si="60"/>
        <v>0</v>
      </c>
      <c r="AF21">
        <f t="shared" si="60"/>
        <v>0</v>
      </c>
      <c r="AG21">
        <f t="shared" si="60"/>
        <v>0</v>
      </c>
      <c r="AH21">
        <f t="shared" si="60"/>
        <v>0</v>
      </c>
      <c r="AI21">
        <f t="shared" ref="AI21:BN21" si="61">AH21</f>
        <v>0</v>
      </c>
      <c r="AJ21">
        <f t="shared" si="61"/>
        <v>0</v>
      </c>
      <c r="AK21">
        <f t="shared" si="61"/>
        <v>0</v>
      </c>
      <c r="AL21">
        <f t="shared" si="61"/>
        <v>0</v>
      </c>
      <c r="AM21">
        <f t="shared" si="61"/>
        <v>0</v>
      </c>
      <c r="AN21">
        <f t="shared" si="61"/>
        <v>0</v>
      </c>
      <c r="AO21">
        <f t="shared" si="61"/>
        <v>0</v>
      </c>
      <c r="AP21">
        <f t="shared" si="61"/>
        <v>0</v>
      </c>
      <c r="AQ21">
        <f t="shared" si="61"/>
        <v>0</v>
      </c>
      <c r="AR21">
        <f t="shared" si="61"/>
        <v>0</v>
      </c>
      <c r="AS21">
        <f t="shared" si="61"/>
        <v>0</v>
      </c>
      <c r="AT21">
        <f t="shared" si="61"/>
        <v>0</v>
      </c>
      <c r="AU21">
        <f t="shared" si="61"/>
        <v>0</v>
      </c>
      <c r="AV21">
        <f t="shared" si="61"/>
        <v>0</v>
      </c>
      <c r="AW21">
        <f t="shared" si="61"/>
        <v>0</v>
      </c>
      <c r="AX21">
        <f t="shared" si="61"/>
        <v>0</v>
      </c>
      <c r="AY21">
        <f t="shared" si="61"/>
        <v>0</v>
      </c>
      <c r="AZ21">
        <f t="shared" si="61"/>
        <v>0</v>
      </c>
      <c r="BA21">
        <f t="shared" si="61"/>
        <v>0</v>
      </c>
      <c r="BB21">
        <f t="shared" si="61"/>
        <v>0</v>
      </c>
      <c r="BC21">
        <f t="shared" si="61"/>
        <v>0</v>
      </c>
      <c r="BD21">
        <f t="shared" si="61"/>
        <v>0</v>
      </c>
      <c r="BE21">
        <f t="shared" si="61"/>
        <v>0</v>
      </c>
      <c r="BF21">
        <f t="shared" si="61"/>
        <v>0</v>
      </c>
      <c r="BG21">
        <f t="shared" si="61"/>
        <v>0</v>
      </c>
      <c r="BH21">
        <f t="shared" si="61"/>
        <v>0</v>
      </c>
      <c r="BI21">
        <f t="shared" si="61"/>
        <v>0</v>
      </c>
      <c r="BJ21">
        <f t="shared" si="61"/>
        <v>0</v>
      </c>
      <c r="BK21">
        <f t="shared" si="61"/>
        <v>0</v>
      </c>
      <c r="BL21">
        <f t="shared" si="61"/>
        <v>0</v>
      </c>
      <c r="BM21">
        <f t="shared" si="61"/>
        <v>0</v>
      </c>
      <c r="BN21">
        <f t="shared" si="61"/>
        <v>0</v>
      </c>
      <c r="BO21">
        <f t="shared" ref="BO21:BT21" si="62">BN21</f>
        <v>0</v>
      </c>
      <c r="BP21">
        <f t="shared" si="62"/>
        <v>0</v>
      </c>
      <c r="BQ21">
        <f t="shared" si="62"/>
        <v>0</v>
      </c>
      <c r="BR21">
        <f t="shared" si="62"/>
        <v>0</v>
      </c>
      <c r="BS21">
        <f t="shared" si="62"/>
        <v>0</v>
      </c>
      <c r="BT21">
        <f t="shared" si="62"/>
        <v>0</v>
      </c>
    </row>
    <row r="22" spans="1:72" x14ac:dyDescent="0.25">
      <c r="A22" s="1" t="s">
        <v>21</v>
      </c>
      <c r="B22">
        <v>60.19</v>
      </c>
      <c r="C22">
        <f t="shared" ref="C22:AH22" si="63">B22</f>
        <v>60.19</v>
      </c>
      <c r="D22">
        <f t="shared" si="63"/>
        <v>60.19</v>
      </c>
      <c r="E22">
        <f t="shared" si="63"/>
        <v>60.19</v>
      </c>
      <c r="F22">
        <f t="shared" si="63"/>
        <v>60.19</v>
      </c>
      <c r="G22">
        <f t="shared" si="63"/>
        <v>60.19</v>
      </c>
      <c r="H22">
        <f t="shared" si="63"/>
        <v>60.19</v>
      </c>
      <c r="I22">
        <f t="shared" si="63"/>
        <v>60.19</v>
      </c>
      <c r="J22">
        <f t="shared" si="63"/>
        <v>60.19</v>
      </c>
      <c r="K22">
        <f t="shared" si="63"/>
        <v>60.19</v>
      </c>
      <c r="L22">
        <f t="shared" si="63"/>
        <v>60.19</v>
      </c>
      <c r="M22">
        <f t="shared" si="63"/>
        <v>60.19</v>
      </c>
      <c r="N22">
        <f t="shared" si="63"/>
        <v>60.19</v>
      </c>
      <c r="O22">
        <f t="shared" si="63"/>
        <v>60.19</v>
      </c>
      <c r="P22">
        <f t="shared" si="63"/>
        <v>60.19</v>
      </c>
      <c r="Q22">
        <f t="shared" si="63"/>
        <v>60.19</v>
      </c>
      <c r="R22">
        <f t="shared" si="63"/>
        <v>60.19</v>
      </c>
      <c r="S22">
        <f t="shared" si="63"/>
        <v>60.19</v>
      </c>
      <c r="T22">
        <f t="shared" si="63"/>
        <v>60.19</v>
      </c>
      <c r="U22">
        <f t="shared" si="63"/>
        <v>60.19</v>
      </c>
      <c r="V22">
        <f t="shared" si="63"/>
        <v>60.19</v>
      </c>
      <c r="W22">
        <f t="shared" si="63"/>
        <v>60.19</v>
      </c>
      <c r="X22">
        <f t="shared" si="63"/>
        <v>60.19</v>
      </c>
      <c r="Y22">
        <f t="shared" si="63"/>
        <v>60.19</v>
      </c>
      <c r="Z22">
        <f t="shared" si="63"/>
        <v>60.19</v>
      </c>
      <c r="AA22">
        <f t="shared" si="63"/>
        <v>60.19</v>
      </c>
      <c r="AB22">
        <f t="shared" si="63"/>
        <v>60.19</v>
      </c>
      <c r="AC22">
        <f t="shared" si="63"/>
        <v>60.19</v>
      </c>
      <c r="AD22">
        <f t="shared" si="63"/>
        <v>60.19</v>
      </c>
      <c r="AE22">
        <f t="shared" si="63"/>
        <v>60.19</v>
      </c>
      <c r="AF22">
        <f t="shared" si="63"/>
        <v>60.19</v>
      </c>
      <c r="AG22">
        <f t="shared" si="63"/>
        <v>60.19</v>
      </c>
      <c r="AH22">
        <f t="shared" si="63"/>
        <v>60.19</v>
      </c>
      <c r="AI22">
        <f t="shared" ref="AI22:BN22" si="64">AH22</f>
        <v>60.19</v>
      </c>
      <c r="AJ22">
        <f t="shared" si="64"/>
        <v>60.19</v>
      </c>
      <c r="AK22">
        <f t="shared" si="64"/>
        <v>60.19</v>
      </c>
      <c r="AL22">
        <f t="shared" si="64"/>
        <v>60.19</v>
      </c>
      <c r="AM22">
        <f t="shared" si="64"/>
        <v>60.19</v>
      </c>
      <c r="AN22">
        <f t="shared" si="64"/>
        <v>60.19</v>
      </c>
      <c r="AO22">
        <f t="shared" si="64"/>
        <v>60.19</v>
      </c>
      <c r="AP22">
        <f t="shared" si="64"/>
        <v>60.19</v>
      </c>
      <c r="AQ22">
        <f t="shared" si="64"/>
        <v>60.19</v>
      </c>
      <c r="AR22">
        <f t="shared" si="64"/>
        <v>60.19</v>
      </c>
      <c r="AS22">
        <f t="shared" si="64"/>
        <v>60.19</v>
      </c>
      <c r="AT22">
        <f t="shared" si="64"/>
        <v>60.19</v>
      </c>
      <c r="AU22">
        <f t="shared" si="64"/>
        <v>60.19</v>
      </c>
      <c r="AV22">
        <f t="shared" si="64"/>
        <v>60.19</v>
      </c>
      <c r="AW22">
        <f t="shared" si="64"/>
        <v>60.19</v>
      </c>
      <c r="AX22">
        <f t="shared" si="64"/>
        <v>60.19</v>
      </c>
      <c r="AY22">
        <f t="shared" si="64"/>
        <v>60.19</v>
      </c>
      <c r="AZ22">
        <f t="shared" si="64"/>
        <v>60.19</v>
      </c>
      <c r="BA22">
        <f t="shared" si="64"/>
        <v>60.19</v>
      </c>
      <c r="BB22">
        <f t="shared" si="64"/>
        <v>60.19</v>
      </c>
      <c r="BC22">
        <f t="shared" si="64"/>
        <v>60.19</v>
      </c>
      <c r="BD22">
        <f t="shared" si="64"/>
        <v>60.19</v>
      </c>
      <c r="BE22">
        <f t="shared" si="64"/>
        <v>60.19</v>
      </c>
      <c r="BF22">
        <f t="shared" si="64"/>
        <v>60.19</v>
      </c>
      <c r="BG22">
        <f t="shared" si="64"/>
        <v>60.19</v>
      </c>
      <c r="BH22">
        <f t="shared" si="64"/>
        <v>60.19</v>
      </c>
      <c r="BI22">
        <f t="shared" si="64"/>
        <v>60.19</v>
      </c>
      <c r="BJ22">
        <f t="shared" si="64"/>
        <v>60.19</v>
      </c>
      <c r="BK22">
        <f t="shared" si="64"/>
        <v>60.19</v>
      </c>
      <c r="BL22">
        <f t="shared" si="64"/>
        <v>60.19</v>
      </c>
      <c r="BM22">
        <f t="shared" si="64"/>
        <v>60.19</v>
      </c>
      <c r="BN22">
        <f t="shared" si="64"/>
        <v>60.19</v>
      </c>
      <c r="BO22">
        <f t="shared" ref="BO22:BT22" si="65">BN22</f>
        <v>60.19</v>
      </c>
      <c r="BP22">
        <f t="shared" si="65"/>
        <v>60.19</v>
      </c>
      <c r="BQ22">
        <f t="shared" si="65"/>
        <v>60.19</v>
      </c>
      <c r="BR22">
        <f t="shared" si="65"/>
        <v>60.19</v>
      </c>
      <c r="BS22">
        <f t="shared" si="65"/>
        <v>60.19</v>
      </c>
      <c r="BT22">
        <f t="shared" si="65"/>
        <v>60.19</v>
      </c>
    </row>
    <row r="23" spans="1:72" x14ac:dyDescent="0.25">
      <c r="A23" s="1" t="s">
        <v>22</v>
      </c>
      <c r="B23">
        <v>0</v>
      </c>
      <c r="C23">
        <f t="shared" ref="C23:AH23" si="66">B23</f>
        <v>0</v>
      </c>
      <c r="D23">
        <f t="shared" si="66"/>
        <v>0</v>
      </c>
      <c r="E23">
        <f t="shared" si="66"/>
        <v>0</v>
      </c>
      <c r="F23">
        <f t="shared" si="66"/>
        <v>0</v>
      </c>
      <c r="G23">
        <f t="shared" si="66"/>
        <v>0</v>
      </c>
      <c r="H23">
        <f t="shared" si="66"/>
        <v>0</v>
      </c>
      <c r="I23">
        <f t="shared" si="66"/>
        <v>0</v>
      </c>
      <c r="J23">
        <f t="shared" si="66"/>
        <v>0</v>
      </c>
      <c r="K23">
        <f t="shared" si="66"/>
        <v>0</v>
      </c>
      <c r="L23">
        <f t="shared" si="66"/>
        <v>0</v>
      </c>
      <c r="M23">
        <f t="shared" si="66"/>
        <v>0</v>
      </c>
      <c r="N23">
        <f t="shared" si="66"/>
        <v>0</v>
      </c>
      <c r="O23">
        <f t="shared" si="66"/>
        <v>0</v>
      </c>
      <c r="P23">
        <f t="shared" si="66"/>
        <v>0</v>
      </c>
      <c r="Q23">
        <f t="shared" si="66"/>
        <v>0</v>
      </c>
      <c r="R23">
        <f t="shared" si="66"/>
        <v>0</v>
      </c>
      <c r="S23">
        <f t="shared" si="66"/>
        <v>0</v>
      </c>
      <c r="T23">
        <f t="shared" si="66"/>
        <v>0</v>
      </c>
      <c r="U23">
        <f t="shared" si="66"/>
        <v>0</v>
      </c>
      <c r="V23">
        <f t="shared" si="66"/>
        <v>0</v>
      </c>
      <c r="W23">
        <f t="shared" si="66"/>
        <v>0</v>
      </c>
      <c r="X23">
        <f t="shared" si="66"/>
        <v>0</v>
      </c>
      <c r="Y23">
        <f t="shared" si="66"/>
        <v>0</v>
      </c>
      <c r="Z23">
        <f t="shared" si="66"/>
        <v>0</v>
      </c>
      <c r="AA23">
        <f t="shared" si="66"/>
        <v>0</v>
      </c>
      <c r="AB23">
        <f t="shared" si="66"/>
        <v>0</v>
      </c>
      <c r="AC23">
        <f t="shared" si="66"/>
        <v>0</v>
      </c>
      <c r="AD23">
        <f t="shared" si="66"/>
        <v>0</v>
      </c>
      <c r="AE23">
        <f t="shared" si="66"/>
        <v>0</v>
      </c>
      <c r="AF23">
        <f t="shared" si="66"/>
        <v>0</v>
      </c>
      <c r="AG23">
        <f t="shared" si="66"/>
        <v>0</v>
      </c>
      <c r="AH23">
        <f t="shared" si="66"/>
        <v>0</v>
      </c>
      <c r="AI23">
        <f t="shared" ref="AI23:BN23" si="67">AH23</f>
        <v>0</v>
      </c>
      <c r="AJ23">
        <f t="shared" si="67"/>
        <v>0</v>
      </c>
      <c r="AK23">
        <f t="shared" si="67"/>
        <v>0</v>
      </c>
      <c r="AL23">
        <f t="shared" si="67"/>
        <v>0</v>
      </c>
      <c r="AM23">
        <f t="shared" si="67"/>
        <v>0</v>
      </c>
      <c r="AN23">
        <f t="shared" si="67"/>
        <v>0</v>
      </c>
      <c r="AO23">
        <f t="shared" si="67"/>
        <v>0</v>
      </c>
      <c r="AP23">
        <f t="shared" si="67"/>
        <v>0</v>
      </c>
      <c r="AQ23">
        <f t="shared" si="67"/>
        <v>0</v>
      </c>
      <c r="AR23">
        <f t="shared" si="67"/>
        <v>0</v>
      </c>
      <c r="AS23">
        <f t="shared" si="67"/>
        <v>0</v>
      </c>
      <c r="AT23">
        <f t="shared" si="67"/>
        <v>0</v>
      </c>
      <c r="AU23">
        <f t="shared" si="67"/>
        <v>0</v>
      </c>
      <c r="AV23">
        <f t="shared" si="67"/>
        <v>0</v>
      </c>
      <c r="AW23">
        <f t="shared" si="67"/>
        <v>0</v>
      </c>
      <c r="AX23">
        <f t="shared" si="67"/>
        <v>0</v>
      </c>
      <c r="AY23">
        <f t="shared" si="67"/>
        <v>0</v>
      </c>
      <c r="AZ23">
        <f t="shared" si="67"/>
        <v>0</v>
      </c>
      <c r="BA23">
        <f t="shared" si="67"/>
        <v>0</v>
      </c>
      <c r="BB23">
        <f t="shared" si="67"/>
        <v>0</v>
      </c>
      <c r="BC23">
        <f t="shared" si="67"/>
        <v>0</v>
      </c>
      <c r="BD23">
        <f t="shared" si="67"/>
        <v>0</v>
      </c>
      <c r="BE23">
        <f t="shared" si="67"/>
        <v>0</v>
      </c>
      <c r="BF23">
        <f t="shared" si="67"/>
        <v>0</v>
      </c>
      <c r="BG23">
        <f t="shared" si="67"/>
        <v>0</v>
      </c>
      <c r="BH23">
        <f t="shared" si="67"/>
        <v>0</v>
      </c>
      <c r="BI23">
        <f t="shared" si="67"/>
        <v>0</v>
      </c>
      <c r="BJ23">
        <f t="shared" si="67"/>
        <v>0</v>
      </c>
      <c r="BK23">
        <f t="shared" si="67"/>
        <v>0</v>
      </c>
      <c r="BL23">
        <f t="shared" si="67"/>
        <v>0</v>
      </c>
      <c r="BM23">
        <f t="shared" si="67"/>
        <v>0</v>
      </c>
      <c r="BN23">
        <f t="shared" si="67"/>
        <v>0</v>
      </c>
      <c r="BO23">
        <f t="shared" ref="BO23:BT23" si="68">BN23</f>
        <v>0</v>
      </c>
      <c r="BP23">
        <f t="shared" si="68"/>
        <v>0</v>
      </c>
      <c r="BQ23">
        <f t="shared" si="68"/>
        <v>0</v>
      </c>
      <c r="BR23">
        <f t="shared" si="68"/>
        <v>0</v>
      </c>
      <c r="BS23">
        <f t="shared" si="68"/>
        <v>0</v>
      </c>
      <c r="BT23">
        <f t="shared" si="68"/>
        <v>0</v>
      </c>
    </row>
    <row r="24" spans="1:72" x14ac:dyDescent="0.25">
      <c r="A24" s="1" t="s">
        <v>23</v>
      </c>
      <c r="B24">
        <v>1.9</v>
      </c>
      <c r="C24">
        <f t="shared" ref="C24:AH24" si="69">B24</f>
        <v>1.9</v>
      </c>
      <c r="D24">
        <f t="shared" si="69"/>
        <v>1.9</v>
      </c>
      <c r="E24">
        <f t="shared" si="69"/>
        <v>1.9</v>
      </c>
      <c r="F24">
        <f t="shared" si="69"/>
        <v>1.9</v>
      </c>
      <c r="G24">
        <f t="shared" si="69"/>
        <v>1.9</v>
      </c>
      <c r="H24">
        <f t="shared" si="69"/>
        <v>1.9</v>
      </c>
      <c r="I24">
        <f t="shared" si="69"/>
        <v>1.9</v>
      </c>
      <c r="J24">
        <f t="shared" si="69"/>
        <v>1.9</v>
      </c>
      <c r="K24">
        <f t="shared" si="69"/>
        <v>1.9</v>
      </c>
      <c r="L24">
        <f t="shared" si="69"/>
        <v>1.9</v>
      </c>
      <c r="M24">
        <f t="shared" si="69"/>
        <v>1.9</v>
      </c>
      <c r="N24">
        <f t="shared" si="69"/>
        <v>1.9</v>
      </c>
      <c r="O24">
        <f t="shared" si="69"/>
        <v>1.9</v>
      </c>
      <c r="P24">
        <f t="shared" si="69"/>
        <v>1.9</v>
      </c>
      <c r="Q24">
        <f t="shared" si="69"/>
        <v>1.9</v>
      </c>
      <c r="R24">
        <f t="shared" si="69"/>
        <v>1.9</v>
      </c>
      <c r="S24">
        <f t="shared" si="69"/>
        <v>1.9</v>
      </c>
      <c r="T24">
        <f t="shared" si="69"/>
        <v>1.9</v>
      </c>
      <c r="U24">
        <f t="shared" si="69"/>
        <v>1.9</v>
      </c>
      <c r="V24">
        <f t="shared" si="69"/>
        <v>1.9</v>
      </c>
      <c r="W24">
        <f t="shared" si="69"/>
        <v>1.9</v>
      </c>
      <c r="X24">
        <f t="shared" si="69"/>
        <v>1.9</v>
      </c>
      <c r="Y24">
        <f t="shared" si="69"/>
        <v>1.9</v>
      </c>
      <c r="Z24">
        <f t="shared" si="69"/>
        <v>1.9</v>
      </c>
      <c r="AA24">
        <f t="shared" si="69"/>
        <v>1.9</v>
      </c>
      <c r="AB24">
        <f t="shared" si="69"/>
        <v>1.9</v>
      </c>
      <c r="AC24">
        <f t="shared" si="69"/>
        <v>1.9</v>
      </c>
      <c r="AD24">
        <f t="shared" si="69"/>
        <v>1.9</v>
      </c>
      <c r="AE24">
        <f t="shared" si="69"/>
        <v>1.9</v>
      </c>
      <c r="AF24">
        <f t="shared" si="69"/>
        <v>1.9</v>
      </c>
      <c r="AG24">
        <f t="shared" si="69"/>
        <v>1.9</v>
      </c>
      <c r="AH24">
        <f t="shared" si="69"/>
        <v>1.9</v>
      </c>
      <c r="AI24">
        <f t="shared" ref="AI24:BN24" si="70">AH24</f>
        <v>1.9</v>
      </c>
      <c r="AJ24">
        <f t="shared" si="70"/>
        <v>1.9</v>
      </c>
      <c r="AK24">
        <f t="shared" si="70"/>
        <v>1.9</v>
      </c>
      <c r="AL24">
        <f t="shared" si="70"/>
        <v>1.9</v>
      </c>
      <c r="AM24">
        <f t="shared" si="70"/>
        <v>1.9</v>
      </c>
      <c r="AN24">
        <f t="shared" si="70"/>
        <v>1.9</v>
      </c>
      <c r="AO24">
        <f t="shared" si="70"/>
        <v>1.9</v>
      </c>
      <c r="AP24">
        <f t="shared" si="70"/>
        <v>1.9</v>
      </c>
      <c r="AQ24">
        <f t="shared" si="70"/>
        <v>1.9</v>
      </c>
      <c r="AR24">
        <f t="shared" si="70"/>
        <v>1.9</v>
      </c>
      <c r="AS24">
        <f t="shared" si="70"/>
        <v>1.9</v>
      </c>
      <c r="AT24">
        <f t="shared" si="70"/>
        <v>1.9</v>
      </c>
      <c r="AU24">
        <f t="shared" si="70"/>
        <v>1.9</v>
      </c>
      <c r="AV24">
        <f t="shared" si="70"/>
        <v>1.9</v>
      </c>
      <c r="AW24">
        <f t="shared" si="70"/>
        <v>1.9</v>
      </c>
      <c r="AX24">
        <f t="shared" si="70"/>
        <v>1.9</v>
      </c>
      <c r="AY24">
        <f t="shared" si="70"/>
        <v>1.9</v>
      </c>
      <c r="AZ24">
        <f t="shared" si="70"/>
        <v>1.9</v>
      </c>
      <c r="BA24">
        <f t="shared" si="70"/>
        <v>1.9</v>
      </c>
      <c r="BB24">
        <f t="shared" si="70"/>
        <v>1.9</v>
      </c>
      <c r="BC24">
        <f t="shared" si="70"/>
        <v>1.9</v>
      </c>
      <c r="BD24">
        <f t="shared" si="70"/>
        <v>1.9</v>
      </c>
      <c r="BE24">
        <f t="shared" si="70"/>
        <v>1.9</v>
      </c>
      <c r="BF24">
        <f t="shared" si="70"/>
        <v>1.9</v>
      </c>
      <c r="BG24">
        <f t="shared" si="70"/>
        <v>1.9</v>
      </c>
      <c r="BH24">
        <f t="shared" si="70"/>
        <v>1.9</v>
      </c>
      <c r="BI24">
        <f t="shared" si="70"/>
        <v>1.9</v>
      </c>
      <c r="BJ24">
        <f t="shared" si="70"/>
        <v>1.9</v>
      </c>
      <c r="BK24">
        <f t="shared" si="70"/>
        <v>1.9</v>
      </c>
      <c r="BL24">
        <f t="shared" si="70"/>
        <v>1.9</v>
      </c>
      <c r="BM24">
        <f t="shared" si="70"/>
        <v>1.9</v>
      </c>
      <c r="BN24">
        <f t="shared" si="70"/>
        <v>1.9</v>
      </c>
      <c r="BO24">
        <f t="shared" ref="BO24:BT24" si="71">BN24</f>
        <v>1.9</v>
      </c>
      <c r="BP24">
        <f t="shared" si="71"/>
        <v>1.9</v>
      </c>
      <c r="BQ24">
        <f t="shared" si="71"/>
        <v>1.9</v>
      </c>
      <c r="BR24">
        <f t="shared" si="71"/>
        <v>1.9</v>
      </c>
      <c r="BS24">
        <f t="shared" si="71"/>
        <v>1.9</v>
      </c>
      <c r="BT24">
        <f t="shared" si="71"/>
        <v>1.9</v>
      </c>
    </row>
    <row r="25" spans="1:72" x14ac:dyDescent="0.25">
      <c r="A25" s="1" t="s">
        <v>24</v>
      </c>
      <c r="B25">
        <v>0</v>
      </c>
      <c r="C25">
        <f t="shared" ref="C25:AH25" si="72">B25</f>
        <v>0</v>
      </c>
      <c r="D25">
        <f t="shared" si="72"/>
        <v>0</v>
      </c>
      <c r="E25">
        <f t="shared" si="72"/>
        <v>0</v>
      </c>
      <c r="F25">
        <f t="shared" si="72"/>
        <v>0</v>
      </c>
      <c r="G25">
        <f t="shared" si="72"/>
        <v>0</v>
      </c>
      <c r="H25">
        <f t="shared" si="72"/>
        <v>0</v>
      </c>
      <c r="I25">
        <f t="shared" si="72"/>
        <v>0</v>
      </c>
      <c r="J25">
        <f t="shared" si="72"/>
        <v>0</v>
      </c>
      <c r="K25">
        <f t="shared" si="72"/>
        <v>0</v>
      </c>
      <c r="L25">
        <f t="shared" si="72"/>
        <v>0</v>
      </c>
      <c r="M25">
        <f t="shared" si="72"/>
        <v>0</v>
      </c>
      <c r="N25">
        <f t="shared" si="72"/>
        <v>0</v>
      </c>
      <c r="O25">
        <f t="shared" si="72"/>
        <v>0</v>
      </c>
      <c r="P25">
        <f t="shared" si="72"/>
        <v>0</v>
      </c>
      <c r="Q25">
        <f t="shared" si="72"/>
        <v>0</v>
      </c>
      <c r="R25">
        <f t="shared" si="72"/>
        <v>0</v>
      </c>
      <c r="S25">
        <f t="shared" si="72"/>
        <v>0</v>
      </c>
      <c r="T25">
        <f t="shared" si="72"/>
        <v>0</v>
      </c>
      <c r="U25">
        <f t="shared" si="72"/>
        <v>0</v>
      </c>
      <c r="V25">
        <f t="shared" si="72"/>
        <v>0</v>
      </c>
      <c r="W25">
        <f t="shared" si="72"/>
        <v>0</v>
      </c>
      <c r="X25">
        <f t="shared" si="72"/>
        <v>0</v>
      </c>
      <c r="Y25">
        <f t="shared" si="72"/>
        <v>0</v>
      </c>
      <c r="Z25">
        <f t="shared" si="72"/>
        <v>0</v>
      </c>
      <c r="AA25">
        <f t="shared" si="72"/>
        <v>0</v>
      </c>
      <c r="AB25">
        <f t="shared" si="72"/>
        <v>0</v>
      </c>
      <c r="AC25">
        <f t="shared" si="72"/>
        <v>0</v>
      </c>
      <c r="AD25">
        <f t="shared" si="72"/>
        <v>0</v>
      </c>
      <c r="AE25">
        <f t="shared" si="72"/>
        <v>0</v>
      </c>
      <c r="AF25">
        <f t="shared" si="72"/>
        <v>0</v>
      </c>
      <c r="AG25">
        <f t="shared" si="72"/>
        <v>0</v>
      </c>
      <c r="AH25">
        <f t="shared" si="72"/>
        <v>0</v>
      </c>
      <c r="AI25">
        <f t="shared" ref="AI25:BN25" si="73">AH25</f>
        <v>0</v>
      </c>
      <c r="AJ25">
        <f t="shared" si="73"/>
        <v>0</v>
      </c>
      <c r="AK25">
        <f t="shared" si="73"/>
        <v>0</v>
      </c>
      <c r="AL25">
        <f t="shared" si="73"/>
        <v>0</v>
      </c>
      <c r="AM25">
        <f t="shared" si="73"/>
        <v>0</v>
      </c>
      <c r="AN25">
        <f t="shared" si="73"/>
        <v>0</v>
      </c>
      <c r="AO25">
        <f t="shared" si="73"/>
        <v>0</v>
      </c>
      <c r="AP25">
        <f t="shared" si="73"/>
        <v>0</v>
      </c>
      <c r="AQ25">
        <f t="shared" si="73"/>
        <v>0</v>
      </c>
      <c r="AR25">
        <f t="shared" si="73"/>
        <v>0</v>
      </c>
      <c r="AS25">
        <f t="shared" si="73"/>
        <v>0</v>
      </c>
      <c r="AT25">
        <f t="shared" si="73"/>
        <v>0</v>
      </c>
      <c r="AU25">
        <f t="shared" si="73"/>
        <v>0</v>
      </c>
      <c r="AV25">
        <f t="shared" si="73"/>
        <v>0</v>
      </c>
      <c r="AW25">
        <f t="shared" si="73"/>
        <v>0</v>
      </c>
      <c r="AX25">
        <f t="shared" si="73"/>
        <v>0</v>
      </c>
      <c r="AY25">
        <f t="shared" si="73"/>
        <v>0</v>
      </c>
      <c r="AZ25">
        <f t="shared" si="73"/>
        <v>0</v>
      </c>
      <c r="BA25">
        <f t="shared" si="73"/>
        <v>0</v>
      </c>
      <c r="BB25">
        <f t="shared" si="73"/>
        <v>0</v>
      </c>
      <c r="BC25">
        <f t="shared" si="73"/>
        <v>0</v>
      </c>
      <c r="BD25">
        <f t="shared" si="73"/>
        <v>0</v>
      </c>
      <c r="BE25">
        <f t="shared" si="73"/>
        <v>0</v>
      </c>
      <c r="BF25">
        <f t="shared" si="73"/>
        <v>0</v>
      </c>
      <c r="BG25">
        <f t="shared" si="73"/>
        <v>0</v>
      </c>
      <c r="BH25">
        <f t="shared" si="73"/>
        <v>0</v>
      </c>
      <c r="BI25">
        <f t="shared" si="73"/>
        <v>0</v>
      </c>
      <c r="BJ25">
        <f t="shared" si="73"/>
        <v>0</v>
      </c>
      <c r="BK25">
        <f t="shared" si="73"/>
        <v>0</v>
      </c>
      <c r="BL25">
        <f t="shared" si="73"/>
        <v>0</v>
      </c>
      <c r="BM25">
        <f t="shared" si="73"/>
        <v>0</v>
      </c>
      <c r="BN25">
        <f t="shared" si="73"/>
        <v>0</v>
      </c>
      <c r="BO25">
        <f t="shared" ref="BO25:BT25" si="74">BN25</f>
        <v>0</v>
      </c>
      <c r="BP25">
        <f t="shared" si="74"/>
        <v>0</v>
      </c>
      <c r="BQ25">
        <f t="shared" si="74"/>
        <v>0</v>
      </c>
      <c r="BR25">
        <f t="shared" si="74"/>
        <v>0</v>
      </c>
      <c r="BS25">
        <f t="shared" si="74"/>
        <v>0</v>
      </c>
      <c r="BT25">
        <f t="shared" si="74"/>
        <v>0</v>
      </c>
    </row>
    <row r="26" spans="1:72" x14ac:dyDescent="0.25">
      <c r="A26" s="1" t="s">
        <v>25</v>
      </c>
      <c r="B26">
        <v>4.3</v>
      </c>
      <c r="C26">
        <f t="shared" ref="C26:AH26" si="75">B26</f>
        <v>4.3</v>
      </c>
      <c r="D26">
        <f t="shared" si="75"/>
        <v>4.3</v>
      </c>
      <c r="E26">
        <f t="shared" si="75"/>
        <v>4.3</v>
      </c>
      <c r="F26">
        <f t="shared" si="75"/>
        <v>4.3</v>
      </c>
      <c r="G26">
        <f t="shared" si="75"/>
        <v>4.3</v>
      </c>
      <c r="H26">
        <f t="shared" si="75"/>
        <v>4.3</v>
      </c>
      <c r="I26">
        <f t="shared" si="75"/>
        <v>4.3</v>
      </c>
      <c r="J26">
        <f t="shared" si="75"/>
        <v>4.3</v>
      </c>
      <c r="K26">
        <f t="shared" si="75"/>
        <v>4.3</v>
      </c>
      <c r="L26">
        <f t="shared" si="75"/>
        <v>4.3</v>
      </c>
      <c r="M26">
        <f t="shared" si="75"/>
        <v>4.3</v>
      </c>
      <c r="N26">
        <f t="shared" si="75"/>
        <v>4.3</v>
      </c>
      <c r="O26">
        <f t="shared" si="75"/>
        <v>4.3</v>
      </c>
      <c r="P26">
        <f t="shared" si="75"/>
        <v>4.3</v>
      </c>
      <c r="Q26">
        <f t="shared" si="75"/>
        <v>4.3</v>
      </c>
      <c r="R26">
        <f t="shared" si="75"/>
        <v>4.3</v>
      </c>
      <c r="S26">
        <f t="shared" si="75"/>
        <v>4.3</v>
      </c>
      <c r="T26">
        <f t="shared" si="75"/>
        <v>4.3</v>
      </c>
      <c r="U26">
        <f t="shared" si="75"/>
        <v>4.3</v>
      </c>
      <c r="V26">
        <f t="shared" si="75"/>
        <v>4.3</v>
      </c>
      <c r="W26">
        <f t="shared" si="75"/>
        <v>4.3</v>
      </c>
      <c r="X26">
        <f t="shared" si="75"/>
        <v>4.3</v>
      </c>
      <c r="Y26">
        <f t="shared" si="75"/>
        <v>4.3</v>
      </c>
      <c r="Z26">
        <f t="shared" si="75"/>
        <v>4.3</v>
      </c>
      <c r="AA26">
        <f t="shared" si="75"/>
        <v>4.3</v>
      </c>
      <c r="AB26">
        <f t="shared" si="75"/>
        <v>4.3</v>
      </c>
      <c r="AC26">
        <f t="shared" si="75"/>
        <v>4.3</v>
      </c>
      <c r="AD26">
        <f t="shared" si="75"/>
        <v>4.3</v>
      </c>
      <c r="AE26">
        <f t="shared" si="75"/>
        <v>4.3</v>
      </c>
      <c r="AF26">
        <f t="shared" si="75"/>
        <v>4.3</v>
      </c>
      <c r="AG26">
        <f t="shared" si="75"/>
        <v>4.3</v>
      </c>
      <c r="AH26">
        <f t="shared" si="75"/>
        <v>4.3</v>
      </c>
      <c r="AI26">
        <f t="shared" ref="AI26:BN26" si="76">AH26</f>
        <v>4.3</v>
      </c>
      <c r="AJ26">
        <f t="shared" si="76"/>
        <v>4.3</v>
      </c>
      <c r="AK26">
        <f t="shared" si="76"/>
        <v>4.3</v>
      </c>
      <c r="AL26">
        <f t="shared" si="76"/>
        <v>4.3</v>
      </c>
      <c r="AM26">
        <f t="shared" si="76"/>
        <v>4.3</v>
      </c>
      <c r="AN26">
        <f t="shared" si="76"/>
        <v>4.3</v>
      </c>
      <c r="AO26">
        <f t="shared" si="76"/>
        <v>4.3</v>
      </c>
      <c r="AP26">
        <f t="shared" si="76"/>
        <v>4.3</v>
      </c>
      <c r="AQ26">
        <f t="shared" si="76"/>
        <v>4.3</v>
      </c>
      <c r="AR26">
        <f t="shared" si="76"/>
        <v>4.3</v>
      </c>
      <c r="AS26">
        <f t="shared" si="76"/>
        <v>4.3</v>
      </c>
      <c r="AT26">
        <f t="shared" si="76"/>
        <v>4.3</v>
      </c>
      <c r="AU26">
        <f t="shared" si="76"/>
        <v>4.3</v>
      </c>
      <c r="AV26">
        <f t="shared" si="76"/>
        <v>4.3</v>
      </c>
      <c r="AW26">
        <f t="shared" si="76"/>
        <v>4.3</v>
      </c>
      <c r="AX26">
        <f t="shared" si="76"/>
        <v>4.3</v>
      </c>
      <c r="AY26">
        <f t="shared" si="76"/>
        <v>4.3</v>
      </c>
      <c r="AZ26">
        <f t="shared" si="76"/>
        <v>4.3</v>
      </c>
      <c r="BA26">
        <f t="shared" si="76"/>
        <v>4.3</v>
      </c>
      <c r="BB26">
        <f t="shared" si="76"/>
        <v>4.3</v>
      </c>
      <c r="BC26">
        <f t="shared" si="76"/>
        <v>4.3</v>
      </c>
      <c r="BD26">
        <f t="shared" si="76"/>
        <v>4.3</v>
      </c>
      <c r="BE26">
        <f t="shared" si="76"/>
        <v>4.3</v>
      </c>
      <c r="BF26">
        <f t="shared" si="76"/>
        <v>4.3</v>
      </c>
      <c r="BG26">
        <f t="shared" si="76"/>
        <v>4.3</v>
      </c>
      <c r="BH26">
        <f t="shared" si="76"/>
        <v>4.3</v>
      </c>
      <c r="BI26">
        <f t="shared" si="76"/>
        <v>4.3</v>
      </c>
      <c r="BJ26">
        <f t="shared" si="76"/>
        <v>4.3</v>
      </c>
      <c r="BK26">
        <f t="shared" si="76"/>
        <v>4.3</v>
      </c>
      <c r="BL26">
        <f t="shared" si="76"/>
        <v>4.3</v>
      </c>
      <c r="BM26">
        <f t="shared" si="76"/>
        <v>4.3</v>
      </c>
      <c r="BN26">
        <f t="shared" si="76"/>
        <v>4.3</v>
      </c>
      <c r="BO26">
        <f t="shared" ref="BO26:BT26" si="77">BN26</f>
        <v>4.3</v>
      </c>
      <c r="BP26">
        <f t="shared" si="77"/>
        <v>4.3</v>
      </c>
      <c r="BQ26">
        <f t="shared" si="77"/>
        <v>4.3</v>
      </c>
      <c r="BR26">
        <f t="shared" si="77"/>
        <v>4.3</v>
      </c>
      <c r="BS26">
        <f t="shared" si="77"/>
        <v>4.3</v>
      </c>
      <c r="BT26">
        <f t="shared" si="77"/>
        <v>4.3</v>
      </c>
    </row>
    <row r="27" spans="1:72" x14ac:dyDescent="0.25">
      <c r="A27" s="1" t="s">
        <v>26</v>
      </c>
      <c r="B27">
        <v>71.48</v>
      </c>
      <c r="C27">
        <f t="shared" ref="C27:AH27" si="78">B27</f>
        <v>71.48</v>
      </c>
      <c r="D27">
        <f t="shared" si="78"/>
        <v>71.48</v>
      </c>
      <c r="E27">
        <f t="shared" si="78"/>
        <v>71.48</v>
      </c>
      <c r="F27">
        <f t="shared" si="78"/>
        <v>71.48</v>
      </c>
      <c r="G27">
        <f t="shared" si="78"/>
        <v>71.48</v>
      </c>
      <c r="H27">
        <f t="shared" si="78"/>
        <v>71.48</v>
      </c>
      <c r="I27">
        <f t="shared" si="78"/>
        <v>71.48</v>
      </c>
      <c r="J27">
        <f t="shared" si="78"/>
        <v>71.48</v>
      </c>
      <c r="K27">
        <f t="shared" si="78"/>
        <v>71.48</v>
      </c>
      <c r="L27">
        <f t="shared" si="78"/>
        <v>71.48</v>
      </c>
      <c r="M27">
        <f t="shared" si="78"/>
        <v>71.48</v>
      </c>
      <c r="N27">
        <f t="shared" si="78"/>
        <v>71.48</v>
      </c>
      <c r="O27">
        <f t="shared" si="78"/>
        <v>71.48</v>
      </c>
      <c r="P27">
        <f t="shared" si="78"/>
        <v>71.48</v>
      </c>
      <c r="Q27">
        <f t="shared" si="78"/>
        <v>71.48</v>
      </c>
      <c r="R27">
        <f t="shared" si="78"/>
        <v>71.48</v>
      </c>
      <c r="S27">
        <f t="shared" si="78"/>
        <v>71.48</v>
      </c>
      <c r="T27">
        <f t="shared" si="78"/>
        <v>71.48</v>
      </c>
      <c r="U27">
        <f t="shared" si="78"/>
        <v>71.48</v>
      </c>
      <c r="V27">
        <f t="shared" si="78"/>
        <v>71.48</v>
      </c>
      <c r="W27">
        <f t="shared" si="78"/>
        <v>71.48</v>
      </c>
      <c r="X27">
        <f t="shared" si="78"/>
        <v>71.48</v>
      </c>
      <c r="Y27">
        <f t="shared" si="78"/>
        <v>71.48</v>
      </c>
      <c r="Z27">
        <f t="shared" si="78"/>
        <v>71.48</v>
      </c>
      <c r="AA27">
        <f t="shared" si="78"/>
        <v>71.48</v>
      </c>
      <c r="AB27">
        <f t="shared" si="78"/>
        <v>71.48</v>
      </c>
      <c r="AC27">
        <f t="shared" si="78"/>
        <v>71.48</v>
      </c>
      <c r="AD27">
        <f t="shared" si="78"/>
        <v>71.48</v>
      </c>
      <c r="AE27">
        <f t="shared" si="78"/>
        <v>71.48</v>
      </c>
      <c r="AF27">
        <f t="shared" si="78"/>
        <v>71.48</v>
      </c>
      <c r="AG27">
        <f t="shared" si="78"/>
        <v>71.48</v>
      </c>
      <c r="AH27">
        <f t="shared" si="78"/>
        <v>71.48</v>
      </c>
      <c r="AI27">
        <f t="shared" ref="AI27:BN27" si="79">AH27</f>
        <v>71.48</v>
      </c>
      <c r="AJ27">
        <f t="shared" si="79"/>
        <v>71.48</v>
      </c>
      <c r="AK27">
        <f t="shared" si="79"/>
        <v>71.48</v>
      </c>
      <c r="AL27">
        <f t="shared" si="79"/>
        <v>71.48</v>
      </c>
      <c r="AM27">
        <f t="shared" si="79"/>
        <v>71.48</v>
      </c>
      <c r="AN27">
        <f t="shared" si="79"/>
        <v>71.48</v>
      </c>
      <c r="AO27">
        <f t="shared" si="79"/>
        <v>71.48</v>
      </c>
      <c r="AP27">
        <f t="shared" si="79"/>
        <v>71.48</v>
      </c>
      <c r="AQ27">
        <f t="shared" si="79"/>
        <v>71.48</v>
      </c>
      <c r="AR27">
        <f t="shared" si="79"/>
        <v>71.48</v>
      </c>
      <c r="AS27">
        <f t="shared" si="79"/>
        <v>71.48</v>
      </c>
      <c r="AT27">
        <f t="shared" si="79"/>
        <v>71.48</v>
      </c>
      <c r="AU27">
        <f t="shared" si="79"/>
        <v>71.48</v>
      </c>
      <c r="AV27">
        <f t="shared" si="79"/>
        <v>71.48</v>
      </c>
      <c r="AW27">
        <f t="shared" si="79"/>
        <v>71.48</v>
      </c>
      <c r="AX27">
        <f t="shared" si="79"/>
        <v>71.48</v>
      </c>
      <c r="AY27">
        <f t="shared" si="79"/>
        <v>71.48</v>
      </c>
      <c r="AZ27">
        <f t="shared" si="79"/>
        <v>71.48</v>
      </c>
      <c r="BA27">
        <f t="shared" si="79"/>
        <v>71.48</v>
      </c>
      <c r="BB27">
        <f t="shared" si="79"/>
        <v>71.48</v>
      </c>
      <c r="BC27">
        <f t="shared" si="79"/>
        <v>71.48</v>
      </c>
      <c r="BD27">
        <f t="shared" si="79"/>
        <v>71.48</v>
      </c>
      <c r="BE27">
        <f t="shared" si="79"/>
        <v>71.48</v>
      </c>
      <c r="BF27">
        <f t="shared" si="79"/>
        <v>71.48</v>
      </c>
      <c r="BG27">
        <f t="shared" si="79"/>
        <v>71.48</v>
      </c>
      <c r="BH27">
        <f t="shared" si="79"/>
        <v>71.48</v>
      </c>
      <c r="BI27">
        <f t="shared" si="79"/>
        <v>71.48</v>
      </c>
      <c r="BJ27">
        <f t="shared" si="79"/>
        <v>71.48</v>
      </c>
      <c r="BK27">
        <f t="shared" si="79"/>
        <v>71.48</v>
      </c>
      <c r="BL27">
        <f t="shared" si="79"/>
        <v>71.48</v>
      </c>
      <c r="BM27">
        <f t="shared" si="79"/>
        <v>71.48</v>
      </c>
      <c r="BN27">
        <f t="shared" si="79"/>
        <v>71.48</v>
      </c>
      <c r="BO27">
        <f t="shared" ref="BO27:BT27" si="80">BN27</f>
        <v>71.48</v>
      </c>
      <c r="BP27">
        <f t="shared" si="80"/>
        <v>71.48</v>
      </c>
      <c r="BQ27">
        <f t="shared" si="80"/>
        <v>71.48</v>
      </c>
      <c r="BR27">
        <f t="shared" si="80"/>
        <v>71.48</v>
      </c>
      <c r="BS27">
        <f t="shared" si="80"/>
        <v>71.48</v>
      </c>
      <c r="BT27">
        <f t="shared" si="80"/>
        <v>71.48</v>
      </c>
    </row>
    <row r="28" spans="1:72" x14ac:dyDescent="0.25">
      <c r="A28" s="1" t="s">
        <v>27</v>
      </c>
      <c r="B28">
        <v>0</v>
      </c>
      <c r="C28">
        <f t="shared" ref="C28:AH28" si="81">B28</f>
        <v>0</v>
      </c>
      <c r="D28">
        <f t="shared" si="81"/>
        <v>0</v>
      </c>
      <c r="E28">
        <f t="shared" si="81"/>
        <v>0</v>
      </c>
      <c r="F28">
        <f t="shared" si="81"/>
        <v>0</v>
      </c>
      <c r="G28">
        <f t="shared" si="81"/>
        <v>0</v>
      </c>
      <c r="H28">
        <f t="shared" si="81"/>
        <v>0</v>
      </c>
      <c r="I28">
        <f t="shared" si="81"/>
        <v>0</v>
      </c>
      <c r="J28">
        <f t="shared" si="81"/>
        <v>0</v>
      </c>
      <c r="K28">
        <f t="shared" si="81"/>
        <v>0</v>
      </c>
      <c r="L28">
        <f t="shared" si="81"/>
        <v>0</v>
      </c>
      <c r="M28">
        <f t="shared" si="81"/>
        <v>0</v>
      </c>
      <c r="N28">
        <f t="shared" si="81"/>
        <v>0</v>
      </c>
      <c r="O28">
        <f t="shared" si="81"/>
        <v>0</v>
      </c>
      <c r="P28">
        <f t="shared" si="81"/>
        <v>0</v>
      </c>
      <c r="Q28">
        <f t="shared" si="81"/>
        <v>0</v>
      </c>
      <c r="R28">
        <f t="shared" si="81"/>
        <v>0</v>
      </c>
      <c r="S28">
        <f t="shared" si="81"/>
        <v>0</v>
      </c>
      <c r="T28">
        <f t="shared" si="81"/>
        <v>0</v>
      </c>
      <c r="U28">
        <f t="shared" si="81"/>
        <v>0</v>
      </c>
      <c r="V28">
        <f t="shared" si="81"/>
        <v>0</v>
      </c>
      <c r="W28">
        <f t="shared" si="81"/>
        <v>0</v>
      </c>
      <c r="X28">
        <f t="shared" si="81"/>
        <v>0</v>
      </c>
      <c r="Y28">
        <f t="shared" si="81"/>
        <v>0</v>
      </c>
      <c r="Z28">
        <f t="shared" si="81"/>
        <v>0</v>
      </c>
      <c r="AA28">
        <f t="shared" si="81"/>
        <v>0</v>
      </c>
      <c r="AB28">
        <f t="shared" si="81"/>
        <v>0</v>
      </c>
      <c r="AC28">
        <f t="shared" si="81"/>
        <v>0</v>
      </c>
      <c r="AD28">
        <f t="shared" si="81"/>
        <v>0</v>
      </c>
      <c r="AE28">
        <f t="shared" si="81"/>
        <v>0</v>
      </c>
      <c r="AF28">
        <f t="shared" si="81"/>
        <v>0</v>
      </c>
      <c r="AG28">
        <f t="shared" si="81"/>
        <v>0</v>
      </c>
      <c r="AH28">
        <f t="shared" si="81"/>
        <v>0</v>
      </c>
      <c r="AI28">
        <f t="shared" ref="AI28:BN28" si="82">AH28</f>
        <v>0</v>
      </c>
      <c r="AJ28">
        <f t="shared" si="82"/>
        <v>0</v>
      </c>
      <c r="AK28">
        <f t="shared" si="82"/>
        <v>0</v>
      </c>
      <c r="AL28">
        <f t="shared" si="82"/>
        <v>0</v>
      </c>
      <c r="AM28">
        <f t="shared" si="82"/>
        <v>0</v>
      </c>
      <c r="AN28">
        <f t="shared" si="82"/>
        <v>0</v>
      </c>
      <c r="AO28">
        <f t="shared" si="82"/>
        <v>0</v>
      </c>
      <c r="AP28">
        <f t="shared" si="82"/>
        <v>0</v>
      </c>
      <c r="AQ28">
        <f t="shared" si="82"/>
        <v>0</v>
      </c>
      <c r="AR28">
        <f t="shared" si="82"/>
        <v>0</v>
      </c>
      <c r="AS28">
        <f t="shared" si="82"/>
        <v>0</v>
      </c>
      <c r="AT28">
        <f t="shared" si="82"/>
        <v>0</v>
      </c>
      <c r="AU28">
        <f t="shared" si="82"/>
        <v>0</v>
      </c>
      <c r="AV28">
        <f t="shared" si="82"/>
        <v>0</v>
      </c>
      <c r="AW28">
        <f t="shared" si="82"/>
        <v>0</v>
      </c>
      <c r="AX28">
        <f t="shared" si="82"/>
        <v>0</v>
      </c>
      <c r="AY28">
        <f t="shared" si="82"/>
        <v>0</v>
      </c>
      <c r="AZ28">
        <f t="shared" si="82"/>
        <v>0</v>
      </c>
      <c r="BA28">
        <f t="shared" si="82"/>
        <v>0</v>
      </c>
      <c r="BB28">
        <f t="shared" si="82"/>
        <v>0</v>
      </c>
      <c r="BC28">
        <f t="shared" si="82"/>
        <v>0</v>
      </c>
      <c r="BD28">
        <f t="shared" si="82"/>
        <v>0</v>
      </c>
      <c r="BE28">
        <f t="shared" si="82"/>
        <v>0</v>
      </c>
      <c r="BF28">
        <f t="shared" si="82"/>
        <v>0</v>
      </c>
      <c r="BG28">
        <f t="shared" si="82"/>
        <v>0</v>
      </c>
      <c r="BH28">
        <f t="shared" si="82"/>
        <v>0</v>
      </c>
      <c r="BI28">
        <f t="shared" si="82"/>
        <v>0</v>
      </c>
      <c r="BJ28">
        <f t="shared" si="82"/>
        <v>0</v>
      </c>
      <c r="BK28">
        <f t="shared" si="82"/>
        <v>0</v>
      </c>
      <c r="BL28">
        <f t="shared" si="82"/>
        <v>0</v>
      </c>
      <c r="BM28">
        <f t="shared" si="82"/>
        <v>0</v>
      </c>
      <c r="BN28">
        <f t="shared" si="82"/>
        <v>0</v>
      </c>
      <c r="BO28">
        <f t="shared" ref="BO28:BT28" si="83">BN28</f>
        <v>0</v>
      </c>
      <c r="BP28">
        <f t="shared" si="83"/>
        <v>0</v>
      </c>
      <c r="BQ28">
        <f t="shared" si="83"/>
        <v>0</v>
      </c>
      <c r="BR28">
        <f t="shared" si="83"/>
        <v>0</v>
      </c>
      <c r="BS28">
        <f t="shared" si="83"/>
        <v>0</v>
      </c>
      <c r="BT28">
        <f t="shared" si="83"/>
        <v>0</v>
      </c>
    </row>
    <row r="29" spans="1:72" x14ac:dyDescent="0.25">
      <c r="A29" s="1" t="s">
        <v>28</v>
      </c>
      <c r="B29">
        <v>107.78</v>
      </c>
      <c r="C29">
        <f t="shared" ref="C29:AH29" si="84">B29</f>
        <v>107.78</v>
      </c>
      <c r="D29">
        <f t="shared" si="84"/>
        <v>107.78</v>
      </c>
      <c r="E29">
        <f t="shared" si="84"/>
        <v>107.78</v>
      </c>
      <c r="F29">
        <f t="shared" si="84"/>
        <v>107.78</v>
      </c>
      <c r="G29">
        <f t="shared" si="84"/>
        <v>107.78</v>
      </c>
      <c r="H29">
        <f t="shared" si="84"/>
        <v>107.78</v>
      </c>
      <c r="I29">
        <f t="shared" si="84"/>
        <v>107.78</v>
      </c>
      <c r="J29">
        <f t="shared" si="84"/>
        <v>107.78</v>
      </c>
      <c r="K29">
        <f t="shared" si="84"/>
        <v>107.78</v>
      </c>
      <c r="L29">
        <f t="shared" si="84"/>
        <v>107.78</v>
      </c>
      <c r="M29">
        <f t="shared" si="84"/>
        <v>107.78</v>
      </c>
      <c r="N29">
        <f t="shared" si="84"/>
        <v>107.78</v>
      </c>
      <c r="O29">
        <f t="shared" si="84"/>
        <v>107.78</v>
      </c>
      <c r="P29">
        <f t="shared" si="84"/>
        <v>107.78</v>
      </c>
      <c r="Q29">
        <f t="shared" si="84"/>
        <v>107.78</v>
      </c>
      <c r="R29">
        <f t="shared" si="84"/>
        <v>107.78</v>
      </c>
      <c r="S29">
        <f t="shared" si="84"/>
        <v>107.78</v>
      </c>
      <c r="T29">
        <f t="shared" si="84"/>
        <v>107.78</v>
      </c>
      <c r="U29">
        <f t="shared" si="84"/>
        <v>107.78</v>
      </c>
      <c r="V29">
        <f t="shared" si="84"/>
        <v>107.78</v>
      </c>
      <c r="W29">
        <f t="shared" si="84"/>
        <v>107.78</v>
      </c>
      <c r="X29">
        <f t="shared" si="84"/>
        <v>107.78</v>
      </c>
      <c r="Y29">
        <f t="shared" si="84"/>
        <v>107.78</v>
      </c>
      <c r="Z29">
        <f t="shared" si="84"/>
        <v>107.78</v>
      </c>
      <c r="AA29">
        <f t="shared" si="84"/>
        <v>107.78</v>
      </c>
      <c r="AB29">
        <f t="shared" si="84"/>
        <v>107.78</v>
      </c>
      <c r="AC29">
        <f t="shared" si="84"/>
        <v>107.78</v>
      </c>
      <c r="AD29">
        <f t="shared" si="84"/>
        <v>107.78</v>
      </c>
      <c r="AE29">
        <f t="shared" si="84"/>
        <v>107.78</v>
      </c>
      <c r="AF29">
        <f t="shared" si="84"/>
        <v>107.78</v>
      </c>
      <c r="AG29">
        <f t="shared" si="84"/>
        <v>107.78</v>
      </c>
      <c r="AH29">
        <f t="shared" si="84"/>
        <v>107.78</v>
      </c>
      <c r="AI29">
        <f t="shared" ref="AI29:BN29" si="85">AH29</f>
        <v>107.78</v>
      </c>
      <c r="AJ29">
        <f t="shared" si="85"/>
        <v>107.78</v>
      </c>
      <c r="AK29">
        <f t="shared" si="85"/>
        <v>107.78</v>
      </c>
      <c r="AL29">
        <f t="shared" si="85"/>
        <v>107.78</v>
      </c>
      <c r="AM29">
        <f t="shared" si="85"/>
        <v>107.78</v>
      </c>
      <c r="AN29">
        <f t="shared" si="85"/>
        <v>107.78</v>
      </c>
      <c r="AO29">
        <f t="shared" si="85"/>
        <v>107.78</v>
      </c>
      <c r="AP29">
        <f t="shared" si="85"/>
        <v>107.78</v>
      </c>
      <c r="AQ29">
        <f t="shared" si="85"/>
        <v>107.78</v>
      </c>
      <c r="AR29">
        <f t="shared" si="85"/>
        <v>107.78</v>
      </c>
      <c r="AS29">
        <f t="shared" si="85"/>
        <v>107.78</v>
      </c>
      <c r="AT29">
        <f t="shared" si="85"/>
        <v>107.78</v>
      </c>
      <c r="AU29">
        <f t="shared" si="85"/>
        <v>107.78</v>
      </c>
      <c r="AV29">
        <f t="shared" si="85"/>
        <v>107.78</v>
      </c>
      <c r="AW29">
        <f t="shared" si="85"/>
        <v>107.78</v>
      </c>
      <c r="AX29">
        <f t="shared" si="85"/>
        <v>107.78</v>
      </c>
      <c r="AY29">
        <f t="shared" si="85"/>
        <v>107.78</v>
      </c>
      <c r="AZ29">
        <f t="shared" si="85"/>
        <v>107.78</v>
      </c>
      <c r="BA29">
        <f t="shared" si="85"/>
        <v>107.78</v>
      </c>
      <c r="BB29">
        <f t="shared" si="85"/>
        <v>107.78</v>
      </c>
      <c r="BC29">
        <f t="shared" si="85"/>
        <v>107.78</v>
      </c>
      <c r="BD29">
        <f t="shared" si="85"/>
        <v>107.78</v>
      </c>
      <c r="BE29">
        <f t="shared" si="85"/>
        <v>107.78</v>
      </c>
      <c r="BF29">
        <f t="shared" si="85"/>
        <v>107.78</v>
      </c>
      <c r="BG29">
        <f t="shared" si="85"/>
        <v>107.78</v>
      </c>
      <c r="BH29">
        <f t="shared" si="85"/>
        <v>107.78</v>
      </c>
      <c r="BI29">
        <f t="shared" si="85"/>
        <v>107.78</v>
      </c>
      <c r="BJ29">
        <f t="shared" si="85"/>
        <v>107.78</v>
      </c>
      <c r="BK29">
        <f t="shared" si="85"/>
        <v>107.78</v>
      </c>
      <c r="BL29">
        <f t="shared" si="85"/>
        <v>107.78</v>
      </c>
      <c r="BM29">
        <f t="shared" si="85"/>
        <v>107.78</v>
      </c>
      <c r="BN29">
        <f t="shared" si="85"/>
        <v>107.78</v>
      </c>
      <c r="BO29">
        <f t="shared" ref="BO29:BT29" si="86">BN29</f>
        <v>107.78</v>
      </c>
      <c r="BP29">
        <f t="shared" si="86"/>
        <v>107.78</v>
      </c>
      <c r="BQ29">
        <f t="shared" si="86"/>
        <v>107.78</v>
      </c>
      <c r="BR29">
        <f t="shared" si="86"/>
        <v>107.78</v>
      </c>
      <c r="BS29">
        <f t="shared" si="86"/>
        <v>107.78</v>
      </c>
      <c r="BT29">
        <f t="shared" si="86"/>
        <v>107.78</v>
      </c>
    </row>
    <row r="30" spans="1:72" x14ac:dyDescent="0.25">
      <c r="A30" s="1" t="s">
        <v>29</v>
      </c>
      <c r="B30">
        <v>0</v>
      </c>
      <c r="C30">
        <f t="shared" ref="C30:AH30" si="87">B30</f>
        <v>0</v>
      </c>
      <c r="D30">
        <f t="shared" si="87"/>
        <v>0</v>
      </c>
      <c r="E30">
        <f t="shared" si="87"/>
        <v>0</v>
      </c>
      <c r="F30">
        <f t="shared" si="87"/>
        <v>0</v>
      </c>
      <c r="G30">
        <f t="shared" si="87"/>
        <v>0</v>
      </c>
      <c r="H30">
        <f t="shared" si="87"/>
        <v>0</v>
      </c>
      <c r="I30">
        <f t="shared" si="87"/>
        <v>0</v>
      </c>
      <c r="J30">
        <f t="shared" si="87"/>
        <v>0</v>
      </c>
      <c r="K30">
        <f t="shared" si="87"/>
        <v>0</v>
      </c>
      <c r="L30">
        <f t="shared" si="87"/>
        <v>0</v>
      </c>
      <c r="M30">
        <f t="shared" si="87"/>
        <v>0</v>
      </c>
      <c r="N30">
        <f t="shared" si="87"/>
        <v>0</v>
      </c>
      <c r="O30">
        <f t="shared" si="87"/>
        <v>0</v>
      </c>
      <c r="P30">
        <f t="shared" si="87"/>
        <v>0</v>
      </c>
      <c r="Q30">
        <f t="shared" si="87"/>
        <v>0</v>
      </c>
      <c r="R30">
        <f t="shared" si="87"/>
        <v>0</v>
      </c>
      <c r="S30">
        <f t="shared" si="87"/>
        <v>0</v>
      </c>
      <c r="T30">
        <f t="shared" si="87"/>
        <v>0</v>
      </c>
      <c r="U30">
        <f t="shared" si="87"/>
        <v>0</v>
      </c>
      <c r="V30">
        <f t="shared" si="87"/>
        <v>0</v>
      </c>
      <c r="W30">
        <f t="shared" si="87"/>
        <v>0</v>
      </c>
      <c r="X30">
        <f t="shared" si="87"/>
        <v>0</v>
      </c>
      <c r="Y30">
        <f t="shared" si="87"/>
        <v>0</v>
      </c>
      <c r="Z30">
        <f t="shared" si="87"/>
        <v>0</v>
      </c>
      <c r="AA30">
        <f t="shared" si="87"/>
        <v>0</v>
      </c>
      <c r="AB30">
        <f t="shared" si="87"/>
        <v>0</v>
      </c>
      <c r="AC30">
        <f t="shared" si="87"/>
        <v>0</v>
      </c>
      <c r="AD30">
        <f t="shared" si="87"/>
        <v>0</v>
      </c>
      <c r="AE30">
        <f t="shared" si="87"/>
        <v>0</v>
      </c>
      <c r="AF30">
        <f t="shared" si="87"/>
        <v>0</v>
      </c>
      <c r="AG30">
        <f t="shared" si="87"/>
        <v>0</v>
      </c>
      <c r="AH30">
        <f t="shared" si="87"/>
        <v>0</v>
      </c>
      <c r="AI30">
        <f t="shared" ref="AI30:BN30" si="88">AH30</f>
        <v>0</v>
      </c>
      <c r="AJ30">
        <f t="shared" si="88"/>
        <v>0</v>
      </c>
      <c r="AK30">
        <f t="shared" si="88"/>
        <v>0</v>
      </c>
      <c r="AL30">
        <f t="shared" si="88"/>
        <v>0</v>
      </c>
      <c r="AM30">
        <f t="shared" si="88"/>
        <v>0</v>
      </c>
      <c r="AN30">
        <f t="shared" si="88"/>
        <v>0</v>
      </c>
      <c r="AO30">
        <f t="shared" si="88"/>
        <v>0</v>
      </c>
      <c r="AP30">
        <f t="shared" si="88"/>
        <v>0</v>
      </c>
      <c r="AQ30">
        <f t="shared" si="88"/>
        <v>0</v>
      </c>
      <c r="AR30">
        <f t="shared" si="88"/>
        <v>0</v>
      </c>
      <c r="AS30">
        <f t="shared" si="88"/>
        <v>0</v>
      </c>
      <c r="AT30">
        <f t="shared" si="88"/>
        <v>0</v>
      </c>
      <c r="AU30">
        <f t="shared" si="88"/>
        <v>0</v>
      </c>
      <c r="AV30">
        <f t="shared" si="88"/>
        <v>0</v>
      </c>
      <c r="AW30">
        <f t="shared" si="88"/>
        <v>0</v>
      </c>
      <c r="AX30">
        <f t="shared" si="88"/>
        <v>0</v>
      </c>
      <c r="AY30">
        <f t="shared" si="88"/>
        <v>0</v>
      </c>
      <c r="AZ30">
        <f t="shared" si="88"/>
        <v>0</v>
      </c>
      <c r="BA30">
        <f t="shared" si="88"/>
        <v>0</v>
      </c>
      <c r="BB30">
        <f t="shared" si="88"/>
        <v>0</v>
      </c>
      <c r="BC30">
        <f t="shared" si="88"/>
        <v>0</v>
      </c>
      <c r="BD30">
        <f t="shared" si="88"/>
        <v>0</v>
      </c>
      <c r="BE30">
        <f t="shared" si="88"/>
        <v>0</v>
      </c>
      <c r="BF30">
        <f t="shared" si="88"/>
        <v>0</v>
      </c>
      <c r="BG30">
        <f t="shared" si="88"/>
        <v>0</v>
      </c>
      <c r="BH30">
        <f t="shared" si="88"/>
        <v>0</v>
      </c>
      <c r="BI30">
        <f t="shared" si="88"/>
        <v>0</v>
      </c>
      <c r="BJ30">
        <f t="shared" si="88"/>
        <v>0</v>
      </c>
      <c r="BK30">
        <f t="shared" si="88"/>
        <v>0</v>
      </c>
      <c r="BL30">
        <f t="shared" si="88"/>
        <v>0</v>
      </c>
      <c r="BM30">
        <f t="shared" si="88"/>
        <v>0</v>
      </c>
      <c r="BN30">
        <f t="shared" si="88"/>
        <v>0</v>
      </c>
      <c r="BO30">
        <f t="shared" ref="BO30:BT30" si="89">BN30</f>
        <v>0</v>
      </c>
      <c r="BP30">
        <f t="shared" si="89"/>
        <v>0</v>
      </c>
      <c r="BQ30">
        <f t="shared" si="89"/>
        <v>0</v>
      </c>
      <c r="BR30">
        <f t="shared" si="89"/>
        <v>0</v>
      </c>
      <c r="BS30">
        <f t="shared" si="89"/>
        <v>0</v>
      </c>
      <c r="BT30">
        <f t="shared" si="89"/>
        <v>0</v>
      </c>
    </row>
    <row r="31" spans="1:72" x14ac:dyDescent="0.25">
      <c r="A31" s="1" t="s">
        <v>30</v>
      </c>
      <c r="B31">
        <v>0</v>
      </c>
      <c r="C31">
        <f t="shared" ref="C31:AH31" si="90">B31</f>
        <v>0</v>
      </c>
      <c r="D31">
        <f t="shared" si="90"/>
        <v>0</v>
      </c>
      <c r="E31">
        <f t="shared" si="90"/>
        <v>0</v>
      </c>
      <c r="F31">
        <f t="shared" si="90"/>
        <v>0</v>
      </c>
      <c r="G31">
        <f t="shared" si="90"/>
        <v>0</v>
      </c>
      <c r="H31">
        <f t="shared" si="90"/>
        <v>0</v>
      </c>
      <c r="I31">
        <f t="shared" si="90"/>
        <v>0</v>
      </c>
      <c r="J31">
        <f t="shared" si="90"/>
        <v>0</v>
      </c>
      <c r="K31">
        <f t="shared" si="90"/>
        <v>0</v>
      </c>
      <c r="L31">
        <f t="shared" si="90"/>
        <v>0</v>
      </c>
      <c r="M31">
        <f t="shared" si="90"/>
        <v>0</v>
      </c>
      <c r="N31">
        <f t="shared" si="90"/>
        <v>0</v>
      </c>
      <c r="O31">
        <f t="shared" si="90"/>
        <v>0</v>
      </c>
      <c r="P31">
        <f t="shared" si="90"/>
        <v>0</v>
      </c>
      <c r="Q31">
        <f t="shared" si="90"/>
        <v>0</v>
      </c>
      <c r="R31">
        <f t="shared" si="90"/>
        <v>0</v>
      </c>
      <c r="S31">
        <f t="shared" si="90"/>
        <v>0</v>
      </c>
      <c r="T31">
        <f t="shared" si="90"/>
        <v>0</v>
      </c>
      <c r="U31">
        <f t="shared" si="90"/>
        <v>0</v>
      </c>
      <c r="V31">
        <f t="shared" si="90"/>
        <v>0</v>
      </c>
      <c r="W31">
        <f t="shared" si="90"/>
        <v>0</v>
      </c>
      <c r="X31">
        <f t="shared" si="90"/>
        <v>0</v>
      </c>
      <c r="Y31">
        <f t="shared" si="90"/>
        <v>0</v>
      </c>
      <c r="Z31">
        <f t="shared" si="90"/>
        <v>0</v>
      </c>
      <c r="AA31">
        <f t="shared" si="90"/>
        <v>0</v>
      </c>
      <c r="AB31">
        <f t="shared" si="90"/>
        <v>0</v>
      </c>
      <c r="AC31">
        <f t="shared" si="90"/>
        <v>0</v>
      </c>
      <c r="AD31">
        <f t="shared" si="90"/>
        <v>0</v>
      </c>
      <c r="AE31">
        <f t="shared" si="90"/>
        <v>0</v>
      </c>
      <c r="AF31">
        <f t="shared" si="90"/>
        <v>0</v>
      </c>
      <c r="AG31">
        <f t="shared" si="90"/>
        <v>0</v>
      </c>
      <c r="AH31">
        <f t="shared" si="90"/>
        <v>0</v>
      </c>
      <c r="AI31">
        <f t="shared" ref="AI31:BN31" si="91">AH31</f>
        <v>0</v>
      </c>
      <c r="AJ31">
        <f t="shared" si="91"/>
        <v>0</v>
      </c>
      <c r="AK31">
        <f t="shared" si="91"/>
        <v>0</v>
      </c>
      <c r="AL31">
        <f t="shared" si="91"/>
        <v>0</v>
      </c>
      <c r="AM31">
        <f t="shared" si="91"/>
        <v>0</v>
      </c>
      <c r="AN31">
        <f t="shared" si="91"/>
        <v>0</v>
      </c>
      <c r="AO31">
        <f t="shared" si="91"/>
        <v>0</v>
      </c>
      <c r="AP31">
        <f t="shared" si="91"/>
        <v>0</v>
      </c>
      <c r="AQ31">
        <f t="shared" si="91"/>
        <v>0</v>
      </c>
      <c r="AR31">
        <f t="shared" si="91"/>
        <v>0</v>
      </c>
      <c r="AS31">
        <f t="shared" si="91"/>
        <v>0</v>
      </c>
      <c r="AT31">
        <f t="shared" si="91"/>
        <v>0</v>
      </c>
      <c r="AU31">
        <f t="shared" si="91"/>
        <v>0</v>
      </c>
      <c r="AV31">
        <f t="shared" si="91"/>
        <v>0</v>
      </c>
      <c r="AW31">
        <f t="shared" si="91"/>
        <v>0</v>
      </c>
      <c r="AX31">
        <f t="shared" si="91"/>
        <v>0</v>
      </c>
      <c r="AY31">
        <f t="shared" si="91"/>
        <v>0</v>
      </c>
      <c r="AZ31">
        <f t="shared" si="91"/>
        <v>0</v>
      </c>
      <c r="BA31">
        <f t="shared" si="91"/>
        <v>0</v>
      </c>
      <c r="BB31">
        <f t="shared" si="91"/>
        <v>0</v>
      </c>
      <c r="BC31">
        <f t="shared" si="91"/>
        <v>0</v>
      </c>
      <c r="BD31">
        <f t="shared" si="91"/>
        <v>0</v>
      </c>
      <c r="BE31">
        <f t="shared" si="91"/>
        <v>0</v>
      </c>
      <c r="BF31">
        <f t="shared" si="91"/>
        <v>0</v>
      </c>
      <c r="BG31">
        <f t="shared" si="91"/>
        <v>0</v>
      </c>
      <c r="BH31">
        <f t="shared" si="91"/>
        <v>0</v>
      </c>
      <c r="BI31">
        <f t="shared" si="91"/>
        <v>0</v>
      </c>
      <c r="BJ31">
        <f t="shared" si="91"/>
        <v>0</v>
      </c>
      <c r="BK31">
        <f t="shared" si="91"/>
        <v>0</v>
      </c>
      <c r="BL31">
        <f t="shared" si="91"/>
        <v>0</v>
      </c>
      <c r="BM31">
        <f t="shared" si="91"/>
        <v>0</v>
      </c>
      <c r="BN31">
        <f t="shared" si="91"/>
        <v>0</v>
      </c>
      <c r="BO31">
        <f t="shared" ref="BO31:BT31" si="92">BN31</f>
        <v>0</v>
      </c>
      <c r="BP31">
        <f t="shared" si="92"/>
        <v>0</v>
      </c>
      <c r="BQ31">
        <f t="shared" si="92"/>
        <v>0</v>
      </c>
      <c r="BR31">
        <f t="shared" si="92"/>
        <v>0</v>
      </c>
      <c r="BS31">
        <f t="shared" si="92"/>
        <v>0</v>
      </c>
      <c r="BT31">
        <f t="shared" si="92"/>
        <v>0</v>
      </c>
    </row>
    <row r="32" spans="1:72" x14ac:dyDescent="0.25">
      <c r="A32" s="1" t="s">
        <v>31</v>
      </c>
      <c r="B32">
        <v>0</v>
      </c>
      <c r="C32">
        <f t="shared" ref="C32:AH32" si="93">B32</f>
        <v>0</v>
      </c>
      <c r="D32">
        <f t="shared" si="93"/>
        <v>0</v>
      </c>
      <c r="E32">
        <f t="shared" si="93"/>
        <v>0</v>
      </c>
      <c r="F32">
        <f t="shared" si="93"/>
        <v>0</v>
      </c>
      <c r="G32">
        <f t="shared" si="93"/>
        <v>0</v>
      </c>
      <c r="H32">
        <f t="shared" si="93"/>
        <v>0</v>
      </c>
      <c r="I32">
        <f t="shared" si="93"/>
        <v>0</v>
      </c>
      <c r="J32">
        <f t="shared" si="93"/>
        <v>0</v>
      </c>
      <c r="K32">
        <f t="shared" si="93"/>
        <v>0</v>
      </c>
      <c r="L32">
        <f t="shared" si="93"/>
        <v>0</v>
      </c>
      <c r="M32">
        <f t="shared" si="93"/>
        <v>0</v>
      </c>
      <c r="N32">
        <f t="shared" si="93"/>
        <v>0</v>
      </c>
      <c r="O32">
        <f t="shared" si="93"/>
        <v>0</v>
      </c>
      <c r="P32">
        <f t="shared" si="93"/>
        <v>0</v>
      </c>
      <c r="Q32">
        <f t="shared" si="93"/>
        <v>0</v>
      </c>
      <c r="R32">
        <f t="shared" si="93"/>
        <v>0</v>
      </c>
      <c r="S32">
        <f t="shared" si="93"/>
        <v>0</v>
      </c>
      <c r="T32">
        <f t="shared" si="93"/>
        <v>0</v>
      </c>
      <c r="U32">
        <f t="shared" si="93"/>
        <v>0</v>
      </c>
      <c r="V32">
        <f t="shared" si="93"/>
        <v>0</v>
      </c>
      <c r="W32">
        <f t="shared" si="93"/>
        <v>0</v>
      </c>
      <c r="X32">
        <f t="shared" si="93"/>
        <v>0</v>
      </c>
      <c r="Y32">
        <f t="shared" si="93"/>
        <v>0</v>
      </c>
      <c r="Z32">
        <f t="shared" si="93"/>
        <v>0</v>
      </c>
      <c r="AA32">
        <f t="shared" si="93"/>
        <v>0</v>
      </c>
      <c r="AB32">
        <f t="shared" si="93"/>
        <v>0</v>
      </c>
      <c r="AC32">
        <f t="shared" si="93"/>
        <v>0</v>
      </c>
      <c r="AD32">
        <f t="shared" si="93"/>
        <v>0</v>
      </c>
      <c r="AE32">
        <f t="shared" si="93"/>
        <v>0</v>
      </c>
      <c r="AF32">
        <f t="shared" si="93"/>
        <v>0</v>
      </c>
      <c r="AG32">
        <f t="shared" si="93"/>
        <v>0</v>
      </c>
      <c r="AH32">
        <f t="shared" si="93"/>
        <v>0</v>
      </c>
      <c r="AI32">
        <f t="shared" ref="AI32:BN32" si="94">AH32</f>
        <v>0</v>
      </c>
      <c r="AJ32">
        <f t="shared" si="94"/>
        <v>0</v>
      </c>
      <c r="AK32">
        <f t="shared" si="94"/>
        <v>0</v>
      </c>
      <c r="AL32">
        <f t="shared" si="94"/>
        <v>0</v>
      </c>
      <c r="AM32">
        <f t="shared" si="94"/>
        <v>0</v>
      </c>
      <c r="AN32">
        <f t="shared" si="94"/>
        <v>0</v>
      </c>
      <c r="AO32">
        <f t="shared" si="94"/>
        <v>0</v>
      </c>
      <c r="AP32">
        <f t="shared" si="94"/>
        <v>0</v>
      </c>
      <c r="AQ32">
        <f t="shared" si="94"/>
        <v>0</v>
      </c>
      <c r="AR32">
        <f t="shared" si="94"/>
        <v>0</v>
      </c>
      <c r="AS32">
        <f t="shared" si="94"/>
        <v>0</v>
      </c>
      <c r="AT32">
        <f t="shared" si="94"/>
        <v>0</v>
      </c>
      <c r="AU32">
        <f t="shared" si="94"/>
        <v>0</v>
      </c>
      <c r="AV32">
        <f t="shared" si="94"/>
        <v>0</v>
      </c>
      <c r="AW32">
        <f t="shared" si="94"/>
        <v>0</v>
      </c>
      <c r="AX32">
        <f t="shared" si="94"/>
        <v>0</v>
      </c>
      <c r="AY32">
        <f t="shared" si="94"/>
        <v>0</v>
      </c>
      <c r="AZ32">
        <f t="shared" si="94"/>
        <v>0</v>
      </c>
      <c r="BA32">
        <f t="shared" si="94"/>
        <v>0</v>
      </c>
      <c r="BB32">
        <f t="shared" si="94"/>
        <v>0</v>
      </c>
      <c r="BC32">
        <f t="shared" si="94"/>
        <v>0</v>
      </c>
      <c r="BD32">
        <f t="shared" si="94"/>
        <v>0</v>
      </c>
      <c r="BE32">
        <f t="shared" si="94"/>
        <v>0</v>
      </c>
      <c r="BF32">
        <f t="shared" si="94"/>
        <v>0</v>
      </c>
      <c r="BG32">
        <f t="shared" si="94"/>
        <v>0</v>
      </c>
      <c r="BH32">
        <f t="shared" si="94"/>
        <v>0</v>
      </c>
      <c r="BI32">
        <f t="shared" si="94"/>
        <v>0</v>
      </c>
      <c r="BJ32">
        <f t="shared" si="94"/>
        <v>0</v>
      </c>
      <c r="BK32">
        <f t="shared" si="94"/>
        <v>0</v>
      </c>
      <c r="BL32">
        <f t="shared" si="94"/>
        <v>0</v>
      </c>
      <c r="BM32">
        <f t="shared" si="94"/>
        <v>0</v>
      </c>
      <c r="BN32">
        <f t="shared" si="94"/>
        <v>0</v>
      </c>
      <c r="BO32">
        <f t="shared" ref="BO32:BT32" si="95">BN32</f>
        <v>0</v>
      </c>
      <c r="BP32">
        <f t="shared" si="95"/>
        <v>0</v>
      </c>
      <c r="BQ32">
        <f t="shared" si="95"/>
        <v>0</v>
      </c>
      <c r="BR32">
        <f t="shared" si="95"/>
        <v>0</v>
      </c>
      <c r="BS32">
        <f t="shared" si="95"/>
        <v>0</v>
      </c>
      <c r="BT32">
        <f t="shared" si="95"/>
        <v>0</v>
      </c>
    </row>
    <row r="33" spans="1:72" x14ac:dyDescent="0.25">
      <c r="A33" s="1" t="s">
        <v>32</v>
      </c>
      <c r="B33">
        <v>0</v>
      </c>
      <c r="C33">
        <f t="shared" ref="C33:AH33" si="96">B33</f>
        <v>0</v>
      </c>
      <c r="D33">
        <f t="shared" si="96"/>
        <v>0</v>
      </c>
      <c r="E33">
        <f t="shared" si="96"/>
        <v>0</v>
      </c>
      <c r="F33">
        <f t="shared" si="96"/>
        <v>0</v>
      </c>
      <c r="G33">
        <f t="shared" si="96"/>
        <v>0</v>
      </c>
      <c r="H33">
        <f t="shared" si="96"/>
        <v>0</v>
      </c>
      <c r="I33">
        <f t="shared" si="96"/>
        <v>0</v>
      </c>
      <c r="J33">
        <f t="shared" si="96"/>
        <v>0</v>
      </c>
      <c r="K33">
        <f t="shared" si="96"/>
        <v>0</v>
      </c>
      <c r="L33">
        <f t="shared" si="96"/>
        <v>0</v>
      </c>
      <c r="M33">
        <f t="shared" si="96"/>
        <v>0</v>
      </c>
      <c r="N33">
        <f t="shared" si="96"/>
        <v>0</v>
      </c>
      <c r="O33">
        <f t="shared" si="96"/>
        <v>0</v>
      </c>
      <c r="P33">
        <f t="shared" si="96"/>
        <v>0</v>
      </c>
      <c r="Q33">
        <f t="shared" si="96"/>
        <v>0</v>
      </c>
      <c r="R33">
        <f t="shared" si="96"/>
        <v>0</v>
      </c>
      <c r="S33">
        <f t="shared" si="96"/>
        <v>0</v>
      </c>
      <c r="T33">
        <f t="shared" si="96"/>
        <v>0</v>
      </c>
      <c r="U33">
        <f t="shared" si="96"/>
        <v>0</v>
      </c>
      <c r="V33">
        <f t="shared" si="96"/>
        <v>0</v>
      </c>
      <c r="W33">
        <f t="shared" si="96"/>
        <v>0</v>
      </c>
      <c r="X33">
        <f t="shared" si="96"/>
        <v>0</v>
      </c>
      <c r="Y33">
        <f t="shared" si="96"/>
        <v>0</v>
      </c>
      <c r="Z33">
        <f t="shared" si="96"/>
        <v>0</v>
      </c>
      <c r="AA33">
        <f t="shared" si="96"/>
        <v>0</v>
      </c>
      <c r="AB33">
        <f t="shared" si="96"/>
        <v>0</v>
      </c>
      <c r="AC33">
        <f t="shared" si="96"/>
        <v>0</v>
      </c>
      <c r="AD33">
        <f t="shared" si="96"/>
        <v>0</v>
      </c>
      <c r="AE33">
        <f t="shared" si="96"/>
        <v>0</v>
      </c>
      <c r="AF33">
        <f t="shared" si="96"/>
        <v>0</v>
      </c>
      <c r="AG33">
        <f t="shared" si="96"/>
        <v>0</v>
      </c>
      <c r="AH33">
        <f t="shared" si="96"/>
        <v>0</v>
      </c>
      <c r="AI33">
        <f t="shared" ref="AI33:BN33" si="97">AH33</f>
        <v>0</v>
      </c>
      <c r="AJ33">
        <f t="shared" si="97"/>
        <v>0</v>
      </c>
      <c r="AK33">
        <f t="shared" si="97"/>
        <v>0</v>
      </c>
      <c r="AL33">
        <f t="shared" si="97"/>
        <v>0</v>
      </c>
      <c r="AM33">
        <f t="shared" si="97"/>
        <v>0</v>
      </c>
      <c r="AN33">
        <f t="shared" si="97"/>
        <v>0</v>
      </c>
      <c r="AO33">
        <f t="shared" si="97"/>
        <v>0</v>
      </c>
      <c r="AP33">
        <f t="shared" si="97"/>
        <v>0</v>
      </c>
      <c r="AQ33">
        <f t="shared" si="97"/>
        <v>0</v>
      </c>
      <c r="AR33">
        <f t="shared" si="97"/>
        <v>0</v>
      </c>
      <c r="AS33">
        <f t="shared" si="97"/>
        <v>0</v>
      </c>
      <c r="AT33">
        <f t="shared" si="97"/>
        <v>0</v>
      </c>
      <c r="AU33">
        <f t="shared" si="97"/>
        <v>0</v>
      </c>
      <c r="AV33">
        <f t="shared" si="97"/>
        <v>0</v>
      </c>
      <c r="AW33">
        <f t="shared" si="97"/>
        <v>0</v>
      </c>
      <c r="AX33">
        <f t="shared" si="97"/>
        <v>0</v>
      </c>
      <c r="AY33">
        <f t="shared" si="97"/>
        <v>0</v>
      </c>
      <c r="AZ33">
        <f t="shared" si="97"/>
        <v>0</v>
      </c>
      <c r="BA33">
        <f t="shared" si="97"/>
        <v>0</v>
      </c>
      <c r="BB33">
        <f t="shared" si="97"/>
        <v>0</v>
      </c>
      <c r="BC33">
        <f t="shared" si="97"/>
        <v>0</v>
      </c>
      <c r="BD33">
        <f t="shared" si="97"/>
        <v>0</v>
      </c>
      <c r="BE33">
        <f t="shared" si="97"/>
        <v>0</v>
      </c>
      <c r="BF33">
        <f t="shared" si="97"/>
        <v>0</v>
      </c>
      <c r="BG33">
        <f t="shared" si="97"/>
        <v>0</v>
      </c>
      <c r="BH33">
        <f t="shared" si="97"/>
        <v>0</v>
      </c>
      <c r="BI33">
        <f t="shared" si="97"/>
        <v>0</v>
      </c>
      <c r="BJ33">
        <f t="shared" si="97"/>
        <v>0</v>
      </c>
      <c r="BK33">
        <f t="shared" si="97"/>
        <v>0</v>
      </c>
      <c r="BL33">
        <f t="shared" si="97"/>
        <v>0</v>
      </c>
      <c r="BM33">
        <f t="shared" si="97"/>
        <v>0</v>
      </c>
      <c r="BN33">
        <f t="shared" si="97"/>
        <v>0</v>
      </c>
      <c r="BO33">
        <f t="shared" ref="BO33:BT33" si="98">BN33</f>
        <v>0</v>
      </c>
      <c r="BP33">
        <f t="shared" si="98"/>
        <v>0</v>
      </c>
      <c r="BQ33">
        <f t="shared" si="98"/>
        <v>0</v>
      </c>
      <c r="BR33">
        <f t="shared" si="98"/>
        <v>0</v>
      </c>
      <c r="BS33">
        <f t="shared" si="98"/>
        <v>0</v>
      </c>
      <c r="BT33">
        <f t="shared" si="98"/>
        <v>0</v>
      </c>
    </row>
    <row r="34" spans="1:72" x14ac:dyDescent="0.25">
      <c r="A34" s="1" t="s">
        <v>33</v>
      </c>
      <c r="B34">
        <v>0</v>
      </c>
      <c r="C34">
        <f t="shared" ref="C34:AH34" si="99">B34</f>
        <v>0</v>
      </c>
      <c r="D34">
        <f t="shared" si="99"/>
        <v>0</v>
      </c>
      <c r="E34">
        <f t="shared" si="99"/>
        <v>0</v>
      </c>
      <c r="F34">
        <f t="shared" si="99"/>
        <v>0</v>
      </c>
      <c r="G34">
        <f t="shared" si="99"/>
        <v>0</v>
      </c>
      <c r="H34">
        <f t="shared" si="99"/>
        <v>0</v>
      </c>
      <c r="I34">
        <f t="shared" si="99"/>
        <v>0</v>
      </c>
      <c r="J34">
        <f t="shared" si="99"/>
        <v>0</v>
      </c>
      <c r="K34">
        <f t="shared" si="99"/>
        <v>0</v>
      </c>
      <c r="L34">
        <f t="shared" si="99"/>
        <v>0</v>
      </c>
      <c r="M34">
        <f t="shared" si="99"/>
        <v>0</v>
      </c>
      <c r="N34">
        <f t="shared" si="99"/>
        <v>0</v>
      </c>
      <c r="O34">
        <f t="shared" si="99"/>
        <v>0</v>
      </c>
      <c r="P34">
        <f t="shared" si="99"/>
        <v>0</v>
      </c>
      <c r="Q34">
        <f t="shared" si="99"/>
        <v>0</v>
      </c>
      <c r="R34">
        <f t="shared" si="99"/>
        <v>0</v>
      </c>
      <c r="S34">
        <f t="shared" si="99"/>
        <v>0</v>
      </c>
      <c r="T34">
        <f t="shared" si="99"/>
        <v>0</v>
      </c>
      <c r="U34">
        <f t="shared" si="99"/>
        <v>0</v>
      </c>
      <c r="V34">
        <f t="shared" si="99"/>
        <v>0</v>
      </c>
      <c r="W34">
        <f t="shared" si="99"/>
        <v>0</v>
      </c>
      <c r="X34">
        <f t="shared" si="99"/>
        <v>0</v>
      </c>
      <c r="Y34">
        <f t="shared" si="99"/>
        <v>0</v>
      </c>
      <c r="Z34">
        <f t="shared" si="99"/>
        <v>0</v>
      </c>
      <c r="AA34">
        <f t="shared" si="99"/>
        <v>0</v>
      </c>
      <c r="AB34">
        <f t="shared" si="99"/>
        <v>0</v>
      </c>
      <c r="AC34">
        <f t="shared" si="99"/>
        <v>0</v>
      </c>
      <c r="AD34">
        <f t="shared" si="99"/>
        <v>0</v>
      </c>
      <c r="AE34">
        <f t="shared" si="99"/>
        <v>0</v>
      </c>
      <c r="AF34">
        <f t="shared" si="99"/>
        <v>0</v>
      </c>
      <c r="AG34">
        <f t="shared" si="99"/>
        <v>0</v>
      </c>
      <c r="AH34">
        <f t="shared" si="99"/>
        <v>0</v>
      </c>
      <c r="AI34">
        <f t="shared" ref="AI34:BN34" si="100">AH34</f>
        <v>0</v>
      </c>
      <c r="AJ34">
        <f t="shared" si="100"/>
        <v>0</v>
      </c>
      <c r="AK34">
        <f t="shared" si="100"/>
        <v>0</v>
      </c>
      <c r="AL34">
        <f t="shared" si="100"/>
        <v>0</v>
      </c>
      <c r="AM34">
        <f t="shared" si="100"/>
        <v>0</v>
      </c>
      <c r="AN34">
        <f t="shared" si="100"/>
        <v>0</v>
      </c>
      <c r="AO34">
        <f t="shared" si="100"/>
        <v>0</v>
      </c>
      <c r="AP34">
        <f t="shared" si="100"/>
        <v>0</v>
      </c>
      <c r="AQ34">
        <f t="shared" si="100"/>
        <v>0</v>
      </c>
      <c r="AR34">
        <f t="shared" si="100"/>
        <v>0</v>
      </c>
      <c r="AS34">
        <f t="shared" si="100"/>
        <v>0</v>
      </c>
      <c r="AT34">
        <f t="shared" si="100"/>
        <v>0</v>
      </c>
      <c r="AU34">
        <f t="shared" si="100"/>
        <v>0</v>
      </c>
      <c r="AV34">
        <f t="shared" si="100"/>
        <v>0</v>
      </c>
      <c r="AW34">
        <f t="shared" si="100"/>
        <v>0</v>
      </c>
      <c r="AX34">
        <f t="shared" si="100"/>
        <v>0</v>
      </c>
      <c r="AY34">
        <f t="shared" si="100"/>
        <v>0</v>
      </c>
      <c r="AZ34">
        <f t="shared" si="100"/>
        <v>0</v>
      </c>
      <c r="BA34">
        <f t="shared" si="100"/>
        <v>0</v>
      </c>
      <c r="BB34">
        <f t="shared" si="100"/>
        <v>0</v>
      </c>
      <c r="BC34">
        <f t="shared" si="100"/>
        <v>0</v>
      </c>
      <c r="BD34">
        <f t="shared" si="100"/>
        <v>0</v>
      </c>
      <c r="BE34">
        <f t="shared" si="100"/>
        <v>0</v>
      </c>
      <c r="BF34">
        <f t="shared" si="100"/>
        <v>0</v>
      </c>
      <c r="BG34">
        <f t="shared" si="100"/>
        <v>0</v>
      </c>
      <c r="BH34">
        <f t="shared" si="100"/>
        <v>0</v>
      </c>
      <c r="BI34">
        <f t="shared" si="100"/>
        <v>0</v>
      </c>
      <c r="BJ34">
        <f t="shared" si="100"/>
        <v>0</v>
      </c>
      <c r="BK34">
        <f t="shared" si="100"/>
        <v>0</v>
      </c>
      <c r="BL34">
        <f t="shared" si="100"/>
        <v>0</v>
      </c>
      <c r="BM34">
        <f t="shared" si="100"/>
        <v>0</v>
      </c>
      <c r="BN34">
        <f t="shared" si="100"/>
        <v>0</v>
      </c>
      <c r="BO34">
        <f t="shared" ref="BO34:BT34" si="101">BN34</f>
        <v>0</v>
      </c>
      <c r="BP34">
        <f t="shared" si="101"/>
        <v>0</v>
      </c>
      <c r="BQ34">
        <f t="shared" si="101"/>
        <v>0</v>
      </c>
      <c r="BR34">
        <f t="shared" si="101"/>
        <v>0</v>
      </c>
      <c r="BS34">
        <f t="shared" si="101"/>
        <v>0</v>
      </c>
      <c r="BT34">
        <f t="shared" si="101"/>
        <v>0</v>
      </c>
    </row>
    <row r="35" spans="1:72" x14ac:dyDescent="0.25">
      <c r="A35" s="1" t="s">
        <v>34</v>
      </c>
      <c r="B35">
        <v>10.08</v>
      </c>
      <c r="C35">
        <f t="shared" ref="C35:AH35" si="102">B35</f>
        <v>10.08</v>
      </c>
      <c r="D35">
        <f t="shared" si="102"/>
        <v>10.08</v>
      </c>
      <c r="E35">
        <f t="shared" si="102"/>
        <v>10.08</v>
      </c>
      <c r="F35">
        <f t="shared" si="102"/>
        <v>10.08</v>
      </c>
      <c r="G35">
        <f t="shared" si="102"/>
        <v>10.08</v>
      </c>
      <c r="H35">
        <f t="shared" si="102"/>
        <v>10.08</v>
      </c>
      <c r="I35">
        <f t="shared" si="102"/>
        <v>10.08</v>
      </c>
      <c r="J35">
        <f t="shared" si="102"/>
        <v>10.08</v>
      </c>
      <c r="K35">
        <f t="shared" si="102"/>
        <v>10.08</v>
      </c>
      <c r="L35">
        <f t="shared" si="102"/>
        <v>10.08</v>
      </c>
      <c r="M35">
        <f t="shared" si="102"/>
        <v>10.08</v>
      </c>
      <c r="N35">
        <f t="shared" si="102"/>
        <v>10.08</v>
      </c>
      <c r="O35">
        <f t="shared" si="102"/>
        <v>10.08</v>
      </c>
      <c r="P35">
        <f t="shared" si="102"/>
        <v>10.08</v>
      </c>
      <c r="Q35">
        <f t="shared" si="102"/>
        <v>10.08</v>
      </c>
      <c r="R35">
        <f t="shared" si="102"/>
        <v>10.08</v>
      </c>
      <c r="S35">
        <f t="shared" si="102"/>
        <v>10.08</v>
      </c>
      <c r="T35">
        <f t="shared" si="102"/>
        <v>10.08</v>
      </c>
      <c r="U35">
        <f t="shared" si="102"/>
        <v>10.08</v>
      </c>
      <c r="V35">
        <f t="shared" si="102"/>
        <v>10.08</v>
      </c>
      <c r="W35">
        <f t="shared" si="102"/>
        <v>10.08</v>
      </c>
      <c r="X35">
        <f t="shared" si="102"/>
        <v>10.08</v>
      </c>
      <c r="Y35">
        <f t="shared" si="102"/>
        <v>10.08</v>
      </c>
      <c r="Z35">
        <f t="shared" si="102"/>
        <v>10.08</v>
      </c>
      <c r="AA35">
        <f t="shared" si="102"/>
        <v>10.08</v>
      </c>
      <c r="AB35">
        <f t="shared" si="102"/>
        <v>10.08</v>
      </c>
      <c r="AC35">
        <f t="shared" si="102"/>
        <v>10.08</v>
      </c>
      <c r="AD35">
        <f t="shared" si="102"/>
        <v>10.08</v>
      </c>
      <c r="AE35">
        <f t="shared" si="102"/>
        <v>10.08</v>
      </c>
      <c r="AF35">
        <f t="shared" si="102"/>
        <v>10.08</v>
      </c>
      <c r="AG35">
        <f t="shared" si="102"/>
        <v>10.08</v>
      </c>
      <c r="AH35">
        <f t="shared" si="102"/>
        <v>10.08</v>
      </c>
      <c r="AI35">
        <f t="shared" ref="AI35:BN35" si="103">AH35</f>
        <v>10.08</v>
      </c>
      <c r="AJ35">
        <f t="shared" si="103"/>
        <v>10.08</v>
      </c>
      <c r="AK35">
        <f t="shared" si="103"/>
        <v>10.08</v>
      </c>
      <c r="AL35">
        <f t="shared" si="103"/>
        <v>10.08</v>
      </c>
      <c r="AM35">
        <f t="shared" si="103"/>
        <v>10.08</v>
      </c>
      <c r="AN35">
        <f t="shared" si="103"/>
        <v>10.08</v>
      </c>
      <c r="AO35">
        <f t="shared" si="103"/>
        <v>10.08</v>
      </c>
      <c r="AP35">
        <f t="shared" si="103"/>
        <v>10.08</v>
      </c>
      <c r="AQ35">
        <f t="shared" si="103"/>
        <v>10.08</v>
      </c>
      <c r="AR35">
        <f t="shared" si="103"/>
        <v>10.08</v>
      </c>
      <c r="AS35">
        <f t="shared" si="103"/>
        <v>10.08</v>
      </c>
      <c r="AT35">
        <f t="shared" si="103"/>
        <v>10.08</v>
      </c>
      <c r="AU35">
        <f t="shared" si="103"/>
        <v>10.08</v>
      </c>
      <c r="AV35">
        <f t="shared" si="103"/>
        <v>10.08</v>
      </c>
      <c r="AW35">
        <f t="shared" si="103"/>
        <v>10.08</v>
      </c>
      <c r="AX35">
        <f t="shared" si="103"/>
        <v>10.08</v>
      </c>
      <c r="AY35">
        <f t="shared" si="103"/>
        <v>10.08</v>
      </c>
      <c r="AZ35">
        <f t="shared" si="103"/>
        <v>10.08</v>
      </c>
      <c r="BA35">
        <f t="shared" si="103"/>
        <v>10.08</v>
      </c>
      <c r="BB35">
        <f t="shared" si="103"/>
        <v>10.08</v>
      </c>
      <c r="BC35">
        <f t="shared" si="103"/>
        <v>10.08</v>
      </c>
      <c r="BD35">
        <f t="shared" si="103"/>
        <v>10.08</v>
      </c>
      <c r="BE35">
        <f t="shared" si="103"/>
        <v>10.08</v>
      </c>
      <c r="BF35">
        <f t="shared" si="103"/>
        <v>10.08</v>
      </c>
      <c r="BG35">
        <f t="shared" si="103"/>
        <v>10.08</v>
      </c>
      <c r="BH35">
        <f t="shared" si="103"/>
        <v>10.08</v>
      </c>
      <c r="BI35">
        <f t="shared" si="103"/>
        <v>10.08</v>
      </c>
      <c r="BJ35">
        <f t="shared" si="103"/>
        <v>10.08</v>
      </c>
      <c r="BK35">
        <f t="shared" si="103"/>
        <v>10.08</v>
      </c>
      <c r="BL35">
        <f t="shared" si="103"/>
        <v>10.08</v>
      </c>
      <c r="BM35">
        <f t="shared" si="103"/>
        <v>10.08</v>
      </c>
      <c r="BN35">
        <f t="shared" si="103"/>
        <v>10.08</v>
      </c>
      <c r="BO35">
        <f t="shared" ref="BO35:BT35" si="104">BN35</f>
        <v>10.08</v>
      </c>
      <c r="BP35">
        <f t="shared" si="104"/>
        <v>10.08</v>
      </c>
      <c r="BQ35">
        <f t="shared" si="104"/>
        <v>10.08</v>
      </c>
      <c r="BR35">
        <f t="shared" si="104"/>
        <v>10.08</v>
      </c>
      <c r="BS35">
        <f t="shared" si="104"/>
        <v>10.08</v>
      </c>
      <c r="BT35">
        <f t="shared" si="104"/>
        <v>10.08</v>
      </c>
    </row>
    <row r="36" spans="1:72" x14ac:dyDescent="0.25">
      <c r="A36" s="1" t="s">
        <v>35</v>
      </c>
      <c r="B36">
        <v>0</v>
      </c>
      <c r="C36">
        <f t="shared" ref="C36:AH36" si="105">B36</f>
        <v>0</v>
      </c>
      <c r="D36">
        <f t="shared" si="105"/>
        <v>0</v>
      </c>
      <c r="E36">
        <f t="shared" si="105"/>
        <v>0</v>
      </c>
      <c r="F36">
        <f t="shared" si="105"/>
        <v>0</v>
      </c>
      <c r="G36">
        <f t="shared" si="105"/>
        <v>0</v>
      </c>
      <c r="H36">
        <f t="shared" si="105"/>
        <v>0</v>
      </c>
      <c r="I36">
        <f t="shared" si="105"/>
        <v>0</v>
      </c>
      <c r="J36">
        <f t="shared" si="105"/>
        <v>0</v>
      </c>
      <c r="K36">
        <f t="shared" si="105"/>
        <v>0</v>
      </c>
      <c r="L36">
        <f t="shared" si="105"/>
        <v>0</v>
      </c>
      <c r="M36">
        <f t="shared" si="105"/>
        <v>0</v>
      </c>
      <c r="N36">
        <f t="shared" si="105"/>
        <v>0</v>
      </c>
      <c r="O36">
        <f t="shared" si="105"/>
        <v>0</v>
      </c>
      <c r="P36">
        <f t="shared" si="105"/>
        <v>0</v>
      </c>
      <c r="Q36">
        <f t="shared" si="105"/>
        <v>0</v>
      </c>
      <c r="R36">
        <f t="shared" si="105"/>
        <v>0</v>
      </c>
      <c r="S36">
        <f t="shared" si="105"/>
        <v>0</v>
      </c>
      <c r="T36">
        <f t="shared" si="105"/>
        <v>0</v>
      </c>
      <c r="U36">
        <f t="shared" si="105"/>
        <v>0</v>
      </c>
      <c r="V36">
        <f t="shared" si="105"/>
        <v>0</v>
      </c>
      <c r="W36">
        <f t="shared" si="105"/>
        <v>0</v>
      </c>
      <c r="X36">
        <f t="shared" si="105"/>
        <v>0</v>
      </c>
      <c r="Y36">
        <f t="shared" si="105"/>
        <v>0</v>
      </c>
      <c r="Z36">
        <f t="shared" si="105"/>
        <v>0</v>
      </c>
      <c r="AA36">
        <f t="shared" si="105"/>
        <v>0</v>
      </c>
      <c r="AB36">
        <f t="shared" si="105"/>
        <v>0</v>
      </c>
      <c r="AC36">
        <f t="shared" si="105"/>
        <v>0</v>
      </c>
      <c r="AD36">
        <f t="shared" si="105"/>
        <v>0</v>
      </c>
      <c r="AE36">
        <f t="shared" si="105"/>
        <v>0</v>
      </c>
      <c r="AF36">
        <f t="shared" si="105"/>
        <v>0</v>
      </c>
      <c r="AG36">
        <f t="shared" si="105"/>
        <v>0</v>
      </c>
      <c r="AH36">
        <f t="shared" si="105"/>
        <v>0</v>
      </c>
      <c r="AI36">
        <f t="shared" ref="AI36:BN36" si="106">AH36</f>
        <v>0</v>
      </c>
      <c r="AJ36">
        <f t="shared" si="106"/>
        <v>0</v>
      </c>
      <c r="AK36">
        <f t="shared" si="106"/>
        <v>0</v>
      </c>
      <c r="AL36">
        <f t="shared" si="106"/>
        <v>0</v>
      </c>
      <c r="AM36">
        <f t="shared" si="106"/>
        <v>0</v>
      </c>
      <c r="AN36">
        <f t="shared" si="106"/>
        <v>0</v>
      </c>
      <c r="AO36">
        <f t="shared" si="106"/>
        <v>0</v>
      </c>
      <c r="AP36">
        <f t="shared" si="106"/>
        <v>0</v>
      </c>
      <c r="AQ36">
        <f t="shared" si="106"/>
        <v>0</v>
      </c>
      <c r="AR36">
        <f t="shared" si="106"/>
        <v>0</v>
      </c>
      <c r="AS36">
        <f t="shared" si="106"/>
        <v>0</v>
      </c>
      <c r="AT36">
        <f t="shared" si="106"/>
        <v>0</v>
      </c>
      <c r="AU36">
        <f t="shared" si="106"/>
        <v>0</v>
      </c>
      <c r="AV36">
        <f t="shared" si="106"/>
        <v>0</v>
      </c>
      <c r="AW36">
        <f t="shared" si="106"/>
        <v>0</v>
      </c>
      <c r="AX36">
        <f t="shared" si="106"/>
        <v>0</v>
      </c>
      <c r="AY36">
        <f t="shared" si="106"/>
        <v>0</v>
      </c>
      <c r="AZ36">
        <f t="shared" si="106"/>
        <v>0</v>
      </c>
      <c r="BA36">
        <f t="shared" si="106"/>
        <v>0</v>
      </c>
      <c r="BB36">
        <f t="shared" si="106"/>
        <v>0</v>
      </c>
      <c r="BC36">
        <f t="shared" si="106"/>
        <v>0</v>
      </c>
      <c r="BD36">
        <f t="shared" si="106"/>
        <v>0</v>
      </c>
      <c r="BE36">
        <f t="shared" si="106"/>
        <v>0</v>
      </c>
      <c r="BF36">
        <f t="shared" si="106"/>
        <v>0</v>
      </c>
      <c r="BG36">
        <f t="shared" si="106"/>
        <v>0</v>
      </c>
      <c r="BH36">
        <f t="shared" si="106"/>
        <v>0</v>
      </c>
      <c r="BI36">
        <f t="shared" si="106"/>
        <v>0</v>
      </c>
      <c r="BJ36">
        <f t="shared" si="106"/>
        <v>0</v>
      </c>
      <c r="BK36">
        <f t="shared" si="106"/>
        <v>0</v>
      </c>
      <c r="BL36">
        <f t="shared" si="106"/>
        <v>0</v>
      </c>
      <c r="BM36">
        <f t="shared" si="106"/>
        <v>0</v>
      </c>
      <c r="BN36">
        <f t="shared" si="106"/>
        <v>0</v>
      </c>
      <c r="BO36">
        <f t="shared" ref="BO36:BT36" si="107">BN36</f>
        <v>0</v>
      </c>
      <c r="BP36">
        <f t="shared" si="107"/>
        <v>0</v>
      </c>
      <c r="BQ36">
        <f t="shared" si="107"/>
        <v>0</v>
      </c>
      <c r="BR36">
        <f t="shared" si="107"/>
        <v>0</v>
      </c>
      <c r="BS36">
        <f t="shared" si="107"/>
        <v>0</v>
      </c>
      <c r="BT36">
        <f t="shared" si="107"/>
        <v>0</v>
      </c>
    </row>
    <row r="37" spans="1:72" x14ac:dyDescent="0.25">
      <c r="A37" s="1" t="s">
        <v>36</v>
      </c>
      <c r="B37">
        <v>16.12</v>
      </c>
      <c r="C37">
        <f t="shared" ref="C37:AH37" si="108">B37</f>
        <v>16.12</v>
      </c>
      <c r="D37">
        <f t="shared" si="108"/>
        <v>16.12</v>
      </c>
      <c r="E37">
        <f t="shared" si="108"/>
        <v>16.12</v>
      </c>
      <c r="F37">
        <f t="shared" si="108"/>
        <v>16.12</v>
      </c>
      <c r="G37">
        <f t="shared" si="108"/>
        <v>16.12</v>
      </c>
      <c r="H37">
        <f t="shared" si="108"/>
        <v>16.12</v>
      </c>
      <c r="I37">
        <f t="shared" si="108"/>
        <v>16.12</v>
      </c>
      <c r="J37">
        <f t="shared" si="108"/>
        <v>16.12</v>
      </c>
      <c r="K37">
        <f t="shared" si="108"/>
        <v>16.12</v>
      </c>
      <c r="L37">
        <f t="shared" si="108"/>
        <v>16.12</v>
      </c>
      <c r="M37">
        <f t="shared" si="108"/>
        <v>16.12</v>
      </c>
      <c r="N37">
        <f t="shared" si="108"/>
        <v>16.12</v>
      </c>
      <c r="O37">
        <f t="shared" si="108"/>
        <v>16.12</v>
      </c>
      <c r="P37">
        <f t="shared" si="108"/>
        <v>16.12</v>
      </c>
      <c r="Q37">
        <f t="shared" si="108"/>
        <v>16.12</v>
      </c>
      <c r="R37">
        <f t="shared" si="108"/>
        <v>16.12</v>
      </c>
      <c r="S37">
        <f t="shared" si="108"/>
        <v>16.12</v>
      </c>
      <c r="T37">
        <f t="shared" si="108"/>
        <v>16.12</v>
      </c>
      <c r="U37">
        <f t="shared" si="108"/>
        <v>16.12</v>
      </c>
      <c r="V37">
        <f t="shared" si="108"/>
        <v>16.12</v>
      </c>
      <c r="W37">
        <f t="shared" si="108"/>
        <v>16.12</v>
      </c>
      <c r="X37">
        <f t="shared" si="108"/>
        <v>16.12</v>
      </c>
      <c r="Y37">
        <f t="shared" si="108"/>
        <v>16.12</v>
      </c>
      <c r="Z37">
        <f t="shared" si="108"/>
        <v>16.12</v>
      </c>
      <c r="AA37">
        <f t="shared" si="108"/>
        <v>16.12</v>
      </c>
      <c r="AB37">
        <f t="shared" si="108"/>
        <v>16.12</v>
      </c>
      <c r="AC37">
        <f t="shared" si="108"/>
        <v>16.12</v>
      </c>
      <c r="AD37">
        <f t="shared" si="108"/>
        <v>16.12</v>
      </c>
      <c r="AE37">
        <f t="shared" si="108"/>
        <v>16.12</v>
      </c>
      <c r="AF37">
        <f t="shared" si="108"/>
        <v>16.12</v>
      </c>
      <c r="AG37">
        <f t="shared" si="108"/>
        <v>16.12</v>
      </c>
      <c r="AH37">
        <f t="shared" si="108"/>
        <v>16.12</v>
      </c>
      <c r="AI37">
        <f t="shared" ref="AI37:BN37" si="109">AH37</f>
        <v>16.12</v>
      </c>
      <c r="AJ37">
        <f t="shared" si="109"/>
        <v>16.12</v>
      </c>
      <c r="AK37">
        <f t="shared" si="109"/>
        <v>16.12</v>
      </c>
      <c r="AL37">
        <f t="shared" si="109"/>
        <v>16.12</v>
      </c>
      <c r="AM37">
        <f t="shared" si="109"/>
        <v>16.12</v>
      </c>
      <c r="AN37">
        <f t="shared" si="109"/>
        <v>16.12</v>
      </c>
      <c r="AO37">
        <f t="shared" si="109"/>
        <v>16.12</v>
      </c>
      <c r="AP37">
        <f t="shared" si="109"/>
        <v>16.12</v>
      </c>
      <c r="AQ37">
        <f t="shared" si="109"/>
        <v>16.12</v>
      </c>
      <c r="AR37">
        <f t="shared" si="109"/>
        <v>16.12</v>
      </c>
      <c r="AS37">
        <f t="shared" si="109"/>
        <v>16.12</v>
      </c>
      <c r="AT37">
        <f t="shared" si="109"/>
        <v>16.12</v>
      </c>
      <c r="AU37">
        <f t="shared" si="109"/>
        <v>16.12</v>
      </c>
      <c r="AV37">
        <f t="shared" si="109"/>
        <v>16.12</v>
      </c>
      <c r="AW37">
        <f t="shared" si="109"/>
        <v>16.12</v>
      </c>
      <c r="AX37">
        <f t="shared" si="109"/>
        <v>16.12</v>
      </c>
      <c r="AY37">
        <f t="shared" si="109"/>
        <v>16.12</v>
      </c>
      <c r="AZ37">
        <f t="shared" si="109"/>
        <v>16.12</v>
      </c>
      <c r="BA37">
        <f t="shared" si="109"/>
        <v>16.12</v>
      </c>
      <c r="BB37">
        <f t="shared" si="109"/>
        <v>16.12</v>
      </c>
      <c r="BC37">
        <f t="shared" si="109"/>
        <v>16.12</v>
      </c>
      <c r="BD37">
        <f t="shared" si="109"/>
        <v>16.12</v>
      </c>
      <c r="BE37">
        <f t="shared" si="109"/>
        <v>16.12</v>
      </c>
      <c r="BF37">
        <f t="shared" si="109"/>
        <v>16.12</v>
      </c>
      <c r="BG37">
        <f t="shared" si="109"/>
        <v>16.12</v>
      </c>
      <c r="BH37">
        <f t="shared" si="109"/>
        <v>16.12</v>
      </c>
      <c r="BI37">
        <f t="shared" si="109"/>
        <v>16.12</v>
      </c>
      <c r="BJ37">
        <f t="shared" si="109"/>
        <v>16.12</v>
      </c>
      <c r="BK37">
        <f t="shared" si="109"/>
        <v>16.12</v>
      </c>
      <c r="BL37">
        <f t="shared" si="109"/>
        <v>16.12</v>
      </c>
      <c r="BM37">
        <f t="shared" si="109"/>
        <v>16.12</v>
      </c>
      <c r="BN37">
        <f t="shared" si="109"/>
        <v>16.12</v>
      </c>
      <c r="BO37">
        <f t="shared" ref="BO37:BT37" si="110">BN37</f>
        <v>16.12</v>
      </c>
      <c r="BP37">
        <f t="shared" si="110"/>
        <v>16.12</v>
      </c>
      <c r="BQ37">
        <f t="shared" si="110"/>
        <v>16.12</v>
      </c>
      <c r="BR37">
        <f t="shared" si="110"/>
        <v>16.12</v>
      </c>
      <c r="BS37">
        <f t="shared" si="110"/>
        <v>16.12</v>
      </c>
      <c r="BT37">
        <f t="shared" si="110"/>
        <v>16.12</v>
      </c>
    </row>
    <row r="38" spans="1:72" x14ac:dyDescent="0.25">
      <c r="A38" s="1" t="s">
        <v>37</v>
      </c>
      <c r="B38">
        <v>127.25</v>
      </c>
      <c r="C38">
        <f t="shared" ref="C38:AH38" si="111">B38</f>
        <v>127.25</v>
      </c>
      <c r="D38">
        <f t="shared" si="111"/>
        <v>127.25</v>
      </c>
      <c r="E38">
        <f t="shared" si="111"/>
        <v>127.25</v>
      </c>
      <c r="F38">
        <f t="shared" si="111"/>
        <v>127.25</v>
      </c>
      <c r="G38">
        <f t="shared" si="111"/>
        <v>127.25</v>
      </c>
      <c r="H38">
        <f t="shared" si="111"/>
        <v>127.25</v>
      </c>
      <c r="I38">
        <f t="shared" si="111"/>
        <v>127.25</v>
      </c>
      <c r="J38">
        <f t="shared" si="111"/>
        <v>127.25</v>
      </c>
      <c r="K38">
        <f t="shared" si="111"/>
        <v>127.25</v>
      </c>
      <c r="L38">
        <f t="shared" si="111"/>
        <v>127.25</v>
      </c>
      <c r="M38">
        <f t="shared" si="111"/>
        <v>127.25</v>
      </c>
      <c r="N38">
        <f t="shared" si="111"/>
        <v>127.25</v>
      </c>
      <c r="O38">
        <f t="shared" si="111"/>
        <v>127.25</v>
      </c>
      <c r="P38">
        <f t="shared" si="111"/>
        <v>127.25</v>
      </c>
      <c r="Q38">
        <f t="shared" si="111"/>
        <v>127.25</v>
      </c>
      <c r="R38">
        <f t="shared" si="111"/>
        <v>127.25</v>
      </c>
      <c r="S38">
        <f t="shared" si="111"/>
        <v>127.25</v>
      </c>
      <c r="T38">
        <f t="shared" si="111"/>
        <v>127.25</v>
      </c>
      <c r="U38">
        <f t="shared" si="111"/>
        <v>127.25</v>
      </c>
      <c r="V38">
        <f t="shared" si="111"/>
        <v>127.25</v>
      </c>
      <c r="W38">
        <f t="shared" si="111"/>
        <v>127.25</v>
      </c>
      <c r="X38">
        <f t="shared" si="111"/>
        <v>127.25</v>
      </c>
      <c r="Y38">
        <f t="shared" si="111"/>
        <v>127.25</v>
      </c>
      <c r="Z38">
        <f t="shared" si="111"/>
        <v>127.25</v>
      </c>
      <c r="AA38">
        <f t="shared" si="111"/>
        <v>127.25</v>
      </c>
      <c r="AB38">
        <f t="shared" si="111"/>
        <v>127.25</v>
      </c>
      <c r="AC38">
        <f t="shared" si="111"/>
        <v>127.25</v>
      </c>
      <c r="AD38">
        <f t="shared" si="111"/>
        <v>127.25</v>
      </c>
      <c r="AE38">
        <f t="shared" si="111"/>
        <v>127.25</v>
      </c>
      <c r="AF38">
        <f t="shared" si="111"/>
        <v>127.25</v>
      </c>
      <c r="AG38">
        <f t="shared" si="111"/>
        <v>127.25</v>
      </c>
      <c r="AH38">
        <f t="shared" si="111"/>
        <v>127.25</v>
      </c>
      <c r="AI38">
        <f t="shared" ref="AI38:BN38" si="112">AH38</f>
        <v>127.25</v>
      </c>
      <c r="AJ38">
        <f t="shared" si="112"/>
        <v>127.25</v>
      </c>
      <c r="AK38">
        <f t="shared" si="112"/>
        <v>127.25</v>
      </c>
      <c r="AL38">
        <f t="shared" si="112"/>
        <v>127.25</v>
      </c>
      <c r="AM38">
        <f t="shared" si="112"/>
        <v>127.25</v>
      </c>
      <c r="AN38">
        <f t="shared" si="112"/>
        <v>127.25</v>
      </c>
      <c r="AO38">
        <f t="shared" si="112"/>
        <v>127.25</v>
      </c>
      <c r="AP38">
        <f t="shared" si="112"/>
        <v>127.25</v>
      </c>
      <c r="AQ38">
        <f t="shared" si="112"/>
        <v>127.25</v>
      </c>
      <c r="AR38">
        <f t="shared" si="112"/>
        <v>127.25</v>
      </c>
      <c r="AS38">
        <f t="shared" si="112"/>
        <v>127.25</v>
      </c>
      <c r="AT38">
        <f t="shared" si="112"/>
        <v>127.25</v>
      </c>
      <c r="AU38">
        <f t="shared" si="112"/>
        <v>127.25</v>
      </c>
      <c r="AV38">
        <f t="shared" si="112"/>
        <v>127.25</v>
      </c>
      <c r="AW38">
        <f t="shared" si="112"/>
        <v>127.25</v>
      </c>
      <c r="AX38">
        <f t="shared" si="112"/>
        <v>127.25</v>
      </c>
      <c r="AY38">
        <f t="shared" si="112"/>
        <v>127.25</v>
      </c>
      <c r="AZ38">
        <f t="shared" si="112"/>
        <v>127.25</v>
      </c>
      <c r="BA38">
        <f t="shared" si="112"/>
        <v>127.25</v>
      </c>
      <c r="BB38">
        <f t="shared" si="112"/>
        <v>127.25</v>
      </c>
      <c r="BC38">
        <f t="shared" si="112"/>
        <v>127.25</v>
      </c>
      <c r="BD38">
        <f t="shared" si="112"/>
        <v>127.25</v>
      </c>
      <c r="BE38">
        <f t="shared" si="112"/>
        <v>127.25</v>
      </c>
      <c r="BF38">
        <f t="shared" si="112"/>
        <v>127.25</v>
      </c>
      <c r="BG38">
        <f t="shared" si="112"/>
        <v>127.25</v>
      </c>
      <c r="BH38">
        <f t="shared" si="112"/>
        <v>127.25</v>
      </c>
      <c r="BI38">
        <f t="shared" si="112"/>
        <v>127.25</v>
      </c>
      <c r="BJ38">
        <f t="shared" si="112"/>
        <v>127.25</v>
      </c>
      <c r="BK38">
        <f t="shared" si="112"/>
        <v>127.25</v>
      </c>
      <c r="BL38">
        <f t="shared" si="112"/>
        <v>127.25</v>
      </c>
      <c r="BM38">
        <f t="shared" si="112"/>
        <v>127.25</v>
      </c>
      <c r="BN38">
        <f t="shared" si="112"/>
        <v>127.25</v>
      </c>
      <c r="BO38">
        <f t="shared" ref="BO38:BT38" si="113">BN38</f>
        <v>127.25</v>
      </c>
      <c r="BP38">
        <f t="shared" si="113"/>
        <v>127.25</v>
      </c>
      <c r="BQ38">
        <f t="shared" si="113"/>
        <v>127.25</v>
      </c>
      <c r="BR38">
        <f t="shared" si="113"/>
        <v>127.25</v>
      </c>
      <c r="BS38">
        <f t="shared" si="113"/>
        <v>127.25</v>
      </c>
      <c r="BT38">
        <f t="shared" si="113"/>
        <v>127.25</v>
      </c>
    </row>
    <row r="39" spans="1:72" x14ac:dyDescent="0.25">
      <c r="A39" s="1" t="s">
        <v>38</v>
      </c>
      <c r="B39">
        <v>132.12</v>
      </c>
      <c r="C39">
        <f t="shared" ref="C39:AH39" si="114">B39</f>
        <v>132.12</v>
      </c>
      <c r="D39">
        <f t="shared" si="114"/>
        <v>132.12</v>
      </c>
      <c r="E39">
        <f t="shared" si="114"/>
        <v>132.12</v>
      </c>
      <c r="F39">
        <f t="shared" si="114"/>
        <v>132.12</v>
      </c>
      <c r="G39">
        <f t="shared" si="114"/>
        <v>132.12</v>
      </c>
      <c r="H39">
        <f t="shared" si="114"/>
        <v>132.12</v>
      </c>
      <c r="I39">
        <f t="shared" si="114"/>
        <v>132.12</v>
      </c>
      <c r="J39">
        <f t="shared" si="114"/>
        <v>132.12</v>
      </c>
      <c r="K39">
        <f t="shared" si="114"/>
        <v>132.12</v>
      </c>
      <c r="L39">
        <f t="shared" si="114"/>
        <v>132.12</v>
      </c>
      <c r="M39">
        <f t="shared" si="114"/>
        <v>132.12</v>
      </c>
      <c r="N39">
        <f t="shared" si="114"/>
        <v>132.12</v>
      </c>
      <c r="O39">
        <f t="shared" si="114"/>
        <v>132.12</v>
      </c>
      <c r="P39">
        <f t="shared" si="114"/>
        <v>132.12</v>
      </c>
      <c r="Q39">
        <f t="shared" si="114"/>
        <v>132.12</v>
      </c>
      <c r="R39">
        <f t="shared" si="114"/>
        <v>132.12</v>
      </c>
      <c r="S39">
        <f t="shared" si="114"/>
        <v>132.12</v>
      </c>
      <c r="T39">
        <f t="shared" si="114"/>
        <v>132.12</v>
      </c>
      <c r="U39">
        <f t="shared" si="114"/>
        <v>132.12</v>
      </c>
      <c r="V39">
        <f t="shared" si="114"/>
        <v>132.12</v>
      </c>
      <c r="W39">
        <f t="shared" si="114"/>
        <v>132.12</v>
      </c>
      <c r="X39">
        <f t="shared" si="114"/>
        <v>132.12</v>
      </c>
      <c r="Y39">
        <f t="shared" si="114"/>
        <v>132.12</v>
      </c>
      <c r="Z39">
        <f t="shared" si="114"/>
        <v>132.12</v>
      </c>
      <c r="AA39">
        <f t="shared" si="114"/>
        <v>132.12</v>
      </c>
      <c r="AB39">
        <f t="shared" si="114"/>
        <v>132.12</v>
      </c>
      <c r="AC39">
        <f t="shared" si="114"/>
        <v>132.12</v>
      </c>
      <c r="AD39">
        <f t="shared" si="114"/>
        <v>132.12</v>
      </c>
      <c r="AE39">
        <f t="shared" si="114"/>
        <v>132.12</v>
      </c>
      <c r="AF39">
        <f t="shared" si="114"/>
        <v>132.12</v>
      </c>
      <c r="AG39">
        <f t="shared" si="114"/>
        <v>132.12</v>
      </c>
      <c r="AH39">
        <f t="shared" si="114"/>
        <v>132.12</v>
      </c>
      <c r="AI39">
        <f t="shared" ref="AI39:BN39" si="115">AH39</f>
        <v>132.12</v>
      </c>
      <c r="AJ39">
        <f t="shared" si="115"/>
        <v>132.12</v>
      </c>
      <c r="AK39">
        <f t="shared" si="115"/>
        <v>132.12</v>
      </c>
      <c r="AL39">
        <f t="shared" si="115"/>
        <v>132.12</v>
      </c>
      <c r="AM39">
        <f t="shared" si="115"/>
        <v>132.12</v>
      </c>
      <c r="AN39">
        <f t="shared" si="115"/>
        <v>132.12</v>
      </c>
      <c r="AO39">
        <f t="shared" si="115"/>
        <v>132.12</v>
      </c>
      <c r="AP39">
        <f t="shared" si="115"/>
        <v>132.12</v>
      </c>
      <c r="AQ39">
        <f t="shared" si="115"/>
        <v>132.12</v>
      </c>
      <c r="AR39">
        <f t="shared" si="115"/>
        <v>132.12</v>
      </c>
      <c r="AS39">
        <f t="shared" si="115"/>
        <v>132.12</v>
      </c>
      <c r="AT39">
        <f t="shared" si="115"/>
        <v>132.12</v>
      </c>
      <c r="AU39">
        <f t="shared" si="115"/>
        <v>132.12</v>
      </c>
      <c r="AV39">
        <f t="shared" si="115"/>
        <v>132.12</v>
      </c>
      <c r="AW39">
        <f t="shared" si="115"/>
        <v>132.12</v>
      </c>
      <c r="AX39">
        <f t="shared" si="115"/>
        <v>132.12</v>
      </c>
      <c r="AY39">
        <f t="shared" si="115"/>
        <v>132.12</v>
      </c>
      <c r="AZ39">
        <f t="shared" si="115"/>
        <v>132.12</v>
      </c>
      <c r="BA39">
        <f t="shared" si="115"/>
        <v>132.12</v>
      </c>
      <c r="BB39">
        <f t="shared" si="115"/>
        <v>132.12</v>
      </c>
      <c r="BC39">
        <f t="shared" si="115"/>
        <v>132.12</v>
      </c>
      <c r="BD39">
        <f t="shared" si="115"/>
        <v>132.12</v>
      </c>
      <c r="BE39">
        <f t="shared" si="115"/>
        <v>132.12</v>
      </c>
      <c r="BF39">
        <f t="shared" si="115"/>
        <v>132.12</v>
      </c>
      <c r="BG39">
        <f t="shared" si="115"/>
        <v>132.12</v>
      </c>
      <c r="BH39">
        <f t="shared" si="115"/>
        <v>132.12</v>
      </c>
      <c r="BI39">
        <f t="shared" si="115"/>
        <v>132.12</v>
      </c>
      <c r="BJ39">
        <f t="shared" si="115"/>
        <v>132.12</v>
      </c>
      <c r="BK39">
        <f t="shared" si="115"/>
        <v>132.12</v>
      </c>
      <c r="BL39">
        <f t="shared" si="115"/>
        <v>132.12</v>
      </c>
      <c r="BM39">
        <f t="shared" si="115"/>
        <v>132.12</v>
      </c>
      <c r="BN39">
        <f t="shared" si="115"/>
        <v>132.12</v>
      </c>
      <c r="BO39">
        <f t="shared" ref="BO39:BT39" si="116">BN39</f>
        <v>132.12</v>
      </c>
      <c r="BP39">
        <f t="shared" si="116"/>
        <v>132.12</v>
      </c>
      <c r="BQ39">
        <f t="shared" si="116"/>
        <v>132.12</v>
      </c>
      <c r="BR39">
        <f t="shared" si="116"/>
        <v>132.12</v>
      </c>
      <c r="BS39">
        <f t="shared" si="116"/>
        <v>132.12</v>
      </c>
      <c r="BT39">
        <f t="shared" si="116"/>
        <v>132.12</v>
      </c>
    </row>
    <row r="40" spans="1:72" x14ac:dyDescent="0.25">
      <c r="A40" s="1" t="s">
        <v>39</v>
      </c>
      <c r="B40">
        <v>22.61</v>
      </c>
      <c r="C40">
        <f t="shared" ref="C40:AH40" si="117">B40</f>
        <v>22.61</v>
      </c>
      <c r="D40">
        <f t="shared" si="117"/>
        <v>22.61</v>
      </c>
      <c r="E40">
        <f t="shared" si="117"/>
        <v>22.61</v>
      </c>
      <c r="F40">
        <f t="shared" si="117"/>
        <v>22.61</v>
      </c>
      <c r="G40">
        <f t="shared" si="117"/>
        <v>22.61</v>
      </c>
      <c r="H40">
        <f t="shared" si="117"/>
        <v>22.61</v>
      </c>
      <c r="I40">
        <f t="shared" si="117"/>
        <v>22.61</v>
      </c>
      <c r="J40">
        <f t="shared" si="117"/>
        <v>22.61</v>
      </c>
      <c r="K40">
        <f t="shared" si="117"/>
        <v>22.61</v>
      </c>
      <c r="L40">
        <f t="shared" si="117"/>
        <v>22.61</v>
      </c>
      <c r="M40">
        <f t="shared" si="117"/>
        <v>22.61</v>
      </c>
      <c r="N40">
        <f t="shared" si="117"/>
        <v>22.61</v>
      </c>
      <c r="O40">
        <f t="shared" si="117"/>
        <v>22.61</v>
      </c>
      <c r="P40">
        <f t="shared" si="117"/>
        <v>22.61</v>
      </c>
      <c r="Q40">
        <f t="shared" si="117"/>
        <v>22.61</v>
      </c>
      <c r="R40">
        <f t="shared" si="117"/>
        <v>22.61</v>
      </c>
      <c r="S40">
        <f t="shared" si="117"/>
        <v>22.61</v>
      </c>
      <c r="T40">
        <f t="shared" si="117"/>
        <v>22.61</v>
      </c>
      <c r="U40">
        <f t="shared" si="117"/>
        <v>22.61</v>
      </c>
      <c r="V40">
        <f t="shared" si="117"/>
        <v>22.61</v>
      </c>
      <c r="W40">
        <f t="shared" si="117"/>
        <v>22.61</v>
      </c>
      <c r="X40">
        <f t="shared" si="117"/>
        <v>22.61</v>
      </c>
      <c r="Y40">
        <f t="shared" si="117"/>
        <v>22.61</v>
      </c>
      <c r="Z40">
        <f t="shared" si="117"/>
        <v>22.61</v>
      </c>
      <c r="AA40">
        <f t="shared" si="117"/>
        <v>22.61</v>
      </c>
      <c r="AB40">
        <f t="shared" si="117"/>
        <v>22.61</v>
      </c>
      <c r="AC40">
        <f t="shared" si="117"/>
        <v>22.61</v>
      </c>
      <c r="AD40">
        <f t="shared" si="117"/>
        <v>22.61</v>
      </c>
      <c r="AE40">
        <f t="shared" si="117"/>
        <v>22.61</v>
      </c>
      <c r="AF40">
        <f t="shared" si="117"/>
        <v>22.61</v>
      </c>
      <c r="AG40">
        <f t="shared" si="117"/>
        <v>22.61</v>
      </c>
      <c r="AH40">
        <f t="shared" si="117"/>
        <v>22.61</v>
      </c>
      <c r="AI40">
        <f t="shared" ref="AI40:BN40" si="118">AH40</f>
        <v>22.61</v>
      </c>
      <c r="AJ40">
        <f t="shared" si="118"/>
        <v>22.61</v>
      </c>
      <c r="AK40">
        <f t="shared" si="118"/>
        <v>22.61</v>
      </c>
      <c r="AL40">
        <f t="shared" si="118"/>
        <v>22.61</v>
      </c>
      <c r="AM40">
        <f t="shared" si="118"/>
        <v>22.61</v>
      </c>
      <c r="AN40">
        <f t="shared" si="118"/>
        <v>22.61</v>
      </c>
      <c r="AO40">
        <f t="shared" si="118"/>
        <v>22.61</v>
      </c>
      <c r="AP40">
        <f t="shared" si="118"/>
        <v>22.61</v>
      </c>
      <c r="AQ40">
        <f t="shared" si="118"/>
        <v>22.61</v>
      </c>
      <c r="AR40">
        <f t="shared" si="118"/>
        <v>22.61</v>
      </c>
      <c r="AS40">
        <f t="shared" si="118"/>
        <v>22.61</v>
      </c>
      <c r="AT40">
        <f t="shared" si="118"/>
        <v>22.61</v>
      </c>
      <c r="AU40">
        <f t="shared" si="118"/>
        <v>22.61</v>
      </c>
      <c r="AV40">
        <f t="shared" si="118"/>
        <v>22.61</v>
      </c>
      <c r="AW40">
        <f t="shared" si="118"/>
        <v>22.61</v>
      </c>
      <c r="AX40">
        <f t="shared" si="118"/>
        <v>22.61</v>
      </c>
      <c r="AY40">
        <f t="shared" si="118"/>
        <v>22.61</v>
      </c>
      <c r="AZ40">
        <f t="shared" si="118"/>
        <v>22.61</v>
      </c>
      <c r="BA40">
        <f t="shared" si="118"/>
        <v>22.61</v>
      </c>
      <c r="BB40">
        <f t="shared" si="118"/>
        <v>22.61</v>
      </c>
      <c r="BC40">
        <f t="shared" si="118"/>
        <v>22.61</v>
      </c>
      <c r="BD40">
        <f t="shared" si="118"/>
        <v>22.61</v>
      </c>
      <c r="BE40">
        <f t="shared" si="118"/>
        <v>22.61</v>
      </c>
      <c r="BF40">
        <f t="shared" si="118"/>
        <v>22.61</v>
      </c>
      <c r="BG40">
        <f t="shared" si="118"/>
        <v>22.61</v>
      </c>
      <c r="BH40">
        <f t="shared" si="118"/>
        <v>22.61</v>
      </c>
      <c r="BI40">
        <f t="shared" si="118"/>
        <v>22.61</v>
      </c>
      <c r="BJ40">
        <f t="shared" si="118"/>
        <v>22.61</v>
      </c>
      <c r="BK40">
        <f t="shared" si="118"/>
        <v>22.61</v>
      </c>
      <c r="BL40">
        <f t="shared" si="118"/>
        <v>22.61</v>
      </c>
      <c r="BM40">
        <f t="shared" si="118"/>
        <v>22.61</v>
      </c>
      <c r="BN40">
        <f t="shared" si="118"/>
        <v>22.61</v>
      </c>
      <c r="BO40">
        <f t="shared" ref="BO40:BT40" si="119">BN40</f>
        <v>22.61</v>
      </c>
      <c r="BP40">
        <f t="shared" si="119"/>
        <v>22.61</v>
      </c>
      <c r="BQ40">
        <f t="shared" si="119"/>
        <v>22.61</v>
      </c>
      <c r="BR40">
        <f t="shared" si="119"/>
        <v>22.61</v>
      </c>
      <c r="BS40">
        <f t="shared" si="119"/>
        <v>22.61</v>
      </c>
      <c r="BT40">
        <f t="shared" si="119"/>
        <v>22.61</v>
      </c>
    </row>
    <row r="41" spans="1:72" x14ac:dyDescent="0.25">
      <c r="A41" s="1" t="s">
        <v>40</v>
      </c>
      <c r="B41">
        <v>0</v>
      </c>
      <c r="C41">
        <f t="shared" ref="C41:AH41" si="120">B41</f>
        <v>0</v>
      </c>
      <c r="D41">
        <f t="shared" si="120"/>
        <v>0</v>
      </c>
      <c r="E41">
        <f t="shared" si="120"/>
        <v>0</v>
      </c>
      <c r="F41">
        <f t="shared" si="120"/>
        <v>0</v>
      </c>
      <c r="G41">
        <f t="shared" si="120"/>
        <v>0</v>
      </c>
      <c r="H41">
        <f t="shared" si="120"/>
        <v>0</v>
      </c>
      <c r="I41">
        <f t="shared" si="120"/>
        <v>0</v>
      </c>
      <c r="J41">
        <f t="shared" si="120"/>
        <v>0</v>
      </c>
      <c r="K41">
        <f t="shared" si="120"/>
        <v>0</v>
      </c>
      <c r="L41">
        <f t="shared" si="120"/>
        <v>0</v>
      </c>
      <c r="M41">
        <f t="shared" si="120"/>
        <v>0</v>
      </c>
      <c r="N41">
        <f t="shared" si="120"/>
        <v>0</v>
      </c>
      <c r="O41">
        <f t="shared" si="120"/>
        <v>0</v>
      </c>
      <c r="P41">
        <f t="shared" si="120"/>
        <v>0</v>
      </c>
      <c r="Q41">
        <f t="shared" si="120"/>
        <v>0</v>
      </c>
      <c r="R41">
        <f t="shared" si="120"/>
        <v>0</v>
      </c>
      <c r="S41">
        <f t="shared" si="120"/>
        <v>0</v>
      </c>
      <c r="T41">
        <f t="shared" si="120"/>
        <v>0</v>
      </c>
      <c r="U41">
        <f t="shared" si="120"/>
        <v>0</v>
      </c>
      <c r="V41">
        <f t="shared" si="120"/>
        <v>0</v>
      </c>
      <c r="W41">
        <f t="shared" si="120"/>
        <v>0</v>
      </c>
      <c r="X41">
        <f t="shared" si="120"/>
        <v>0</v>
      </c>
      <c r="Y41">
        <f t="shared" si="120"/>
        <v>0</v>
      </c>
      <c r="Z41">
        <f t="shared" si="120"/>
        <v>0</v>
      </c>
      <c r="AA41">
        <f t="shared" si="120"/>
        <v>0</v>
      </c>
      <c r="AB41">
        <f t="shared" si="120"/>
        <v>0</v>
      </c>
      <c r="AC41">
        <f t="shared" si="120"/>
        <v>0</v>
      </c>
      <c r="AD41">
        <f t="shared" si="120"/>
        <v>0</v>
      </c>
      <c r="AE41">
        <f t="shared" si="120"/>
        <v>0</v>
      </c>
      <c r="AF41">
        <f t="shared" si="120"/>
        <v>0</v>
      </c>
      <c r="AG41">
        <f t="shared" si="120"/>
        <v>0</v>
      </c>
      <c r="AH41">
        <f t="shared" si="120"/>
        <v>0</v>
      </c>
      <c r="AI41">
        <f t="shared" ref="AI41:BN41" si="121">AH41</f>
        <v>0</v>
      </c>
      <c r="AJ41">
        <f t="shared" si="121"/>
        <v>0</v>
      </c>
      <c r="AK41">
        <f t="shared" si="121"/>
        <v>0</v>
      </c>
      <c r="AL41">
        <f t="shared" si="121"/>
        <v>0</v>
      </c>
      <c r="AM41">
        <f t="shared" si="121"/>
        <v>0</v>
      </c>
      <c r="AN41">
        <f t="shared" si="121"/>
        <v>0</v>
      </c>
      <c r="AO41">
        <f t="shared" si="121"/>
        <v>0</v>
      </c>
      <c r="AP41">
        <f t="shared" si="121"/>
        <v>0</v>
      </c>
      <c r="AQ41">
        <f t="shared" si="121"/>
        <v>0</v>
      </c>
      <c r="AR41">
        <f t="shared" si="121"/>
        <v>0</v>
      </c>
      <c r="AS41">
        <f t="shared" si="121"/>
        <v>0</v>
      </c>
      <c r="AT41">
        <f t="shared" si="121"/>
        <v>0</v>
      </c>
      <c r="AU41">
        <f t="shared" si="121"/>
        <v>0</v>
      </c>
      <c r="AV41">
        <f t="shared" si="121"/>
        <v>0</v>
      </c>
      <c r="AW41">
        <f t="shared" si="121"/>
        <v>0</v>
      </c>
      <c r="AX41">
        <f t="shared" si="121"/>
        <v>0</v>
      </c>
      <c r="AY41">
        <f t="shared" si="121"/>
        <v>0</v>
      </c>
      <c r="AZ41">
        <f t="shared" si="121"/>
        <v>0</v>
      </c>
      <c r="BA41">
        <f t="shared" si="121"/>
        <v>0</v>
      </c>
      <c r="BB41">
        <f t="shared" si="121"/>
        <v>0</v>
      </c>
      <c r="BC41">
        <f t="shared" si="121"/>
        <v>0</v>
      </c>
      <c r="BD41">
        <f t="shared" si="121"/>
        <v>0</v>
      </c>
      <c r="BE41">
        <f t="shared" si="121"/>
        <v>0</v>
      </c>
      <c r="BF41">
        <f t="shared" si="121"/>
        <v>0</v>
      </c>
      <c r="BG41">
        <f t="shared" si="121"/>
        <v>0</v>
      </c>
      <c r="BH41">
        <f t="shared" si="121"/>
        <v>0</v>
      </c>
      <c r="BI41">
        <f t="shared" si="121"/>
        <v>0</v>
      </c>
      <c r="BJ41">
        <f t="shared" si="121"/>
        <v>0</v>
      </c>
      <c r="BK41">
        <f t="shared" si="121"/>
        <v>0</v>
      </c>
      <c r="BL41">
        <f t="shared" si="121"/>
        <v>0</v>
      </c>
      <c r="BM41">
        <f t="shared" si="121"/>
        <v>0</v>
      </c>
      <c r="BN41">
        <f t="shared" si="121"/>
        <v>0</v>
      </c>
      <c r="BO41">
        <f t="shared" ref="BO41:BT41" si="122">BN41</f>
        <v>0</v>
      </c>
      <c r="BP41">
        <f t="shared" si="122"/>
        <v>0</v>
      </c>
      <c r="BQ41">
        <f t="shared" si="122"/>
        <v>0</v>
      </c>
      <c r="BR41">
        <f t="shared" si="122"/>
        <v>0</v>
      </c>
      <c r="BS41">
        <f t="shared" si="122"/>
        <v>0</v>
      </c>
      <c r="BT41">
        <f t="shared" si="122"/>
        <v>0</v>
      </c>
    </row>
    <row r="42" spans="1:72" x14ac:dyDescent="0.25">
      <c r="A42" s="1"/>
    </row>
    <row r="43" spans="1:72" x14ac:dyDescent="0.25">
      <c r="A43" s="1"/>
    </row>
    <row r="44" spans="1:72" x14ac:dyDescent="0.25">
      <c r="A44" s="1"/>
    </row>
    <row r="45" spans="1:72" x14ac:dyDescent="0.25">
      <c r="A45" s="1"/>
    </row>
    <row r="46" spans="1:72" x14ac:dyDescent="0.25">
      <c r="A46" s="1"/>
    </row>
    <row r="47" spans="1:72" x14ac:dyDescent="0.25">
      <c r="A47" s="1"/>
    </row>
    <row r="48" spans="1:72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7"/>
  <sheetViews>
    <sheetView workbookViewId="0">
      <selection activeCell="B6" sqref="B6"/>
    </sheetView>
  </sheetViews>
  <sheetFormatPr defaultRowHeight="15" x14ac:dyDescent="0.25"/>
  <cols>
    <col min="1" max="1" width="22.5703125" bestFit="1" customWidth="1"/>
    <col min="2" max="2" width="15.5703125" bestFit="1" customWidth="1"/>
  </cols>
  <sheetData>
    <row r="1" spans="1:2" x14ac:dyDescent="0.25">
      <c r="A1" t="s">
        <v>0</v>
      </c>
      <c r="B1" t="s">
        <v>48</v>
      </c>
    </row>
    <row r="2" spans="1:2" x14ac:dyDescent="0.25">
      <c r="A2" s="1" t="s">
        <v>43</v>
      </c>
      <c r="B2" s="3">
        <v>223.03</v>
      </c>
    </row>
    <row r="3" spans="1:2" x14ac:dyDescent="0.25">
      <c r="A3" s="1" t="s">
        <v>44</v>
      </c>
      <c r="B3" s="3">
        <v>1043.653224938</v>
      </c>
    </row>
    <row r="4" spans="1:2" x14ac:dyDescent="0.25">
      <c r="A4" s="1" t="s">
        <v>45</v>
      </c>
      <c r="B4" s="3">
        <v>1.0233699999999999</v>
      </c>
    </row>
    <row r="5" spans="1:2" x14ac:dyDescent="0.25">
      <c r="A5" s="1" t="s">
        <v>46</v>
      </c>
      <c r="B5" s="3">
        <v>260.70909499999999</v>
      </c>
    </row>
    <row r="6" spans="1:2" x14ac:dyDescent="0.25">
      <c r="A6" s="1" t="s">
        <v>47</v>
      </c>
      <c r="B6">
        <v>85.24221</v>
      </c>
    </row>
    <row r="7" spans="1:2" x14ac:dyDescent="0.25">
      <c r="A7" t="s">
        <v>6</v>
      </c>
      <c r="B7">
        <v>2.7</v>
      </c>
    </row>
    <row r="8" spans="1:2" x14ac:dyDescent="0.25">
      <c r="A8" t="s">
        <v>7</v>
      </c>
      <c r="B8">
        <v>2984.5</v>
      </c>
    </row>
    <row r="9" spans="1:2" x14ac:dyDescent="0.25">
      <c r="A9" t="s">
        <v>8</v>
      </c>
      <c r="B9">
        <v>0.19900000000000001</v>
      </c>
    </row>
    <row r="10" spans="1:2" x14ac:dyDescent="0.25">
      <c r="A10" t="s">
        <v>9</v>
      </c>
      <c r="B10">
        <v>1489</v>
      </c>
    </row>
    <row r="11" spans="1:2" x14ac:dyDescent="0.25">
      <c r="A11" t="s">
        <v>10</v>
      </c>
      <c r="B11">
        <v>1595</v>
      </c>
    </row>
    <row r="12" spans="1:2" x14ac:dyDescent="0.25">
      <c r="A12" t="s">
        <v>11</v>
      </c>
      <c r="B12">
        <v>2019.5</v>
      </c>
    </row>
    <row r="13" spans="1:2" x14ac:dyDescent="0.25">
      <c r="A13" t="s">
        <v>12</v>
      </c>
      <c r="B13">
        <v>16.027940000000001</v>
      </c>
    </row>
    <row r="14" spans="1:2" x14ac:dyDescent="0.25">
      <c r="A14" t="s">
        <v>13</v>
      </c>
      <c r="B14">
        <v>667.17</v>
      </c>
    </row>
    <row r="15" spans="1:2" x14ac:dyDescent="0.25">
      <c r="A15" t="s">
        <v>14</v>
      </c>
      <c r="B15">
        <v>2</v>
      </c>
    </row>
    <row r="16" spans="1:2" x14ac:dyDescent="0.25">
      <c r="A16" t="s">
        <v>15</v>
      </c>
      <c r="B16">
        <v>7.2078509999999998</v>
      </c>
    </row>
    <row r="17" spans="1:2" x14ac:dyDescent="0.25">
      <c r="A17" t="s">
        <v>16</v>
      </c>
      <c r="B17">
        <v>51.207599999999999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497</v>
      </c>
    </row>
    <row r="20" spans="1:2" x14ac:dyDescent="0.25">
      <c r="A20" t="s">
        <v>19</v>
      </c>
      <c r="B20">
        <v>653.5</v>
      </c>
    </row>
    <row r="21" spans="1:2" x14ac:dyDescent="0.25">
      <c r="A21" t="s">
        <v>20</v>
      </c>
      <c r="B21">
        <v>117.6264</v>
      </c>
    </row>
    <row r="22" spans="1:2" x14ac:dyDescent="0.25">
      <c r="A22" t="s">
        <v>21</v>
      </c>
      <c r="B22">
        <v>90.634079999999997</v>
      </c>
    </row>
    <row r="23" spans="1:2" x14ac:dyDescent="0.25">
      <c r="A23" t="s">
        <v>22</v>
      </c>
      <c r="B23">
        <v>8.2027305049999999</v>
      </c>
    </row>
    <row r="24" spans="1:2" x14ac:dyDescent="0.25">
      <c r="A24" t="s">
        <v>23</v>
      </c>
      <c r="B24">
        <v>41.5</v>
      </c>
    </row>
    <row r="25" spans="1:2" x14ac:dyDescent="0.25">
      <c r="A25" t="s">
        <v>24</v>
      </c>
      <c r="B25">
        <v>149.5729</v>
      </c>
    </row>
    <row r="26" spans="1:2" x14ac:dyDescent="0.25">
      <c r="A26" t="s">
        <v>25</v>
      </c>
      <c r="B26">
        <v>690.5</v>
      </c>
    </row>
    <row r="27" spans="1:2" x14ac:dyDescent="0.25">
      <c r="A27" t="s">
        <v>26</v>
      </c>
      <c r="B27">
        <v>3.21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104.40813</v>
      </c>
    </row>
    <row r="30" spans="1:2" x14ac:dyDescent="0.25">
      <c r="A30" t="s">
        <v>29</v>
      </c>
      <c r="B30">
        <v>31.701730000000001</v>
      </c>
    </row>
    <row r="31" spans="1:2" x14ac:dyDescent="0.25">
      <c r="A31" t="s">
        <v>30</v>
      </c>
      <c r="B31">
        <v>2.94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6187.5</v>
      </c>
    </row>
    <row r="34" spans="1:2" x14ac:dyDescent="0.25">
      <c r="A34" t="s">
        <v>33</v>
      </c>
      <c r="B34">
        <v>446</v>
      </c>
    </row>
    <row r="35" spans="1:2" x14ac:dyDescent="0.25">
      <c r="A35" t="s">
        <v>34</v>
      </c>
      <c r="B35">
        <v>342.92928999999998</v>
      </c>
    </row>
    <row r="36" spans="1:2" x14ac:dyDescent="0.25">
      <c r="A36" t="s">
        <v>35</v>
      </c>
      <c r="B36">
        <v>16.5</v>
      </c>
    </row>
    <row r="37" spans="1:2" x14ac:dyDescent="0.25">
      <c r="A37" t="s">
        <v>36</v>
      </c>
      <c r="B37">
        <v>20.770600000000002</v>
      </c>
    </row>
    <row r="38" spans="1:2" x14ac:dyDescent="0.25">
      <c r="A38" t="s">
        <v>37</v>
      </c>
      <c r="B38">
        <v>14.9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81.344399999999993</v>
      </c>
    </row>
    <row r="41" spans="1:2" x14ac:dyDescent="0.25">
      <c r="A41" t="s">
        <v>40</v>
      </c>
      <c r="B41">
        <v>3050</v>
      </c>
    </row>
    <row r="42" spans="1:2" x14ac:dyDescent="0.25">
      <c r="A42" s="1"/>
      <c r="B42" s="3"/>
    </row>
    <row r="43" spans="1:2" x14ac:dyDescent="0.25">
      <c r="A43" s="1"/>
      <c r="B43" s="3"/>
    </row>
    <row r="44" spans="1:2" x14ac:dyDescent="0.25">
      <c r="A44" s="1"/>
      <c r="B44" s="3"/>
    </row>
    <row r="45" spans="1:2" x14ac:dyDescent="0.25">
      <c r="A45" s="1"/>
    </row>
    <row r="46" spans="1:2" x14ac:dyDescent="0.25">
      <c r="A46" s="1"/>
    </row>
    <row r="47" spans="1:2" x14ac:dyDescent="0.25">
      <c r="A47" s="1"/>
    </row>
    <row r="48" spans="1:2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2" x14ac:dyDescent="0.25">
      <c r="A193" s="1"/>
    </row>
    <row r="194" spans="1:2" x14ac:dyDescent="0.25">
      <c r="A194" s="1"/>
    </row>
    <row r="195" spans="1:2" x14ac:dyDescent="0.25">
      <c r="A195" s="1"/>
    </row>
    <row r="196" spans="1:2" x14ac:dyDescent="0.25">
      <c r="A196" s="1"/>
    </row>
    <row r="197" spans="1:2" x14ac:dyDescent="0.25">
      <c r="B19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2"/>
  <sheetViews>
    <sheetView workbookViewId="0">
      <selection activeCell="B72" sqref="B72"/>
    </sheetView>
  </sheetViews>
  <sheetFormatPr defaultRowHeight="15" x14ac:dyDescent="0.25"/>
  <sheetData>
    <row r="1" spans="1:2" x14ac:dyDescent="0.25">
      <c r="A1" t="s">
        <v>49</v>
      </c>
      <c r="B1" t="s">
        <v>50</v>
      </c>
    </row>
    <row r="2" spans="1:2" x14ac:dyDescent="0.25">
      <c r="A2">
        <v>2030</v>
      </c>
      <c r="B2">
        <v>233.08</v>
      </c>
    </row>
    <row r="3" spans="1:2" x14ac:dyDescent="0.25">
      <c r="A3">
        <v>2031</v>
      </c>
      <c r="B3">
        <v>215.4589576341981</v>
      </c>
    </row>
    <row r="4" spans="1:2" x14ac:dyDescent="0.25">
      <c r="A4">
        <v>2032</v>
      </c>
      <c r="B4">
        <v>204.63220451085951</v>
      </c>
    </row>
    <row r="5" spans="1:2" x14ac:dyDescent="0.25">
      <c r="A5">
        <v>2033</v>
      </c>
      <c r="B5">
        <v>196.91764806418871</v>
      </c>
    </row>
    <row r="6" spans="1:2" x14ac:dyDescent="0.25">
      <c r="A6">
        <v>2034</v>
      </c>
      <c r="B6">
        <v>190.97415266327889</v>
      </c>
    </row>
    <row r="7" spans="1:2" x14ac:dyDescent="0.25">
      <c r="A7">
        <v>2035</v>
      </c>
      <c r="B7">
        <v>186.16717944773211</v>
      </c>
    </row>
    <row r="8" spans="1:2" x14ac:dyDescent="0.25">
      <c r="A8">
        <v>2036</v>
      </c>
      <c r="B8">
        <v>182.1480510275355</v>
      </c>
    </row>
    <row r="9" spans="1:2" x14ac:dyDescent="0.25">
      <c r="A9">
        <v>2037</v>
      </c>
      <c r="B9">
        <v>178.7053686573152</v>
      </c>
    </row>
    <row r="10" spans="1:2" x14ac:dyDescent="0.25">
      <c r="A10">
        <v>2038</v>
      </c>
      <c r="B10">
        <v>175.7016683587899</v>
      </c>
    </row>
    <row r="11" spans="1:2" x14ac:dyDescent="0.25">
      <c r="A11">
        <v>2039</v>
      </c>
      <c r="B11">
        <v>173.0427399877274</v>
      </c>
    </row>
    <row r="12" spans="1:2" x14ac:dyDescent="0.25">
      <c r="A12">
        <v>2040</v>
      </c>
      <c r="B12">
        <v>170.66131715978099</v>
      </c>
    </row>
    <row r="13" spans="1:2" x14ac:dyDescent="0.25">
      <c r="A13">
        <v>2041</v>
      </c>
      <c r="B13">
        <v>168.50776659130011</v>
      </c>
    </row>
    <row r="14" spans="1:2" x14ac:dyDescent="0.25">
      <c r="A14">
        <v>2042</v>
      </c>
      <c r="B14">
        <v>166.54446449706009</v>
      </c>
    </row>
    <row r="15" spans="1:2" x14ac:dyDescent="0.25">
      <c r="A15">
        <v>2043</v>
      </c>
      <c r="B15">
        <v>164.7422404293529</v>
      </c>
    </row>
    <row r="16" spans="1:2" x14ac:dyDescent="0.25">
      <c r="A16">
        <v>2044</v>
      </c>
      <c r="B16">
        <v>163.07804115261291</v>
      </c>
    </row>
    <row r="17" spans="1:2" x14ac:dyDescent="0.25">
      <c r="A17">
        <v>2045</v>
      </c>
      <c r="B17">
        <v>161.53334582222581</v>
      </c>
    </row>
    <row r="18" spans="1:2" x14ac:dyDescent="0.25">
      <c r="A18">
        <v>2046</v>
      </c>
      <c r="B18">
        <v>160.09306083414319</v>
      </c>
    </row>
    <row r="19" spans="1:2" x14ac:dyDescent="0.25">
      <c r="A19">
        <v>2047</v>
      </c>
      <c r="B19">
        <v>158.74473057017551</v>
      </c>
    </row>
    <row r="20" spans="1:2" x14ac:dyDescent="0.25">
      <c r="A20">
        <v>2048</v>
      </c>
      <c r="B20">
        <v>157.47796186507861</v>
      </c>
    </row>
    <row r="21" spans="1:2" x14ac:dyDescent="0.25">
      <c r="A21">
        <v>2049</v>
      </c>
      <c r="B21">
        <v>156.28399652802321</v>
      </c>
    </row>
    <row r="22" spans="1:2" x14ac:dyDescent="0.25">
      <c r="A22">
        <v>2050</v>
      </c>
      <c r="B22">
        <v>155.15538859522951</v>
      </c>
    </row>
    <row r="23" spans="1:2" x14ac:dyDescent="0.25">
      <c r="A23">
        <v>2051</v>
      </c>
      <c r="B23">
        <v>154.08575706116511</v>
      </c>
    </row>
    <row r="24" spans="1:2" x14ac:dyDescent="0.25">
      <c r="A24">
        <v>2052</v>
      </c>
      <c r="B24">
        <v>153.069593923083</v>
      </c>
    </row>
    <row r="25" spans="1:2" x14ac:dyDescent="0.25">
      <c r="A25">
        <v>2053</v>
      </c>
      <c r="B25">
        <v>152.10211337689029</v>
      </c>
    </row>
    <row r="26" spans="1:2" x14ac:dyDescent="0.25">
      <c r="A26">
        <v>2054</v>
      </c>
      <c r="B26">
        <v>151.17913204969881</v>
      </c>
    </row>
    <row r="27" spans="1:2" x14ac:dyDescent="0.25">
      <c r="A27">
        <v>2055</v>
      </c>
      <c r="B27">
        <v>150.29697293386201</v>
      </c>
    </row>
    <row r="28" spans="1:2" x14ac:dyDescent="0.25">
      <c r="A28">
        <v>2056</v>
      </c>
      <c r="B28">
        <v>149.45238762832031</v>
      </c>
    </row>
    <row r="29" spans="1:2" x14ac:dyDescent="0.25">
      <c r="A29">
        <v>2057</v>
      </c>
      <c r="B29">
        <v>148.64249286949831</v>
      </c>
    </row>
    <row r="30" spans="1:2" x14ac:dyDescent="0.25">
      <c r="A30">
        <v>2058</v>
      </c>
      <c r="B30">
        <v>147.86471832382381</v>
      </c>
    </row>
    <row r="31" spans="1:2" x14ac:dyDescent="0.25">
      <c r="A31">
        <v>2059</v>
      </c>
      <c r="B31">
        <v>147.11676333508791</v>
      </c>
    </row>
    <row r="32" spans="1:2" x14ac:dyDescent="0.25">
      <c r="A32">
        <v>2060</v>
      </c>
      <c r="B32">
        <v>146.39656085150179</v>
      </c>
    </row>
    <row r="33" spans="1:2" x14ac:dyDescent="0.25">
      <c r="A33">
        <v>2061</v>
      </c>
      <c r="B33">
        <v>145.7022471536624</v>
      </c>
    </row>
    <row r="34" spans="1:2" x14ac:dyDescent="0.25">
      <c r="A34">
        <v>2062</v>
      </c>
      <c r="B34">
        <v>145.03213630316591</v>
      </c>
    </row>
    <row r="35" spans="1:2" x14ac:dyDescent="0.25">
      <c r="A35">
        <v>2063</v>
      </c>
      <c r="B35">
        <v>144.38469845860769</v>
      </c>
    </row>
    <row r="36" spans="1:2" x14ac:dyDescent="0.25">
      <c r="A36">
        <v>2064</v>
      </c>
      <c r="B36">
        <v>143.75854137991101</v>
      </c>
    </row>
    <row r="37" spans="1:2" x14ac:dyDescent="0.25">
      <c r="A37">
        <v>2065</v>
      </c>
      <c r="B37">
        <v>143.15239457669179</v>
      </c>
    </row>
    <row r="38" spans="1:2" x14ac:dyDescent="0.25">
      <c r="A38">
        <v>2066</v>
      </c>
      <c r="B38">
        <v>142.5650956614808</v>
      </c>
    </row>
    <row r="39" spans="1:2" x14ac:dyDescent="0.25">
      <c r="A39">
        <v>2067</v>
      </c>
      <c r="B39">
        <v>141.9955785512079</v>
      </c>
    </row>
    <row r="40" spans="1:2" x14ac:dyDescent="0.25">
      <c r="A40">
        <v>2068</v>
      </c>
      <c r="B40">
        <v>141.44286322567939</v>
      </c>
    </row>
    <row r="41" spans="1:2" x14ac:dyDescent="0.25">
      <c r="A41">
        <v>2069</v>
      </c>
      <c r="B41">
        <v>140.9060468038189</v>
      </c>
    </row>
    <row r="42" spans="1:2" x14ac:dyDescent="0.25">
      <c r="A42">
        <v>2070</v>
      </c>
      <c r="B42">
        <v>140.38429574012969</v>
      </c>
    </row>
    <row r="43" spans="1:2" x14ac:dyDescent="0.25">
      <c r="A43">
        <v>2071</v>
      </c>
      <c r="B43">
        <v>139.87683897744549</v>
      </c>
    </row>
    <row r="44" spans="1:2" x14ac:dyDescent="0.25">
      <c r="A44">
        <v>2072</v>
      </c>
      <c r="B44">
        <v>139.38296191928521</v>
      </c>
    </row>
    <row r="45" spans="1:2" x14ac:dyDescent="0.25">
      <c r="A45">
        <v>2073</v>
      </c>
      <c r="B45">
        <v>138.9020011073132</v>
      </c>
    </row>
    <row r="46" spans="1:2" x14ac:dyDescent="0.25">
      <c r="A46">
        <v>2074</v>
      </c>
      <c r="B46">
        <v>138.43333950760351</v>
      </c>
    </row>
    <row r="47" spans="1:2" x14ac:dyDescent="0.25">
      <c r="A47">
        <v>2075</v>
      </c>
      <c r="B47">
        <v>137.97640232435299</v>
      </c>
    </row>
    <row r="48" spans="1:2" x14ac:dyDescent="0.25">
      <c r="A48">
        <v>2076</v>
      </c>
      <c r="B48">
        <v>137.53065327206701</v>
      </c>
    </row>
    <row r="49" spans="1:2" x14ac:dyDescent="0.25">
      <c r="A49">
        <v>2077</v>
      </c>
      <c r="B49">
        <v>137.09559124750751</v>
      </c>
    </row>
    <row r="50" spans="1:2" x14ac:dyDescent="0.25">
      <c r="A50">
        <v>2078</v>
      </c>
      <c r="B50">
        <v>136.6707473512526</v>
      </c>
    </row>
    <row r="51" spans="1:2" x14ac:dyDescent="0.25">
      <c r="A51">
        <v>2079</v>
      </c>
      <c r="B51">
        <v>136.25568221589029</v>
      </c>
    </row>
    <row r="52" spans="1:2" x14ac:dyDescent="0.25">
      <c r="A52">
        <v>2080</v>
      </c>
      <c r="B52">
        <v>135.84998360388681</v>
      </c>
    </row>
    <row r="53" spans="1:2" x14ac:dyDescent="0.25">
      <c r="A53">
        <v>2081</v>
      </c>
      <c r="B53">
        <v>135.45326424324949</v>
      </c>
    </row>
    <row r="54" spans="1:2" x14ac:dyDescent="0.25">
      <c r="A54">
        <v>2082</v>
      </c>
      <c r="B54">
        <v>135.0651598734089</v>
      </c>
    </row>
    <row r="55" spans="1:2" x14ac:dyDescent="0.25">
      <c r="A55">
        <v>2083</v>
      </c>
      <c r="B55">
        <v>134.68532747738249</v>
      </c>
    </row>
    <row r="56" spans="1:2" x14ac:dyDescent="0.25">
      <c r="A56">
        <v>2084</v>
      </c>
      <c r="B56">
        <v>134.31344367940659</v>
      </c>
    </row>
    <row r="57" spans="1:2" x14ac:dyDescent="0.25">
      <c r="A57">
        <v>2085</v>
      </c>
      <c r="B57">
        <v>133.94920328986731</v>
      </c>
    </row>
    <row r="58" spans="1:2" x14ac:dyDescent="0.25">
      <c r="A58">
        <v>2086</v>
      </c>
      <c r="B58">
        <v>133.59231798164819</v>
      </c>
    </row>
    <row r="59" spans="1:2" x14ac:dyDescent="0.25">
      <c r="A59">
        <v>2087</v>
      </c>
      <c r="B59">
        <v>133.24251508396401</v>
      </c>
    </row>
    <row r="60" spans="1:2" x14ac:dyDescent="0.25">
      <c r="A60">
        <v>2088</v>
      </c>
      <c r="B60">
        <v>132.89953648143859</v>
      </c>
    </row>
    <row r="61" spans="1:2" x14ac:dyDescent="0.25">
      <c r="A61">
        <v>2089</v>
      </c>
      <c r="B61">
        <v>132.56313760764581</v>
      </c>
    </row>
    <row r="62" spans="1:2" x14ac:dyDescent="0.25">
      <c r="A62">
        <v>2090</v>
      </c>
      <c r="B62">
        <v>132.23308652359191</v>
      </c>
    </row>
    <row r="63" spans="1:2" x14ac:dyDescent="0.25">
      <c r="A63">
        <v>2091</v>
      </c>
      <c r="B63">
        <v>131.90916307271641</v>
      </c>
    </row>
    <row r="64" spans="1:2" x14ac:dyDescent="0.25">
      <c r="A64">
        <v>2092</v>
      </c>
      <c r="B64">
        <v>131.591158104947</v>
      </c>
    </row>
    <row r="65" spans="1:2" x14ac:dyDescent="0.25">
      <c r="A65">
        <v>2093</v>
      </c>
      <c r="B65">
        <v>131.2788727631727</v>
      </c>
    </row>
    <row r="66" spans="1:2" x14ac:dyDescent="0.25">
      <c r="A66">
        <v>2094</v>
      </c>
      <c r="B66">
        <v>130.9721178262333</v>
      </c>
    </row>
    <row r="67" spans="1:2" x14ac:dyDescent="0.25">
      <c r="A67">
        <v>2095</v>
      </c>
      <c r="B67">
        <v>130.67071310315899</v>
      </c>
    </row>
    <row r="68" spans="1:2" x14ac:dyDescent="0.25">
      <c r="A68">
        <v>2096</v>
      </c>
      <c r="B68">
        <v>130.37448687395991</v>
      </c>
    </row>
    <row r="69" spans="1:2" x14ac:dyDescent="0.25">
      <c r="A69">
        <v>2097</v>
      </c>
      <c r="B69">
        <v>130.0832753727548</v>
      </c>
    </row>
    <row r="70" spans="1:2" x14ac:dyDescent="0.25">
      <c r="A70">
        <v>2098</v>
      </c>
      <c r="B70">
        <v>129.79692230946651</v>
      </c>
    </row>
    <row r="71" spans="1:2" x14ac:dyDescent="0.25">
      <c r="A71">
        <v>2099</v>
      </c>
      <c r="B71">
        <v>129.51527842669881</v>
      </c>
    </row>
    <row r="72" spans="1:2" x14ac:dyDescent="0.25">
      <c r="A72">
        <v>2100</v>
      </c>
      <c r="B72">
        <v>129.23820108874631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196"/>
  <sheetViews>
    <sheetView topLeftCell="A10" workbookViewId="0">
      <selection activeCell="A23" sqref="A23"/>
    </sheetView>
  </sheetViews>
  <sheetFormatPr defaultRowHeight="15" x14ac:dyDescent="0.25"/>
  <cols>
    <col min="1" max="1" width="22.5703125" bestFit="1" customWidth="1"/>
    <col min="2" max="2" width="12.42578125" customWidth="1"/>
    <col min="3" max="30" width="13.7109375" bestFit="1" customWidth="1"/>
    <col min="31" max="72" width="14.7109375" bestFit="1" customWidth="1"/>
  </cols>
  <sheetData>
    <row r="1" spans="1:72" x14ac:dyDescent="0.25">
      <c r="A1" t="s">
        <v>0</v>
      </c>
      <c r="B1">
        <f>co2_tax!B1</f>
        <v>2030</v>
      </c>
      <c r="C1">
        <f>co2_tax!C1</f>
        <v>2031</v>
      </c>
      <c r="D1">
        <f>co2_tax!D1</f>
        <v>2032</v>
      </c>
      <c r="E1">
        <f>co2_tax!E1</f>
        <v>2033</v>
      </c>
      <c r="F1">
        <f>co2_tax!F1</f>
        <v>2034</v>
      </c>
      <c r="G1">
        <f>co2_tax!G1</f>
        <v>2035</v>
      </c>
      <c r="H1">
        <f>co2_tax!H1</f>
        <v>2036</v>
      </c>
      <c r="I1">
        <f>co2_tax!I1</f>
        <v>2037</v>
      </c>
      <c r="J1">
        <f>co2_tax!J1</f>
        <v>2038</v>
      </c>
      <c r="K1">
        <f>co2_tax!K1</f>
        <v>2039</v>
      </c>
      <c r="L1">
        <f>co2_tax!L1</f>
        <v>2040</v>
      </c>
      <c r="M1">
        <f>co2_tax!M1</f>
        <v>2041</v>
      </c>
      <c r="N1">
        <f>co2_tax!N1</f>
        <v>2042</v>
      </c>
      <c r="O1">
        <f>co2_tax!O1</f>
        <v>2043</v>
      </c>
      <c r="P1">
        <f>co2_tax!P1</f>
        <v>2044</v>
      </c>
      <c r="Q1">
        <f>co2_tax!Q1</f>
        <v>2045</v>
      </c>
      <c r="R1">
        <f>co2_tax!R1</f>
        <v>2046</v>
      </c>
      <c r="S1">
        <f>co2_tax!S1</f>
        <v>2047</v>
      </c>
      <c r="T1">
        <f>co2_tax!T1</f>
        <v>2048</v>
      </c>
      <c r="U1">
        <f>co2_tax!U1</f>
        <v>2049</v>
      </c>
      <c r="V1">
        <f>co2_tax!V1</f>
        <v>2050</v>
      </c>
      <c r="W1">
        <f>co2_tax!W1</f>
        <v>2051</v>
      </c>
      <c r="X1">
        <f>co2_tax!X1</f>
        <v>2052</v>
      </c>
      <c r="Y1">
        <f>co2_tax!Y1</f>
        <v>2053</v>
      </c>
      <c r="Z1">
        <f>co2_tax!Z1</f>
        <v>2054</v>
      </c>
      <c r="AA1">
        <f>co2_tax!AA1</f>
        <v>2055</v>
      </c>
      <c r="AB1">
        <f>co2_tax!AB1</f>
        <v>2056</v>
      </c>
      <c r="AC1">
        <f>co2_tax!AC1</f>
        <v>2057</v>
      </c>
      <c r="AD1">
        <f>co2_tax!AD1</f>
        <v>2058</v>
      </c>
      <c r="AE1">
        <f>co2_tax!AE1</f>
        <v>2059</v>
      </c>
      <c r="AF1">
        <f>co2_tax!AF1</f>
        <v>2060</v>
      </c>
      <c r="AG1">
        <f>co2_tax!AG1</f>
        <v>2061</v>
      </c>
      <c r="AH1">
        <f>co2_tax!AH1</f>
        <v>2062</v>
      </c>
      <c r="AI1">
        <f>co2_tax!AI1</f>
        <v>2063</v>
      </c>
      <c r="AJ1">
        <f>co2_tax!AJ1</f>
        <v>2064</v>
      </c>
      <c r="AK1">
        <f>co2_tax!AK1</f>
        <v>2065</v>
      </c>
      <c r="AL1">
        <f>co2_tax!AL1</f>
        <v>2066</v>
      </c>
      <c r="AM1">
        <f>co2_tax!AM1</f>
        <v>2067</v>
      </c>
      <c r="AN1">
        <f>co2_tax!AN1</f>
        <v>2068</v>
      </c>
      <c r="AO1">
        <f>co2_tax!AO1</f>
        <v>2069</v>
      </c>
      <c r="AP1">
        <f>co2_tax!AP1</f>
        <v>2070</v>
      </c>
      <c r="AQ1">
        <f>co2_tax!AQ1</f>
        <v>2071</v>
      </c>
      <c r="AR1">
        <f>co2_tax!AR1</f>
        <v>2072</v>
      </c>
      <c r="AS1">
        <f>co2_tax!AS1</f>
        <v>2073</v>
      </c>
      <c r="AT1">
        <f>co2_tax!AT1</f>
        <v>2074</v>
      </c>
      <c r="AU1">
        <f>co2_tax!AU1</f>
        <v>2075</v>
      </c>
      <c r="AV1">
        <f>co2_tax!AV1</f>
        <v>2076</v>
      </c>
      <c r="AW1">
        <f>co2_tax!AW1</f>
        <v>2077</v>
      </c>
      <c r="AX1">
        <f>co2_tax!AX1</f>
        <v>2078</v>
      </c>
      <c r="AY1">
        <f>co2_tax!AY1</f>
        <v>2079</v>
      </c>
      <c r="AZ1">
        <f>co2_tax!AZ1</f>
        <v>2080</v>
      </c>
      <c r="BA1">
        <f>co2_tax!BA1</f>
        <v>2081</v>
      </c>
      <c r="BB1">
        <f>co2_tax!BB1</f>
        <v>2082</v>
      </c>
      <c r="BC1">
        <f>co2_tax!BC1</f>
        <v>2083</v>
      </c>
      <c r="BD1">
        <f>co2_tax!BD1</f>
        <v>2084</v>
      </c>
      <c r="BE1">
        <f>co2_tax!BE1</f>
        <v>2085</v>
      </c>
      <c r="BF1">
        <f>co2_tax!BF1</f>
        <v>2086</v>
      </c>
      <c r="BG1">
        <f>co2_tax!BG1</f>
        <v>2087</v>
      </c>
      <c r="BH1">
        <f>co2_tax!BH1</f>
        <v>2088</v>
      </c>
      <c r="BI1">
        <f>co2_tax!BI1</f>
        <v>2089</v>
      </c>
      <c r="BJ1">
        <f>co2_tax!BJ1</f>
        <v>2090</v>
      </c>
      <c r="BK1">
        <f>co2_tax!BK1</f>
        <v>2091</v>
      </c>
      <c r="BL1">
        <f>co2_tax!BL1</f>
        <v>2092</v>
      </c>
      <c r="BM1">
        <f>co2_tax!BM1</f>
        <v>2093</v>
      </c>
      <c r="BN1">
        <f>co2_tax!BN1</f>
        <v>2094</v>
      </c>
      <c r="BO1">
        <f>co2_tax!BO1</f>
        <v>2095</v>
      </c>
      <c r="BP1">
        <f>co2_tax!BP1</f>
        <v>2096</v>
      </c>
      <c r="BQ1">
        <f>co2_tax!BQ1</f>
        <v>2097</v>
      </c>
      <c r="BR1">
        <f>co2_tax!BR1</f>
        <v>2098</v>
      </c>
      <c r="BS1">
        <f>co2_tax!BS1</f>
        <v>2099</v>
      </c>
      <c r="BT1">
        <f>co2_tax!BT1</f>
        <v>2100</v>
      </c>
    </row>
    <row r="2" spans="1:72" x14ac:dyDescent="0.25">
      <c r="A2" t="s">
        <v>43</v>
      </c>
      <c r="B2" s="6">
        <v>2156078.3999999901</v>
      </c>
      <c r="C2" s="6">
        <v>2285823.9165713568</v>
      </c>
      <c r="D2" s="6">
        <v>2422628.0807807692</v>
      </c>
      <c r="E2" s="6">
        <v>2566816.791859176</v>
      </c>
      <c r="F2" s="6">
        <v>2718727.259438104</v>
      </c>
      <c r="G2" s="6">
        <v>2878708.184021872</v>
      </c>
      <c r="H2" s="6">
        <v>3047119.9291723859</v>
      </c>
      <c r="I2" s="6">
        <v>3224334.6848009969</v>
      </c>
      <c r="J2" s="6">
        <v>3410736.6209632671</v>
      </c>
      <c r="K2" s="6">
        <v>3606722.0315555879</v>
      </c>
      <c r="L2" s="6">
        <v>3812699.46731738</v>
      </c>
      <c r="M2" s="6">
        <v>4029089.8575492469</v>
      </c>
      <c r="N2" s="6">
        <v>4256326.6199658709</v>
      </c>
      <c r="O2" s="6">
        <v>4494855.7581125768</v>
      </c>
      <c r="P2" s="6">
        <v>4745135.9457866075</v>
      </c>
      <c r="Q2" s="6">
        <v>5007638.5979177924</v>
      </c>
      <c r="R2" s="6">
        <v>5282847.927379082</v>
      </c>
      <c r="S2" s="6">
        <v>5571260.9872145178</v>
      </c>
      <c r="T2" s="6">
        <v>5873387.697791528</v>
      </c>
      <c r="U2" s="6">
        <v>6189750.8584050247</v>
      </c>
      <c r="V2" s="6">
        <v>6520886.1428833753</v>
      </c>
      <c r="W2" s="6">
        <v>6867342.0787702203</v>
      </c>
      <c r="X2" s="6">
        <v>7229680.0096818795</v>
      </c>
      <c r="Y2" s="6">
        <v>7608474.0404671039</v>
      </c>
      <c r="Z2" s="6">
        <v>8004310.964824467</v>
      </c>
      <c r="AA2" s="6">
        <v>8417790.1750627197</v>
      </c>
      <c r="AB2" s="6">
        <v>8849523.5537204612</v>
      </c>
      <c r="AC2" s="6">
        <v>9300135.3467940167</v>
      </c>
      <c r="AD2" s="6">
        <v>9770262.018355839</v>
      </c>
      <c r="AE2" s="6">
        <v>10260552.08638031</v>
      </c>
      <c r="AF2" s="6">
        <v>10771665.93962929</v>
      </c>
      <c r="AG2" s="6">
        <v>11304275.635486061</v>
      </c>
      <c r="AH2" s="6">
        <v>11859064.678663209</v>
      </c>
      <c r="AI2" s="6">
        <v>12436727.78074779</v>
      </c>
      <c r="AJ2" s="6">
        <v>13037970.60058522</v>
      </c>
      <c r="AK2" s="6">
        <v>13663509.4655417</v>
      </c>
      <c r="AL2" s="6">
        <v>14314071.073723931</v>
      </c>
      <c r="AM2" s="6">
        <v>14990392.17727413</v>
      </c>
      <c r="AN2" s="6">
        <v>15693219.246896761</v>
      </c>
      <c r="AO2" s="6">
        <v>16423308.11781323</v>
      </c>
      <c r="AP2" s="6">
        <v>17181423.617378861</v>
      </c>
      <c r="AQ2" s="6">
        <v>17968339.174635611</v>
      </c>
      <c r="AR2" s="6">
        <v>18784836.412111819</v>
      </c>
      <c r="AS2" s="6">
        <v>19631704.720218159</v>
      </c>
      <c r="AT2" s="6">
        <v>20509740.814625811</v>
      </c>
      <c r="AU2" s="6">
        <v>21419748.277049519</v>
      </c>
      <c r="AV2" s="6">
        <v>22362537.07989338</v>
      </c>
      <c r="AW2" s="6">
        <v>23338923.095252249</v>
      </c>
      <c r="AX2" s="6">
        <v>24349727.58879485</v>
      </c>
      <c r="AY2" s="6">
        <v>25395776.69908743</v>
      </c>
      <c r="AZ2" s="6">
        <v>26477900.902948201</v>
      </c>
      <c r="BA2" s="6">
        <v>27596934.467452489</v>
      </c>
      <c r="BB2" s="6">
        <v>28753714.889237609</v>
      </c>
      <c r="BC2" s="6">
        <v>29949082.32178352</v>
      </c>
      <c r="BD2" s="6">
        <v>31183878.99137117</v>
      </c>
      <c r="BE2" s="6">
        <v>32458948.602444679</v>
      </c>
      <c r="BF2" s="6">
        <v>33775135.733125843</v>
      </c>
      <c r="BG2" s="6">
        <v>35133285.221650884</v>
      </c>
      <c r="BH2" s="6">
        <v>36534241.544518128</v>
      </c>
      <c r="BI2" s="6">
        <v>37978848.187152937</v>
      </c>
      <c r="BJ2" s="6">
        <v>39467947.007911712</v>
      </c>
      <c r="BK2" s="6">
        <v>41002377.596261233</v>
      </c>
      <c r="BL2" s="6">
        <v>42582976.625980467</v>
      </c>
      <c r="BM2" s="6">
        <v>44210577.2042436</v>
      </c>
      <c r="BN2" s="6">
        <v>45886008.217449702</v>
      </c>
      <c r="BO2" s="6">
        <v>47610093.674672604</v>
      </c>
      <c r="BP2" s="6">
        <v>49383652.049607031</v>
      </c>
      <c r="BQ2" s="6">
        <v>51207495.621892042</v>
      </c>
      <c r="BR2" s="6">
        <v>53082429.818691187</v>
      </c>
      <c r="BS2" s="6">
        <v>55009252.557409912</v>
      </c>
      <c r="BT2" s="6">
        <v>56988753.590426259</v>
      </c>
    </row>
    <row r="3" spans="1:72" x14ac:dyDescent="0.25">
      <c r="A3" t="s">
        <v>44</v>
      </c>
      <c r="B3" s="6">
        <v>6849115.0000000373</v>
      </c>
      <c r="C3" s="6">
        <v>7260499.8500744738</v>
      </c>
      <c r="D3" s="6">
        <v>7693938.7806967217</v>
      </c>
      <c r="E3" s="6">
        <v>8150436.8136858474</v>
      </c>
      <c r="F3" s="6">
        <v>8631033.7805027384</v>
      </c>
      <c r="G3" s="6">
        <v>9136804.9135950096</v>
      </c>
      <c r="H3" s="6">
        <v>9668861.4159354642</v>
      </c>
      <c r="I3" s="6">
        <v>10228351.00700142</v>
      </c>
      <c r="J3" s="6">
        <v>10816458.443437019</v>
      </c>
      <c r="K3" s="6">
        <v>11434406.012640391</v>
      </c>
      <c r="L3" s="6">
        <v>12083453.9975214</v>
      </c>
      <c r="M3" s="6">
        <v>12764901.110684231</v>
      </c>
      <c r="N3" s="6">
        <v>13480084.89630278</v>
      </c>
      <c r="O3" s="6">
        <v>14230382.09797434</v>
      </c>
      <c r="P3" s="6">
        <v>15017208.99086058</v>
      </c>
      <c r="Q3" s="6">
        <v>15842021.67645188</v>
      </c>
      <c r="R3" s="6">
        <v>16706316.33832426</v>
      </c>
      <c r="S3" s="6">
        <v>17611629.4572949</v>
      </c>
      <c r="T3" s="6">
        <v>18559537.98442499</v>
      </c>
      <c r="U3" s="6">
        <v>19551659.47036507</v>
      </c>
      <c r="V3" s="6">
        <v>20589652.149590239</v>
      </c>
      <c r="W3" s="6">
        <v>21675214.978128299</v>
      </c>
      <c r="X3" s="6">
        <v>22810087.62344531</v>
      </c>
      <c r="Y3" s="6">
        <v>23996050.405217972</v>
      </c>
      <c r="Z3" s="6">
        <v>25234924.185791999</v>
      </c>
      <c r="AA3" s="6">
        <v>26528570.209199499</v>
      </c>
      <c r="AB3" s="6">
        <v>27878889.887685969</v>
      </c>
      <c r="AC3" s="6">
        <v>29287824.534779631</v>
      </c>
      <c r="AD3" s="6">
        <v>30757355.044020779</v>
      </c>
      <c r="AE3" s="6">
        <v>32289501.512557801</v>
      </c>
      <c r="AF3" s="6">
        <v>33886322.808909021</v>
      </c>
      <c r="AG3" s="6">
        <v>35549916.084283859</v>
      </c>
      <c r="AH3" s="6">
        <v>37282416.226955779</v>
      </c>
      <c r="AI3" s="6">
        <v>39085995.259279288</v>
      </c>
      <c r="AJ3" s="6">
        <v>40962861.677046463</v>
      </c>
      <c r="AK3" s="6">
        <v>42915259.730983317</v>
      </c>
      <c r="AL3" s="6">
        <v>44945468.650293186</v>
      </c>
      <c r="AM3" s="6">
        <v>47055801.808261998</v>
      </c>
      <c r="AN3" s="6">
        <v>49248605.830050416</v>
      </c>
      <c r="AO3" s="6">
        <v>51526259.64290756</v>
      </c>
      <c r="AP3" s="6">
        <v>53891173.469152227</v>
      </c>
      <c r="AQ3" s="6">
        <v>56345787.762378901</v>
      </c>
      <c r="AR3" s="6">
        <v>58892572.087456763</v>
      </c>
      <c r="AS3" s="6">
        <v>61534023.94500149</v>
      </c>
      <c r="AT3" s="6">
        <v>64272667.541109718</v>
      </c>
      <c r="AU3" s="6">
        <v>67111052.503255531</v>
      </c>
      <c r="AV3" s="6">
        <v>70051752.543357566</v>
      </c>
      <c r="AW3" s="6">
        <v>73097364.069130883</v>
      </c>
      <c r="AX3" s="6">
        <v>76250504.744944945</v>
      </c>
      <c r="AY3" s="6">
        <v>79513812.003510043</v>
      </c>
      <c r="AZ3" s="6">
        <v>82889941.509817615</v>
      </c>
      <c r="BA3" s="6">
        <v>86381565.578856349</v>
      </c>
      <c r="BB3" s="6">
        <v>89991371.548723176</v>
      </c>
      <c r="BC3" s="6">
        <v>93722060.110839263</v>
      </c>
      <c r="BD3" s="6">
        <v>97576343.599071607</v>
      </c>
      <c r="BE3" s="6">
        <v>101556944.239645</v>
      </c>
      <c r="BF3" s="6">
        <v>105666592.36381289</v>
      </c>
      <c r="BG3" s="6">
        <v>109908024.58533099</v>
      </c>
      <c r="BH3" s="6">
        <v>114283981.94485471</v>
      </c>
      <c r="BI3" s="6">
        <v>118797208.0234469</v>
      </c>
      <c r="BJ3" s="6">
        <v>123450447.0274502</v>
      </c>
      <c r="BK3" s="6">
        <v>128246441.84703889</v>
      </c>
      <c r="BL3" s="6">
        <v>133187932.0908168</v>
      </c>
      <c r="BM3" s="6">
        <v>138277652.09888381</v>
      </c>
      <c r="BN3" s="6">
        <v>143518328.93683439</v>
      </c>
      <c r="BO3" s="6">
        <v>148912680.37319559</v>
      </c>
      <c r="BP3" s="6">
        <v>154463412.84284419</v>
      </c>
      <c r="BQ3" s="6">
        <v>160173219.3989757</v>
      </c>
      <c r="BR3" s="6">
        <v>166044777.65622079</v>
      </c>
      <c r="BS3" s="6">
        <v>172080747.72752419</v>
      </c>
      <c r="BT3" s="6">
        <v>178283770.15741751</v>
      </c>
    </row>
    <row r="4" spans="1:72" x14ac:dyDescent="0.25">
      <c r="A4" t="s">
        <v>45</v>
      </c>
      <c r="B4" s="6">
        <v>2628384.13333333</v>
      </c>
      <c r="C4" s="6">
        <v>2765419.060257189</v>
      </c>
      <c r="D4" s="6">
        <v>2908510.6103442288</v>
      </c>
      <c r="E4" s="6">
        <v>3057869.2903222861</v>
      </c>
      <c r="F4" s="6">
        <v>3213710.2315692259</v>
      </c>
      <c r="G4" s="6">
        <v>3376253.1756511042</v>
      </c>
      <c r="H4" s="6">
        <v>3545722.4542591269</v>
      </c>
      <c r="I4" s="6">
        <v>3722346.9634177419</v>
      </c>
      <c r="J4" s="6">
        <v>3906360.1318440922</v>
      </c>
      <c r="K4" s="6">
        <v>4097999.8833473218</v>
      </c>
      <c r="L4" s="6">
        <v>4297508.5931651033</v>
      </c>
      <c r="M4" s="6">
        <v>4505133.0381439868</v>
      </c>
      <c r="N4" s="6">
        <v>4721124.3406798309</v>
      </c>
      <c r="O4" s="6">
        <v>4945737.9063446922</v>
      </c>
      <c r="P4" s="6">
        <v>5179233.3551370306</v>
      </c>
      <c r="Q4" s="6">
        <v>5421874.4463028815</v>
      </c>
      <c r="R4" s="6">
        <v>5673928.9966868181</v>
      </c>
      <c r="S4" s="6">
        <v>5935668.7925830381</v>
      </c>
      <c r="T4" s="6">
        <v>6207369.4950685939</v>
      </c>
      <c r="U4" s="6">
        <v>6489310.5388127752</v>
      </c>
      <c r="V4" s="6">
        <v>6781775.0243688906</v>
      </c>
      <c r="W4" s="6">
        <v>7085049.6039670166</v>
      </c>
      <c r="X4" s="6">
        <v>7399424.3608388407</v>
      </c>
      <c r="Y4" s="6">
        <v>7725192.6821183246</v>
      </c>
      <c r="Z4" s="6">
        <v>8062651.1253746171</v>
      </c>
      <c r="AA4" s="6">
        <v>8412099.2788464222</v>
      </c>
      <c r="AB4" s="6">
        <v>8773839.6154597122</v>
      </c>
      <c r="AC4" s="6">
        <v>9148177.3407234754</v>
      </c>
      <c r="AD4" s="6">
        <v>9535420.2346106656</v>
      </c>
      <c r="AE4" s="6">
        <v>9935878.4875443</v>
      </c>
      <c r="AF4" s="6">
        <v>10349864.53062072</v>
      </c>
      <c r="AG4" s="6">
        <v>10777692.86021469</v>
      </c>
      <c r="AH4" s="6">
        <v>11219679.85712236</v>
      </c>
      <c r="AI4" s="6">
        <v>11676143.6004107</v>
      </c>
      <c r="AJ4" s="6">
        <v>12147403.676152591</v>
      </c>
      <c r="AK4" s="6">
        <v>12633780.981238719</v>
      </c>
      <c r="AL4" s="6">
        <v>13135597.522467669</v>
      </c>
      <c r="AM4" s="6">
        <v>13653176.21112629</v>
      </c>
      <c r="AN4" s="6">
        <v>14186840.653282439</v>
      </c>
      <c r="AO4" s="6">
        <v>14736914.936021689</v>
      </c>
      <c r="AP4" s="6">
        <v>15303723.40986887</v>
      </c>
      <c r="AQ4" s="6">
        <v>15887590.467643891</v>
      </c>
      <c r="AR4" s="6">
        <v>16488840.3200093</v>
      </c>
      <c r="AS4" s="6">
        <v>17107796.767975088</v>
      </c>
      <c r="AT4" s="6">
        <v>17744782.972632609</v>
      </c>
      <c r="AU4" s="6">
        <v>18400121.22239688</v>
      </c>
      <c r="AV4" s="6">
        <v>19074132.698041521</v>
      </c>
      <c r="AW4" s="6">
        <v>19767137.235816639</v>
      </c>
      <c r="AX4" s="6">
        <v>20479453.088944379</v>
      </c>
      <c r="AY4" s="6">
        <v>21211396.687790871</v>
      </c>
      <c r="AZ4" s="6">
        <v>21963282.39901698</v>
      </c>
      <c r="BA4" s="6">
        <v>22735422.284013011</v>
      </c>
      <c r="BB4" s="6">
        <v>23528125.856924709</v>
      </c>
      <c r="BC4" s="6">
        <v>24341699.842579469</v>
      </c>
      <c r="BD4" s="6">
        <v>25176447.934622642</v>
      </c>
      <c r="BE4" s="6">
        <v>26032670.554174028</v>
      </c>
      <c r="BF4" s="6">
        <v>26910664.609314371</v>
      </c>
      <c r="BG4" s="6">
        <v>27810723.255710639</v>
      </c>
      <c r="BH4" s="6">
        <v>28733135.658687338</v>
      </c>
      <c r="BI4" s="6">
        <v>29678186.757048842</v>
      </c>
      <c r="BJ4" s="6">
        <v>30646157.0289548</v>
      </c>
      <c r="BK4" s="6">
        <v>31637322.260147732</v>
      </c>
      <c r="BL4" s="6">
        <v>32651953.314827219</v>
      </c>
      <c r="BM4" s="6">
        <v>33690315.909461178</v>
      </c>
      <c r="BN4" s="6">
        <v>34752670.389819384</v>
      </c>
      <c r="BO4" s="6">
        <v>35839271.511508621</v>
      </c>
      <c r="BP4" s="6">
        <v>36950368.224283248</v>
      </c>
      <c r="BQ4" s="6">
        <v>38086203.460397467</v>
      </c>
      <c r="BR4" s="6">
        <v>39247013.927259646</v>
      </c>
      <c r="BS4" s="6">
        <v>40433029.904640362</v>
      </c>
      <c r="BT4" s="6">
        <v>41644475.046678878</v>
      </c>
    </row>
    <row r="5" spans="1:72" x14ac:dyDescent="0.25">
      <c r="A5" t="s">
        <v>46</v>
      </c>
      <c r="B5" s="6">
        <v>3477264.1333333221</v>
      </c>
      <c r="C5" s="6">
        <v>3650452.8599728802</v>
      </c>
      <c r="D5" s="6">
        <v>3831576.219030947</v>
      </c>
      <c r="E5" s="6">
        <v>4020923.3618611442</v>
      </c>
      <c r="F5" s="6">
        <v>4218791.5357715869</v>
      </c>
      <c r="G5" s="6">
        <v>4425486.1010528952</v>
      </c>
      <c r="H5" s="6">
        <v>4641320.5427052602</v>
      </c>
      <c r="I5" s="6">
        <v>4866616.4763257112</v>
      </c>
      <c r="J5" s="6">
        <v>5101703.647645859</v>
      </c>
      <c r="K5" s="6">
        <v>5346919.9252383672</v>
      </c>
      <c r="L5" s="6">
        <v>5602611.285937299</v>
      </c>
      <c r="M5" s="6">
        <v>5869131.7925438173</v>
      </c>
      <c r="N5" s="6">
        <v>6146843.5634143064</v>
      </c>
      <c r="O5" s="6">
        <v>6436116.7335532494</v>
      </c>
      <c r="P5" s="6">
        <v>6737329.4068581322</v>
      </c>
      <c r="Q5" s="6">
        <v>7050867.5991883595</v>
      </c>
      <c r="R5" s="6">
        <v>7377125.1719548656</v>
      </c>
      <c r="S5" s="6">
        <v>7716503.7559516355</v>
      </c>
      <c r="T5" s="6">
        <v>8069412.6651750859</v>
      </c>
      <c r="U5" s="6">
        <v>8436268.8004018981</v>
      </c>
      <c r="V5" s="6">
        <v>8817496.5423207022</v>
      </c>
      <c r="W5" s="6">
        <v>9213527.6340380125</v>
      </c>
      <c r="X5" s="6">
        <v>9624801.0528037623</v>
      </c>
      <c r="Y5" s="6">
        <v>10051762.870827129</v>
      </c>
      <c r="Z5" s="6">
        <v>10494866.10507847</v>
      </c>
      <c r="AA5" s="6">
        <v>10954570.5559988</v>
      </c>
      <c r="AB5" s="6">
        <v>11431342.635063561</v>
      </c>
      <c r="AC5" s="6">
        <v>11925655.181173179</v>
      </c>
      <c r="AD5" s="6">
        <v>12437987.26586833</v>
      </c>
      <c r="AE5" s="6">
        <v>12968823.98739351</v>
      </c>
      <c r="AF5" s="6">
        <v>13518656.253657909</v>
      </c>
      <c r="AG5" s="6">
        <v>14087980.554168271</v>
      </c>
      <c r="AH5" s="6">
        <v>14677298.721033171</v>
      </c>
      <c r="AI5" s="6">
        <v>15287117.67916386</v>
      </c>
      <c r="AJ5" s="6">
        <v>15917949.18582096</v>
      </c>
      <c r="AK5" s="6">
        <v>16570309.55968147</v>
      </c>
      <c r="AL5" s="6">
        <v>17244719.399624009</v>
      </c>
      <c r="AM5" s="6">
        <v>17941703.293454628</v>
      </c>
      <c r="AN5" s="6">
        <v>18661789.51681808</v>
      </c>
      <c r="AO5" s="6">
        <v>19405509.722562831</v>
      </c>
      <c r="AP5" s="6">
        <v>20173398.620849758</v>
      </c>
      <c r="AQ5" s="6">
        <v>20965993.650316279</v>
      </c>
      <c r="AR5" s="6">
        <v>21783834.640628241</v>
      </c>
      <c r="AS5" s="6">
        <v>22627463.466772359</v>
      </c>
      <c r="AT5" s="6">
        <v>23497423.69546086</v>
      </c>
      <c r="AU5" s="6">
        <v>24394260.22403881</v>
      </c>
      <c r="AV5" s="6">
        <v>25318518.91230214</v>
      </c>
      <c r="AW5" s="6">
        <v>26270746.20765077</v>
      </c>
      <c r="AX5" s="6">
        <v>27251488.764017541</v>
      </c>
      <c r="AY5" s="6">
        <v>28261293.05502782</v>
      </c>
      <c r="AZ5" s="6">
        <v>29300704.981858611</v>
      </c>
      <c r="BA5" s="6">
        <v>30370269.476278812</v>
      </c>
      <c r="BB5" s="6">
        <v>31470530.099363539</v>
      </c>
      <c r="BC5" s="6">
        <v>32602028.636385981</v>
      </c>
      <c r="BD5" s="6">
        <v>33765304.688399747</v>
      </c>
      <c r="BE5" s="6">
        <v>34960895.261032671</v>
      </c>
      <c r="BF5" s="6">
        <v>36189334.351020239</v>
      </c>
      <c r="BG5" s="6">
        <v>37451152.531012483</v>
      </c>
      <c r="BH5" s="6">
        <v>38746876.533193037</v>
      </c>
      <c r="BI5" s="6">
        <v>40077028.832252733</v>
      </c>
      <c r="BJ5" s="6">
        <v>41442127.228261769</v>
      </c>
      <c r="BK5" s="6">
        <v>42842684.429986902</v>
      </c>
      <c r="BL5" s="6">
        <v>44279207.639198683</v>
      </c>
      <c r="BM5" s="6">
        <v>45752198.136513866</v>
      </c>
      <c r="BN5" s="6">
        <v>47262150.869315177</v>
      </c>
      <c r="BO5" s="6">
        <v>48809554.042287193</v>
      </c>
      <c r="BP5" s="6">
        <v>50394888.711103342</v>
      </c>
      <c r="BQ5" s="6">
        <v>52018628.379792243</v>
      </c>
      <c r="BR5" s="6">
        <v>53681238.602306448</v>
      </c>
      <c r="BS5" s="6">
        <v>55383176.58880765</v>
      </c>
      <c r="BT5" s="6">
        <v>57124890.817174681</v>
      </c>
    </row>
    <row r="6" spans="1:72" x14ac:dyDescent="0.25">
      <c r="A6" t="s">
        <v>47</v>
      </c>
      <c r="B6" s="6">
        <v>3905987.2666666559</v>
      </c>
      <c r="C6" s="6">
        <v>4124319.4051998658</v>
      </c>
      <c r="D6" s="6">
        <v>4353852.8611748163</v>
      </c>
      <c r="E6" s="6">
        <v>4595086.0628768224</v>
      </c>
      <c r="F6" s="6">
        <v>4848534.239267814</v>
      </c>
      <c r="G6" s="6">
        <v>5114729.6588292513</v>
      </c>
      <c r="H6" s="6">
        <v>5394221.8539106697</v>
      </c>
      <c r="I6" s="6">
        <v>5687577.8296645461</v>
      </c>
      <c r="J6" s="6">
        <v>5995382.2566584367</v>
      </c>
      <c r="K6" s="6">
        <v>6318237.6462684199</v>
      </c>
      <c r="L6" s="6">
        <v>6656764.5079738013</v>
      </c>
      <c r="M6" s="6">
        <v>7011601.4876918923</v>
      </c>
      <c r="N6" s="6">
        <v>7383405.4863133328</v>
      </c>
      <c r="O6" s="6">
        <v>7772851.7576229479</v>
      </c>
      <c r="P6" s="6">
        <v>8180633.984818385</v>
      </c>
      <c r="Q6" s="6">
        <v>8607464.3348687645</v>
      </c>
      <c r="R6" s="6">
        <v>9054073.4899882488</v>
      </c>
      <c r="S6" s="6">
        <v>9521210.6555347014</v>
      </c>
      <c r="T6" s="6">
        <v>10009643.54368127</v>
      </c>
      <c r="U6" s="6">
        <v>10520158.332248989</v>
      </c>
      <c r="V6" s="6">
        <v>11053559.59813077</v>
      </c>
      <c r="W6" s="6">
        <v>11610670.224781999</v>
      </c>
      <c r="X6" s="6">
        <v>12192331.283299441</v>
      </c>
      <c r="Y6" s="6">
        <v>12799401.88665878</v>
      </c>
      <c r="Z6" s="6">
        <v>13432759.016731789</v>
      </c>
      <c r="AA6" s="6">
        <v>14093297.32375575</v>
      </c>
      <c r="AB6" s="6">
        <v>14781928.897981601</v>
      </c>
      <c r="AC6" s="6">
        <v>15499583.01328213</v>
      </c>
      <c r="AD6" s="6">
        <v>16247205.842557309</v>
      </c>
      <c r="AE6" s="6">
        <v>17025760.144831348</v>
      </c>
      <c r="AF6" s="6">
        <v>17836224.92399345</v>
      </c>
      <c r="AG6" s="6">
        <v>18679595.059193172</v>
      </c>
      <c r="AH6" s="6">
        <v>19556880.906960059</v>
      </c>
      <c r="AI6" s="6">
        <v>20469107.875176739</v>
      </c>
      <c r="AJ6" s="6">
        <v>21417315.96909393</v>
      </c>
      <c r="AK6" s="6">
        <v>22402559.30963527</v>
      </c>
      <c r="AL6" s="6">
        <v>23425905.624299321</v>
      </c>
      <c r="AM6" s="6">
        <v>24488435.711024258</v>
      </c>
      <c r="AN6" s="6">
        <v>25591242.875439811</v>
      </c>
      <c r="AO6" s="6">
        <v>26735432.341987509</v>
      </c>
      <c r="AP6" s="6">
        <v>27922120.639447808</v>
      </c>
      <c r="AQ6" s="6">
        <v>29152434.96146724</v>
      </c>
      <c r="AR6" s="6">
        <v>30427512.50273373</v>
      </c>
      <c r="AS6" s="6">
        <v>31748499.771500509</v>
      </c>
      <c r="AT6" s="6">
        <v>33116551.879210681</v>
      </c>
      <c r="AU6" s="6">
        <v>34532831.808024064</v>
      </c>
      <c r="AV6" s="6">
        <v>35998509.657095671</v>
      </c>
      <c r="AW6" s="6">
        <v>37514761.868501402</v>
      </c>
      <c r="AX6" s="6">
        <v>39082770.43374981</v>
      </c>
      <c r="AY6" s="6">
        <v>40703722.081861153</v>
      </c>
      <c r="AZ6" s="6">
        <v>42378807.450033851</v>
      </c>
      <c r="BA6" s="6">
        <v>44109220.237955682</v>
      </c>
      <c r="BB6" s="6">
        <v>45896156.346851833</v>
      </c>
      <c r="BC6" s="6">
        <v>47740813.00439354</v>
      </c>
      <c r="BD6" s="6">
        <v>49644387.87662112</v>
      </c>
      <c r="BE6" s="6">
        <v>51608078.168061383</v>
      </c>
      <c r="BF6" s="6">
        <v>53633079.711244076</v>
      </c>
      <c r="BG6" s="6">
        <v>55720586.046842933</v>
      </c>
      <c r="BH6" s="6">
        <v>57871787.495685793</v>
      </c>
      <c r="BI6" s="6">
        <v>60087870.223893806</v>
      </c>
      <c r="BJ6" s="6">
        <v>62370015.302422732</v>
      </c>
      <c r="BK6" s="6">
        <v>64719397.762289539</v>
      </c>
      <c r="BL6" s="6">
        <v>67137185.646774888</v>
      </c>
      <c r="BM6" s="6">
        <v>69624539.061895996</v>
      </c>
      <c r="BN6" s="6">
        <v>72182609.22644712</v>
      </c>
      <c r="BO6" s="6">
        <v>74812537.522902668</v>
      </c>
      <c r="BP6" s="6">
        <v>77515454.550474867</v>
      </c>
      <c r="BQ6" s="6">
        <v>80292479.181611359</v>
      </c>
      <c r="BR6" s="6">
        <v>83144717.623208493</v>
      </c>
      <c r="BS6" s="6">
        <v>86073262.483805075</v>
      </c>
      <c r="BT6" s="6">
        <v>89079191.848006383</v>
      </c>
    </row>
    <row r="7" spans="1:72" x14ac:dyDescent="0.25">
      <c r="A7" t="s">
        <v>6</v>
      </c>
      <c r="B7" s="6">
        <v>741024.39999999851</v>
      </c>
      <c r="C7" s="6">
        <v>769131.40033631469</v>
      </c>
      <c r="D7" s="6">
        <v>798012.76613566605</v>
      </c>
      <c r="E7" s="6">
        <v>827678.98651780898</v>
      </c>
      <c r="F7" s="6">
        <v>858140.36154721095</v>
      </c>
      <c r="G7" s="6">
        <v>889406.99323496595</v>
      </c>
      <c r="H7" s="6">
        <v>921488.77670867892</v>
      </c>
      <c r="I7" s="6">
        <v>954395.3915614523</v>
      </c>
      <c r="J7" s="6">
        <v>988136.2933907212</v>
      </c>
      <c r="K7" s="6">
        <v>1022720.705537284</v>
      </c>
      <c r="L7" s="6">
        <v>1058157.6110344571</v>
      </c>
      <c r="M7" s="6">
        <v>1094455.7447768529</v>
      </c>
      <c r="N7" s="6">
        <v>1131623.585917837</v>
      </c>
      <c r="O7" s="6">
        <v>1169669.350504278</v>
      </c>
      <c r="P7" s="6">
        <v>1208600.9843567091</v>
      </c>
      <c r="Q7" s="6">
        <v>1248426.156202592</v>
      </c>
      <c r="R7" s="6">
        <v>1289152.2510698631</v>
      </c>
      <c r="S7" s="6">
        <v>1330786.3639474511</v>
      </c>
      <c r="T7" s="6">
        <v>1373335.29371901</v>
      </c>
      <c r="U7" s="6">
        <v>1416805.5373755521</v>
      </c>
      <c r="V7" s="6">
        <v>1461203.2845122339</v>
      </c>
      <c r="W7" s="6">
        <v>1506534.412113996</v>
      </c>
      <c r="X7" s="6">
        <v>1552804.479634295</v>
      </c>
      <c r="Y7" s="6">
        <v>1600018.724370667</v>
      </c>
      <c r="Z7" s="6">
        <v>1648182.057140338</v>
      </c>
      <c r="AA7" s="6">
        <v>1697299.058258642</v>
      </c>
      <c r="AB7" s="6">
        <v>1747373.973822494</v>
      </c>
      <c r="AC7" s="6">
        <v>1798410.7123007041</v>
      </c>
      <c r="AD7" s="6">
        <v>1850412.841432411</v>
      </c>
      <c r="AE7" s="6">
        <v>1903383.5854344841</v>
      </c>
      <c r="AF7" s="6">
        <v>1957325.822518243</v>
      </c>
      <c r="AG7" s="6">
        <v>2012242.082715421</v>
      </c>
      <c r="AH7" s="6">
        <v>2068134.54601283</v>
      </c>
      <c r="AI7" s="6">
        <v>2125005.0407947628</v>
      </c>
      <c r="AJ7" s="6">
        <v>2182855.042591753</v>
      </c>
      <c r="AK7" s="6">
        <v>2241685.673133872</v>
      </c>
      <c r="AL7" s="6">
        <v>2301497.6997063761</v>
      </c>
      <c r="AM7" s="6">
        <v>2362291.5348051041</v>
      </c>
      <c r="AN7" s="6">
        <v>2424067.236088655</v>
      </c>
      <c r="AO7" s="6">
        <v>2486824.5066240239</v>
      </c>
      <c r="AP7" s="6">
        <v>2550562.69542201</v>
      </c>
      <c r="AQ7" s="6">
        <v>2615280.7982583749</v>
      </c>
      <c r="AR7" s="6">
        <v>2680977.45877644</v>
      </c>
      <c r="AS7" s="6">
        <v>2747650.9698664481</v>
      </c>
      <c r="AT7" s="6">
        <v>2815299.2753167748</v>
      </c>
      <c r="AU7" s="6">
        <v>2883919.971731782</v>
      </c>
      <c r="AV7" s="6">
        <v>2953510.310710819</v>
      </c>
      <c r="AW7" s="6">
        <v>3024067.2012826661</v>
      </c>
      <c r="AX7" s="6">
        <v>3095587.2125894642</v>
      </c>
      <c r="AY7" s="6">
        <v>3168066.57681396</v>
      </c>
      <c r="AZ7" s="6">
        <v>3241501.1923436951</v>
      </c>
      <c r="BA7" s="6">
        <v>3315886.6271655671</v>
      </c>
      <c r="BB7" s="6">
        <v>3391218.1224840591</v>
      </c>
      <c r="BC7" s="6">
        <v>3467490.5965562211</v>
      </c>
      <c r="BD7" s="6">
        <v>3544698.6487363898</v>
      </c>
      <c r="BE7" s="6">
        <v>3622836.5637234878</v>
      </c>
      <c r="BF7" s="6">
        <v>3701898.3160036132</v>
      </c>
      <c r="BG7" s="6">
        <v>3781877.574480575</v>
      </c>
      <c r="BH7" s="6">
        <v>3862767.7072868962</v>
      </c>
      <c r="BI7" s="6">
        <v>3944561.7867677668</v>
      </c>
      <c r="BJ7" s="6">
        <v>4027252.594630348</v>
      </c>
      <c r="BK7" s="6">
        <v>4110832.6272508139</v>
      </c>
      <c r="BL7" s="6">
        <v>4195294.1011314439</v>
      </c>
      <c r="BM7" s="6">
        <v>4280628.958500091</v>
      </c>
      <c r="BN7" s="6">
        <v>4366828.8730443334</v>
      </c>
      <c r="BO7" s="6">
        <v>4453885.2557726009</v>
      </c>
      <c r="BP7" s="6">
        <v>4541789.2609946271</v>
      </c>
      <c r="BQ7" s="6">
        <v>4630531.7924135458</v>
      </c>
      <c r="BR7" s="6">
        <v>4720103.5093220323</v>
      </c>
      <c r="BS7" s="6">
        <v>4810494.8328949194</v>
      </c>
      <c r="BT7" s="6">
        <v>4901695.9525707606</v>
      </c>
    </row>
    <row r="8" spans="1:72" x14ac:dyDescent="0.25">
      <c r="A8" t="s">
        <v>7</v>
      </c>
      <c r="B8" s="6">
        <v>2295761.2000000179</v>
      </c>
      <c r="C8" s="6">
        <v>2395576.6699286238</v>
      </c>
      <c r="D8" s="6">
        <v>2498690.3800777192</v>
      </c>
      <c r="E8" s="6">
        <v>2605166.9318197388</v>
      </c>
      <c r="F8" s="6">
        <v>2715070.624524489</v>
      </c>
      <c r="G8" s="6">
        <v>2828465.4020741908</v>
      </c>
      <c r="H8" s="6">
        <v>2945414.7993224091</v>
      </c>
      <c r="I8" s="6">
        <v>3065981.888572427</v>
      </c>
      <c r="J8" s="6">
        <v>3190229.2261503651</v>
      </c>
      <c r="K8" s="6">
        <v>3318218.799147842</v>
      </c>
      <c r="L8" s="6">
        <v>3450011.9724084162</v>
      </c>
      <c r="M8" s="6">
        <v>3585669.4358312539</v>
      </c>
      <c r="N8" s="6">
        <v>3725251.15206458</v>
      </c>
      <c r="O8" s="6">
        <v>3868816.3046604041</v>
      </c>
      <c r="P8" s="6">
        <v>4016423.2467608298</v>
      </c>
      <c r="Q8" s="6">
        <v>4168129.4503849382</v>
      </c>
      <c r="R8" s="6">
        <v>4323991.4563837536</v>
      </c>
      <c r="S8" s="6">
        <v>4484064.8251292855</v>
      </c>
      <c r="T8" s="6">
        <v>4648404.0880018706</v>
      </c>
      <c r="U8" s="6">
        <v>4817062.6997383274</v>
      </c>
      <c r="V8" s="6">
        <v>4990092.9917014381</v>
      </c>
      <c r="W8" s="6">
        <v>5167546.1261293618</v>
      </c>
      <c r="X8" s="6">
        <v>5349472.0514214206</v>
      </c>
      <c r="Y8" s="6">
        <v>5535919.4585145684</v>
      </c>
      <c r="Z8" s="6">
        <v>5726935.7384025743</v>
      </c>
      <c r="AA8" s="6">
        <v>5922566.9408476427</v>
      </c>
      <c r="AB8" s="6">
        <v>6122857.7343318025</v>
      </c>
      <c r="AC8" s="6">
        <v>6327851.3672929481</v>
      </c>
      <c r="AD8" s="6">
        <v>6537589.6306879399</v>
      </c>
      <c r="AE8" s="6">
        <v>6752112.8219226003</v>
      </c>
      <c r="AF8" s="6">
        <v>6971459.7101859218</v>
      </c>
      <c r="AG8" s="6">
        <v>7195667.5032231398</v>
      </c>
      <c r="AH8" s="6">
        <v>7424771.815579758</v>
      </c>
      <c r="AI8" s="6">
        <v>7658806.6383459214</v>
      </c>
      <c r="AJ8" s="6">
        <v>7897804.3104279144</v>
      </c>
      <c r="AK8" s="6">
        <v>8141795.4913708847</v>
      </c>
      <c r="AL8" s="6">
        <v>8390809.1357542593</v>
      </c>
      <c r="AM8" s="6">
        <v>8644872.4691786394</v>
      </c>
      <c r="AN8" s="6">
        <v>8904010.9658603724</v>
      </c>
      <c r="AO8" s="6">
        <v>9168248.3278473262</v>
      </c>
      <c r="AP8" s="6">
        <v>9437606.4658668712</v>
      </c>
      <c r="AQ8" s="6">
        <v>9712105.4818144422</v>
      </c>
      <c r="AR8" s="6">
        <v>9991763.6528885718</v>
      </c>
      <c r="AS8" s="6">
        <v>10276597.417375781</v>
      </c>
      <c r="AT8" s="6">
        <v>10566621.362086261</v>
      </c>
      <c r="AU8" s="6">
        <v>10861848.2114389</v>
      </c>
      <c r="AV8" s="6">
        <v>11162288.81819183</v>
      </c>
      <c r="AW8" s="6">
        <v>11467952.15581237</v>
      </c>
      <c r="AX8" s="6">
        <v>11778845.31247809</v>
      </c>
      <c r="AY8" s="6">
        <v>12094973.486698391</v>
      </c>
      <c r="AZ8" s="6">
        <v>12416339.984544059</v>
      </c>
      <c r="BA8" s="6">
        <v>12742946.218470041</v>
      </c>
      <c r="BB8" s="6">
        <v>13074791.707714809</v>
      </c>
      <c r="BC8" s="6">
        <v>13411874.080257829</v>
      </c>
      <c r="BD8" s="6">
        <v>13754189.076314591</v>
      </c>
      <c r="BE8" s="6">
        <v>14101730.5533472</v>
      </c>
      <c r="BF8" s="6">
        <v>14454490.492566681</v>
      </c>
      <c r="BG8" s="6">
        <v>14812459.006901409</v>
      </c>
      <c r="BH8" s="6">
        <v>15175624.350404911</v>
      </c>
      <c r="BI8" s="6">
        <v>15543972.92907452</v>
      </c>
      <c r="BJ8" s="6">
        <v>15917489.313051119</v>
      </c>
      <c r="BK8" s="6">
        <v>16296156.25016894</v>
      </c>
      <c r="BL8" s="6">
        <v>16679954.68082317</v>
      </c>
      <c r="BM8" s="6">
        <v>17068863.754121918</v>
      </c>
      <c r="BN8" s="6">
        <v>17462860.84528818</v>
      </c>
      <c r="BO8" s="6">
        <v>17861921.574276362</v>
      </c>
      <c r="BP8" s="6">
        <v>18266019.825567119</v>
      </c>
      <c r="BQ8" s="6">
        <v>18675127.7691034</v>
      </c>
      <c r="BR8" s="6">
        <v>19089215.882329859</v>
      </c>
      <c r="BS8" s="6">
        <v>19508252.973297261</v>
      </c>
      <c r="BT8" s="6">
        <v>19932206.204792749</v>
      </c>
    </row>
    <row r="9" spans="1:72" x14ac:dyDescent="0.25">
      <c r="A9" t="s">
        <v>8</v>
      </c>
      <c r="B9" s="6">
        <v>810436.93333332986</v>
      </c>
      <c r="C9" s="6">
        <v>845881.38570729713</v>
      </c>
      <c r="D9" s="6">
        <v>882506.05475186848</v>
      </c>
      <c r="E9" s="6">
        <v>920334.3812807831</v>
      </c>
      <c r="F9" s="6">
        <v>959389.70810871979</v>
      </c>
      <c r="G9" s="6">
        <v>999695.26071435725</v>
      </c>
      <c r="H9" s="6">
        <v>1041274.127867063</v>
      </c>
      <c r="I9" s="6">
        <v>1084149.2422446031</v>
      </c>
      <c r="J9" s="6">
        <v>1128343.3610691901</v>
      </c>
      <c r="K9" s="6">
        <v>1173879.0467890601</v>
      </c>
      <c r="L9" s="6">
        <v>1220778.6478325811</v>
      </c>
      <c r="M9" s="6">
        <v>1269064.279461649</v>
      </c>
      <c r="N9" s="6">
        <v>1318757.8047508439</v>
      </c>
      <c r="O9" s="6">
        <v>1369880.8157184401</v>
      </c>
      <c r="P9" s="6">
        <v>1422454.614634996</v>
      </c>
      <c r="Q9" s="6">
        <v>1476500.1955347781</v>
      </c>
      <c r="R9" s="6">
        <v>1532038.2259547689</v>
      </c>
      <c r="S9" s="6">
        <v>1589089.0289254929</v>
      </c>
      <c r="T9" s="6">
        <v>1647672.5652372651</v>
      </c>
      <c r="U9" s="6">
        <v>1707808.4160048901</v>
      </c>
      <c r="V9" s="6">
        <v>1769515.765553117</v>
      </c>
      <c r="W9" s="6">
        <v>1832813.3846444921</v>
      </c>
      <c r="X9" s="6">
        <v>1897719.614070503</v>
      </c>
      <c r="Y9" s="6">
        <v>1964252.348626117</v>
      </c>
      <c r="Z9" s="6">
        <v>2032429.0214870539</v>
      </c>
      <c r="AA9" s="6">
        <v>2102266.5890082731</v>
      </c>
      <c r="AB9" s="6">
        <v>2173781.5159613169</v>
      </c>
      <c r="AC9" s="6">
        <v>2246989.7612272971</v>
      </c>
      <c r="AD9" s="6">
        <v>2321906.763961379</v>
      </c>
      <c r="AE9" s="6">
        <v>2398547.4302437562</v>
      </c>
      <c r="AF9" s="6">
        <v>2476926.1202311348</v>
      </c>
      <c r="AG9" s="6">
        <v>2557056.6358218621</v>
      </c>
      <c r="AH9" s="6">
        <v>2638952.2088468401</v>
      </c>
      <c r="AI9" s="6">
        <v>2722625.4897974529</v>
      </c>
      <c r="AJ9" s="6">
        <v>2808088.5371007482</v>
      </c>
      <c r="AK9" s="6">
        <v>2895352.8069511619</v>
      </c>
      <c r="AL9" s="6">
        <v>2984429.143707131</v>
      </c>
      <c r="AM9" s="6">
        <v>3075327.77085994</v>
      </c>
      <c r="AN9" s="6">
        <v>3168058.2825812362</v>
      </c>
      <c r="AO9" s="6">
        <v>3262629.6358546661</v>
      </c>
      <c r="AP9" s="6">
        <v>3359050.1431961409</v>
      </c>
      <c r="AQ9" s="6">
        <v>3457327.4659663378</v>
      </c>
      <c r="AR9" s="6">
        <v>3557468.6082780841</v>
      </c>
      <c r="AS9" s="6">
        <v>3659479.9115003711</v>
      </c>
      <c r="AT9" s="6">
        <v>3763367.0493598771</v>
      </c>
      <c r="AU9" s="6">
        <v>3869135.0236399579</v>
      </c>
      <c r="AV9" s="6">
        <v>3976788.1604762282</v>
      </c>
      <c r="AW9" s="6">
        <v>4086330.1072470052</v>
      </c>
      <c r="AX9" s="6">
        <v>4197763.8300560797</v>
      </c>
      <c r="AY9" s="6">
        <v>4311091.6118044453</v>
      </c>
      <c r="AZ9" s="6">
        <v>4426315.0508468756</v>
      </c>
      <c r="BA9" s="6">
        <v>4543435.0602284595</v>
      </c>
      <c r="BB9" s="6">
        <v>4662451.8674954893</v>
      </c>
      <c r="BC9" s="6">
        <v>4783365.0150743676</v>
      </c>
      <c r="BD9" s="6">
        <v>4906173.3612115681</v>
      </c>
      <c r="BE9" s="6">
        <v>5030875.0814669644</v>
      </c>
      <c r="BF9" s="6">
        <v>5157467.6707522869</v>
      </c>
      <c r="BG9" s="6">
        <v>5285947.9459058177</v>
      </c>
      <c r="BH9" s="6">
        <v>5416312.0487938877</v>
      </c>
      <c r="BI9" s="6">
        <v>5548555.4499292048</v>
      </c>
      <c r="BJ9" s="6">
        <v>5682672.9525955133</v>
      </c>
      <c r="BK9" s="6">
        <v>5818658.697467613</v>
      </c>
      <c r="BL9" s="6">
        <v>5956506.1677153166</v>
      </c>
      <c r="BM9" s="6">
        <v>6096208.1945794877</v>
      </c>
      <c r="BN9" s="6">
        <v>6237756.9634079132</v>
      </c>
      <c r="BO9" s="6">
        <v>6381144.0201384146</v>
      </c>
      <c r="BP9" s="6">
        <v>6526360.2782162214</v>
      </c>
      <c r="BQ9" s="6">
        <v>6673396.0259323716</v>
      </c>
      <c r="BR9" s="6">
        <v>6822240.9341695961</v>
      </c>
      <c r="BS9" s="6">
        <v>6972884.0645418968</v>
      </c>
      <c r="BT9" s="6">
        <v>7125313.8779138047</v>
      </c>
    </row>
    <row r="10" spans="1:72" x14ac:dyDescent="0.25">
      <c r="A10" t="s">
        <v>9</v>
      </c>
      <c r="B10" s="6">
        <v>3025341.8666666751</v>
      </c>
      <c r="C10" s="6">
        <v>3226971.0825463678</v>
      </c>
      <c r="D10" s="6">
        <v>3439887.5597376181</v>
      </c>
      <c r="E10" s="6">
        <v>3664582.6794625982</v>
      </c>
      <c r="F10" s="6">
        <v>3901561.269985795</v>
      </c>
      <c r="G10" s="6">
        <v>4151341.5876260409</v>
      </c>
      <c r="H10" s="6">
        <v>4414455.2785691116</v>
      </c>
      <c r="I10" s="6">
        <v>4691447.3211069861</v>
      </c>
      <c r="J10" s="6">
        <v>4982875.9479680434</v>
      </c>
      <c r="K10" s="6">
        <v>5289312.5484418487</v>
      </c>
      <c r="L10" s="6">
        <v>5611341.5500429077</v>
      </c>
      <c r="M10" s="6">
        <v>5949560.2794995029</v>
      </c>
      <c r="N10" s="6">
        <v>6304578.8028964503</v>
      </c>
      <c r="O10" s="6">
        <v>6677019.7448441731</v>
      </c>
      <c r="P10" s="6">
        <v>7067518.0865907324</v>
      </c>
      <c r="Q10" s="6">
        <v>7476720.9430382522</v>
      </c>
      <c r="R10" s="6">
        <v>7905287.3186703827</v>
      </c>
      <c r="S10" s="6">
        <v>8353887.8424429502</v>
      </c>
      <c r="T10" s="6">
        <v>8823204.4817355275</v>
      </c>
      <c r="U10" s="6">
        <v>9313930.2355073076</v>
      </c>
      <c r="V10" s="6">
        <v>9826768.8068460822</v>
      </c>
      <c r="W10" s="6">
        <v>10362434.25514433</v>
      </c>
      <c r="X10" s="6">
        <v>10921650.62818112</v>
      </c>
      <c r="Y10" s="6">
        <v>11505151.57443282</v>
      </c>
      <c r="Z10" s="6">
        <v>12113679.935978949</v>
      </c>
      <c r="AA10" s="6">
        <v>12747987.32241231</v>
      </c>
      <c r="AB10" s="6">
        <v>13408833.666204231</v>
      </c>
      <c r="AC10" s="6">
        <v>14096986.760016451</v>
      </c>
      <c r="AD10" s="6">
        <v>14813221.77649051</v>
      </c>
      <c r="AE10" s="6">
        <v>15558320.771084109</v>
      </c>
      <c r="AF10" s="6">
        <v>16333072.16856014</v>
      </c>
      <c r="AG10" s="6">
        <v>17138270.23377005</v>
      </c>
      <c r="AH10" s="6">
        <v>17974714.52740645</v>
      </c>
      <c r="AI10" s="6">
        <v>18843209.347432181</v>
      </c>
      <c r="AJ10" s="6">
        <v>19744563.156923469</v>
      </c>
      <c r="AK10" s="6">
        <v>20679587.999093089</v>
      </c>
      <c r="AL10" s="6">
        <v>21649098.900286291</v>
      </c>
      <c r="AM10" s="6">
        <v>22653913.26176681</v>
      </c>
      <c r="AN10" s="6">
        <v>23694850.24113309</v>
      </c>
      <c r="AO10" s="6">
        <v>24772730.124225371</v>
      </c>
      <c r="AP10" s="6">
        <v>25888373.688403081</v>
      </c>
      <c r="AQ10" s="6">
        <v>27042601.558088232</v>
      </c>
      <c r="AR10" s="6">
        <v>28236233.553484969</v>
      </c>
      <c r="AS10" s="6">
        <v>29470088.03339782</v>
      </c>
      <c r="AT10" s="6">
        <v>30744981.233080849</v>
      </c>
      <c r="AU10" s="6">
        <v>32061726.598058239</v>
      </c>
      <c r="AV10" s="6">
        <v>33421134.114862438</v>
      </c>
      <c r="AW10" s="6">
        <v>34824009.639639407</v>
      </c>
      <c r="AX10" s="6">
        <v>36271154.225572497</v>
      </c>
      <c r="AY10" s="6">
        <v>37763363.450075477</v>
      </c>
      <c r="AZ10" s="6">
        <v>39301426.742702767</v>
      </c>
      <c r="BA10" s="6">
        <v>40886126.714720339</v>
      </c>
      <c r="BB10" s="6">
        <v>42518238.491273753</v>
      </c>
      <c r="BC10" s="6">
        <v>44198529.047081798</v>
      </c>
      <c r="BD10" s="6">
        <v>45927756.546572983</v>
      </c>
      <c r="BE10" s="6">
        <v>47706669.689370409</v>
      </c>
      <c r="BF10" s="6">
        <v>49536007.062016137</v>
      </c>
      <c r="BG10" s="6">
        <v>51416496.496810548</v>
      </c>
      <c r="BH10" s="6">
        <v>53348854.43862436</v>
      </c>
      <c r="BI10" s="6">
        <v>55333785.320522629</v>
      </c>
      <c r="BJ10" s="6">
        <v>57371980.949018829</v>
      </c>
      <c r="BK10" s="6">
        <v>59464119.899755612</v>
      </c>
      <c r="BL10" s="6">
        <v>61610866.924385443</v>
      </c>
      <c r="BM10" s="6">
        <v>63812872.369399667</v>
      </c>
      <c r="BN10" s="6">
        <v>66070771.607629053</v>
      </c>
      <c r="BO10" s="6">
        <v>68385184.483111739</v>
      </c>
      <c r="BP10" s="6">
        <v>70756714.769997045</v>
      </c>
      <c r="BQ10" s="6">
        <v>73185949.646124378</v>
      </c>
      <c r="BR10" s="6">
        <v>75673459.181887448</v>
      </c>
      <c r="BS10" s="6">
        <v>78219795.844963059</v>
      </c>
      <c r="BT10" s="6">
        <v>80825494.021453053</v>
      </c>
    </row>
    <row r="11" spans="1:72" x14ac:dyDescent="0.25">
      <c r="A11" t="s">
        <v>10</v>
      </c>
      <c r="B11" s="6">
        <v>2896526.933333308</v>
      </c>
      <c r="C11" s="6">
        <v>3101031.8460934078</v>
      </c>
      <c r="D11" s="6">
        <v>3317786.0828501862</v>
      </c>
      <c r="E11" s="6">
        <v>3547371.8412506501</v>
      </c>
      <c r="F11" s="6">
        <v>3790389.8580313809</v>
      </c>
      <c r="G11" s="6">
        <v>4047459.5244416082</v>
      </c>
      <c r="H11" s="6">
        <v>4319218.9786510281</v>
      </c>
      <c r="I11" s="6">
        <v>4606325.1743546156</v>
      </c>
      <c r="J11" s="6">
        <v>4909453.9248264655</v>
      </c>
      <c r="K11" s="6">
        <v>5229299.9217172256</v>
      </c>
      <c r="L11" s="6">
        <v>5566576.7279347153</v>
      </c>
      <c r="M11" s="6">
        <v>5922016.7439949214</v>
      </c>
      <c r="N11" s="6">
        <v>6296371.1472803243</v>
      </c>
      <c r="O11" s="6">
        <v>6690409.8036945863</v>
      </c>
      <c r="P11" s="6">
        <v>7104921.1512565659</v>
      </c>
      <c r="Q11" s="6">
        <v>7540712.0552325249</v>
      </c>
      <c r="R11" s="6">
        <v>7998607.6344628586</v>
      </c>
      <c r="S11" s="6">
        <v>8479451.0585986897</v>
      </c>
      <c r="T11" s="6">
        <v>8984103.3160239626</v>
      </c>
      <c r="U11" s="6">
        <v>9513442.9523000661</v>
      </c>
      <c r="V11" s="6">
        <v>10068365.77903235</v>
      </c>
      <c r="W11" s="6">
        <v>10649784.553120989</v>
      </c>
      <c r="X11" s="6">
        <v>11258628.626422141</v>
      </c>
      <c r="Y11" s="6">
        <v>11895843.565909339</v>
      </c>
      <c r="Z11" s="6">
        <v>12562390.7444892</v>
      </c>
      <c r="AA11" s="6">
        <v>13259246.902689179</v>
      </c>
      <c r="AB11" s="6">
        <v>13987403.681499241</v>
      </c>
      <c r="AC11" s="6">
        <v>14747867.126712341</v>
      </c>
      <c r="AD11" s="6">
        <v>15541657.16517124</v>
      </c>
      <c r="AE11" s="6">
        <v>16369807.053391069</v>
      </c>
      <c r="AF11" s="6">
        <v>17233362.799087752</v>
      </c>
      <c r="AG11" s="6">
        <v>18133382.55620195</v>
      </c>
      <c r="AH11" s="6">
        <v>19070935.994066559</v>
      </c>
      <c r="AI11" s="6">
        <v>20047103.64142222</v>
      </c>
      <c r="AJ11" s="6">
        <v>21062976.206040461</v>
      </c>
      <c r="AK11" s="6">
        <v>22119653.870767251</v>
      </c>
      <c r="AL11" s="6">
        <v>23218245.566850729</v>
      </c>
      <c r="AM11" s="6">
        <v>24359868.225466039</v>
      </c>
      <c r="AN11" s="6">
        <v>25545646.00839689</v>
      </c>
      <c r="AO11" s="6">
        <v>26776709.518878002</v>
      </c>
      <c r="AP11" s="6">
        <v>28054194.99364429</v>
      </c>
      <c r="AQ11" s="6">
        <v>29379243.477272239</v>
      </c>
      <c r="AR11" s="6">
        <v>30752999.979935389</v>
      </c>
      <c r="AS11" s="6">
        <v>32176612.619729981</v>
      </c>
      <c r="AT11" s="6">
        <v>33651231.750757761</v>
      </c>
      <c r="AU11" s="6">
        <v>35178009.078181289</v>
      </c>
      <c r="AV11" s="6">
        <v>36758096.761492454</v>
      </c>
      <c r="AW11" s="6">
        <v>38392646.507257037</v>
      </c>
      <c r="AX11" s="6">
        <v>40082808.652618021</v>
      </c>
      <c r="AY11" s="6">
        <v>41829731.240855873</v>
      </c>
      <c r="AZ11" s="6">
        <v>43634559.090318441</v>
      </c>
      <c r="BA11" s="6">
        <v>45498432.858042397</v>
      </c>
      <c r="BB11" s="6">
        <v>47422488.099396169</v>
      </c>
      <c r="BC11" s="6">
        <v>49407854.325078301</v>
      </c>
      <c r="BD11" s="6">
        <v>51455654.056806527</v>
      </c>
      <c r="BE11" s="6">
        <v>53567001.883031517</v>
      </c>
      <c r="BF11" s="6">
        <v>55743003.516004384</v>
      </c>
      <c r="BG11" s="6">
        <v>57984754.851520129</v>
      </c>
      <c r="BH11" s="6">
        <v>60293341.032649063</v>
      </c>
      <c r="BI11" s="6">
        <v>62669835.518755078</v>
      </c>
      <c r="BJ11" s="6">
        <v>65115299.161084928</v>
      </c>
      <c r="BK11" s="6">
        <v>67630779.286194041</v>
      </c>
      <c r="BL11" s="6">
        <v>70217308.788454503</v>
      </c>
      <c r="BM11" s="6">
        <v>72875905.232867613</v>
      </c>
      <c r="BN11" s="6">
        <v>75607569.96937874</v>
      </c>
      <c r="BO11" s="6">
        <v>78413287.259864569</v>
      </c>
      <c r="BP11" s="6">
        <v>81294023.418933794</v>
      </c>
      <c r="BQ11" s="6">
        <v>84250725.969650865</v>
      </c>
      <c r="BR11" s="6">
        <v>87284322.815259218</v>
      </c>
      <c r="BS11" s="6">
        <v>90395721.427945659</v>
      </c>
      <c r="BT11" s="6">
        <v>93585808.05565086</v>
      </c>
    </row>
    <row r="12" spans="1:72" x14ac:dyDescent="0.25">
      <c r="A12" t="s">
        <v>11</v>
      </c>
      <c r="B12" s="6">
        <v>24944049.733333349</v>
      </c>
      <c r="C12" s="6">
        <v>26054304.42498244</v>
      </c>
      <c r="D12" s="6">
        <v>27202379.61302885</v>
      </c>
      <c r="E12" s="6">
        <v>28389057.745529521</v>
      </c>
      <c r="F12" s="6">
        <v>29615119.132918429</v>
      </c>
      <c r="G12" s="6">
        <v>30881341.310261961</v>
      </c>
      <c r="H12" s="6">
        <v>32188498.3967181</v>
      </c>
      <c r="I12" s="6">
        <v>33537360.45310792</v>
      </c>
      <c r="J12" s="6">
        <v>34928692.838509433</v>
      </c>
      <c r="K12" s="6">
        <v>36363255.566782892</v>
      </c>
      <c r="L12" s="6">
        <v>37841802.663933434</v>
      </c>
      <c r="M12" s="6">
        <v>39365081.527212784</v>
      </c>
      <c r="N12" s="6">
        <v>40933832.286854424</v>
      </c>
      <c r="O12" s="6">
        <v>42548787.171328582</v>
      </c>
      <c r="P12" s="6">
        <v>44210669.876992747</v>
      </c>
      <c r="Q12" s="6">
        <v>45920194.943001509</v>
      </c>
      <c r="R12" s="6">
        <v>47678067.132325716</v>
      </c>
      <c r="S12" s="6">
        <v>49484980.819715597</v>
      </c>
      <c r="T12" s="6">
        <v>51341619.387425467</v>
      </c>
      <c r="U12" s="6">
        <v>53248654.629499227</v>
      </c>
      <c r="V12" s="6">
        <v>55206746.16539605</v>
      </c>
      <c r="W12" s="6">
        <v>57216540.863714501</v>
      </c>
      <c r="X12" s="6">
        <v>59278672.276750617</v>
      </c>
      <c r="Y12" s="6">
        <v>61393760.086602077</v>
      </c>
      <c r="Z12" s="6">
        <v>63562409.563505702</v>
      </c>
      <c r="AA12" s="6">
        <v>65785211.037069537</v>
      </c>
      <c r="AB12" s="6">
        <v>68062739.381034404</v>
      </c>
      <c r="AC12" s="6">
        <v>70395553.512171581</v>
      </c>
      <c r="AD12" s="6">
        <v>72784195.903895453</v>
      </c>
      <c r="AE12" s="6">
        <v>75229192.115140319</v>
      </c>
      <c r="AF12" s="6">
        <v>77731050.335020974</v>
      </c>
      <c r="AG12" s="6">
        <v>80290260.94376649</v>
      </c>
      <c r="AH12" s="6">
        <v>82907296.090385631</v>
      </c>
      <c r="AI12" s="6">
        <v>85582609.287491128</v>
      </c>
      <c r="AJ12" s="6">
        <v>88316635.023678884</v>
      </c>
      <c r="AK12" s="6">
        <v>91109788.393826202</v>
      </c>
      <c r="AL12" s="6">
        <v>93962464.747641295</v>
      </c>
      <c r="AM12" s="6">
        <v>96875039.356764689</v>
      </c>
      <c r="AN12" s="6">
        <v>99847867.100690722</v>
      </c>
      <c r="AO12" s="6">
        <v>102881282.171746</v>
      </c>
      <c r="AP12" s="6">
        <v>105975597.7993298</v>
      </c>
      <c r="AQ12" s="6">
        <v>109131105.9935893</v>
      </c>
      <c r="AR12" s="6">
        <v>112348077.3086727</v>
      </c>
      <c r="AS12" s="6">
        <v>115626760.62567049</v>
      </c>
      <c r="AT12" s="6">
        <v>118967382.9553265</v>
      </c>
      <c r="AU12" s="6">
        <v>122370149.2605682</v>
      </c>
      <c r="AV12" s="6">
        <v>125835242.298879</v>
      </c>
      <c r="AW12" s="6">
        <v>129362822.4845024</v>
      </c>
      <c r="AX12" s="6">
        <v>132953027.7704435</v>
      </c>
      <c r="AY12" s="6">
        <v>136605973.55020261</v>
      </c>
      <c r="AZ12" s="6">
        <v>140321752.5791494</v>
      </c>
      <c r="BA12" s="6">
        <v>144100434.91542059</v>
      </c>
      <c r="BB12" s="6">
        <v>147942067.88019699</v>
      </c>
      <c r="BC12" s="6">
        <v>151846676.03719211</v>
      </c>
      <c r="BD12" s="6">
        <v>155814261.1911597</v>
      </c>
      <c r="BE12" s="6">
        <v>159844802.40520501</v>
      </c>
      <c r="BF12" s="6">
        <v>163938256.03666151</v>
      </c>
      <c r="BG12" s="6">
        <v>168094555.79127401</v>
      </c>
      <c r="BH12" s="6">
        <v>172313612.79540861</v>
      </c>
      <c r="BI12" s="6">
        <v>176595315.68599001</v>
      </c>
      <c r="BJ12" s="6">
        <v>180939530.7178475</v>
      </c>
      <c r="BK12" s="6">
        <v>185346101.8881349</v>
      </c>
      <c r="BL12" s="6">
        <v>189814851.07747161</v>
      </c>
      <c r="BM12" s="6">
        <v>194345578.20743629</v>
      </c>
      <c r="BN12" s="6">
        <v>198938061.41402999</v>
      </c>
      <c r="BO12" s="6">
        <v>203592057.23671269</v>
      </c>
      <c r="BP12" s="6">
        <v>208307300.8226029</v>
      </c>
      <c r="BQ12" s="6">
        <v>213083506.1454182</v>
      </c>
      <c r="BR12" s="6">
        <v>217920366.2387251</v>
      </c>
      <c r="BS12" s="6">
        <v>222817553.44305521</v>
      </c>
      <c r="BT12" s="6">
        <v>227774719.66643539</v>
      </c>
    </row>
    <row r="13" spans="1:72" x14ac:dyDescent="0.25">
      <c r="A13" t="s">
        <v>12</v>
      </c>
      <c r="B13" s="6">
        <v>509516.66666666791</v>
      </c>
      <c r="C13" s="6">
        <v>530191.66518260655</v>
      </c>
      <c r="D13" s="6">
        <v>551490.46752189274</v>
      </c>
      <c r="E13" s="6">
        <v>573423.33889426093</v>
      </c>
      <c r="F13" s="6">
        <v>596000.43290368491</v>
      </c>
      <c r="G13" s="6">
        <v>619231.78280126397</v>
      </c>
      <c r="H13" s="6">
        <v>643127.29281361948</v>
      </c>
      <c r="I13" s="6">
        <v>667696.72955857299</v>
      </c>
      <c r="J13" s="6">
        <v>692949.71355966001</v>
      </c>
      <c r="K13" s="6">
        <v>718895.71087079309</v>
      </c>
      <c r="L13" s="6">
        <v>745544.02482212917</v>
      </c>
      <c r="M13" s="6">
        <v>772903.78789791407</v>
      </c>
      <c r="N13" s="6">
        <v>800983.95375677885</v>
      </c>
      <c r="O13" s="6">
        <v>829793.28940464975</v>
      </c>
      <c r="P13" s="6">
        <v>859340.36753009725</v>
      </c>
      <c r="Q13" s="6">
        <v>889633.55901160452</v>
      </c>
      <c r="R13" s="6">
        <v>920681.02560587437</v>
      </c>
      <c r="S13" s="6">
        <v>952490.71282591624</v>
      </c>
      <c r="T13" s="6">
        <v>985070.3430172716</v>
      </c>
      <c r="U13" s="6">
        <v>1018427.4086403369</v>
      </c>
      <c r="V13" s="6">
        <v>1052569.165766337</v>
      </c>
      <c r="W13" s="6">
        <v>1087502.6277940811</v>
      </c>
      <c r="X13" s="6">
        <v>1123234.5593942271</v>
      </c>
      <c r="Y13" s="6">
        <v>1159771.4706873251</v>
      </c>
      <c r="Z13" s="6">
        <v>1197119.6116614989</v>
      </c>
      <c r="AA13" s="6">
        <v>1235284.966835185</v>
      </c>
      <c r="AB13" s="6">
        <v>1274273.2501698809</v>
      </c>
      <c r="AC13" s="6">
        <v>1314089.900237456</v>
      </c>
      <c r="AD13" s="6">
        <v>1354740.0756460931</v>
      </c>
      <c r="AE13" s="6">
        <v>1396228.6507285051</v>
      </c>
      <c r="AF13" s="6">
        <v>1438560.21149564</v>
      </c>
      <c r="AG13" s="6">
        <v>1481739.0518586079</v>
      </c>
      <c r="AH13" s="6">
        <v>1525769.170121179</v>
      </c>
      <c r="AI13" s="6">
        <v>1570654.265744715</v>
      </c>
      <c r="AJ13" s="6">
        <v>1616397.736387019</v>
      </c>
      <c r="AK13" s="6">
        <v>1663002.6752161209</v>
      </c>
      <c r="AL13" s="6">
        <v>1710471.868499622</v>
      </c>
      <c r="AM13" s="6">
        <v>1758807.7934698169</v>
      </c>
      <c r="AN13" s="6">
        <v>1808012.6164643969</v>
      </c>
      <c r="AO13" s="6">
        <v>1858088.191342135</v>
      </c>
      <c r="AP13" s="6">
        <v>1909036.058172608</v>
      </c>
      <c r="AQ13" s="6">
        <v>1960857.4421985911</v>
      </c>
      <c r="AR13" s="6">
        <v>2013553.2530694201</v>
      </c>
      <c r="AS13" s="6">
        <v>2067124.0843432569</v>
      </c>
      <c r="AT13" s="6">
        <v>2121570.213255852</v>
      </c>
      <c r="AU13" s="6">
        <v>2176891.6007530619</v>
      </c>
      <c r="AV13" s="6">
        <v>2233087.8917840659</v>
      </c>
      <c r="AW13" s="6">
        <v>2290158.4158519101</v>
      </c>
      <c r="AX13" s="6">
        <v>2348102.187817717</v>
      </c>
      <c r="AY13" s="6">
        <v>2406917.908954625</v>
      </c>
      <c r="AZ13" s="6">
        <v>2466603.9682472278</v>
      </c>
      <c r="BA13" s="6">
        <v>2527158.4439320569</v>
      </c>
      <c r="BB13" s="6">
        <v>2588579.105274382</v>
      </c>
      <c r="BC13" s="6">
        <v>2650863.4145763898</v>
      </c>
      <c r="BD13" s="6">
        <v>2714008.5294115879</v>
      </c>
      <c r="BE13" s="6">
        <v>2778011.3050800511</v>
      </c>
      <c r="BF13" s="6">
        <v>2842868.2972789742</v>
      </c>
      <c r="BG13" s="6">
        <v>2908575.7649827939</v>
      </c>
      <c r="BH13" s="6">
        <v>2975129.6735269921</v>
      </c>
      <c r="BI13" s="6">
        <v>3042525.6978895259</v>
      </c>
      <c r="BJ13" s="6">
        <v>3110759.226163724</v>
      </c>
      <c r="BK13" s="6">
        <v>3179825.3632163391</v>
      </c>
      <c r="BL13" s="6">
        <v>3249718.9345243359</v>
      </c>
      <c r="BM13" s="6">
        <v>3320434.4901839308</v>
      </c>
      <c r="BN13" s="6">
        <v>3391966.3090852532</v>
      </c>
      <c r="BO13" s="6">
        <v>3464308.4032459948</v>
      </c>
      <c r="BP13" s="6">
        <v>3537454.5222973051</v>
      </c>
      <c r="BQ13" s="6">
        <v>3611398.1581151392</v>
      </c>
      <c r="BR13" s="6">
        <v>3686132.5495902859</v>
      </c>
      <c r="BS13" s="6">
        <v>3761650.6875301921</v>
      </c>
      <c r="BT13" s="6">
        <v>3837945.3196857488</v>
      </c>
    </row>
    <row r="14" spans="1:72" x14ac:dyDescent="0.25">
      <c r="A14" t="s">
        <v>13</v>
      </c>
      <c r="B14" s="6">
        <v>472622.79999999702</v>
      </c>
      <c r="C14" s="6">
        <v>496797.45357983367</v>
      </c>
      <c r="D14" s="6">
        <v>521954.52868548082</v>
      </c>
      <c r="E14" s="6">
        <v>548121.21028459549</v>
      </c>
      <c r="F14" s="6">
        <v>575324.89810607268</v>
      </c>
      <c r="G14" s="6">
        <v>603593.18811936327</v>
      </c>
      <c r="H14" s="6">
        <v>632953.85350077413</v>
      </c>
      <c r="I14" s="6">
        <v>663434.82511161908</v>
      </c>
      <c r="J14" s="6">
        <v>695064.171514121</v>
      </c>
      <c r="K14" s="6">
        <v>727870.07855193515</v>
      </c>
      <c r="L14" s="6">
        <v>761880.82852306229</v>
      </c>
      <c r="M14" s="6">
        <v>797124.77897375496</v>
      </c>
      <c r="N14" s="6">
        <v>833630.34114278224</v>
      </c>
      <c r="O14" s="6">
        <v>871425.95808611333</v>
      </c>
      <c r="P14" s="6">
        <v>910540.08251269802</v>
      </c>
      <c r="Q14" s="6">
        <v>951001.15436257084</v>
      </c>
      <c r="R14" s="6">
        <v>992837.57815897733</v>
      </c>
      <c r="S14" s="6">
        <v>1036077.7001666219</v>
      </c>
      <c r="T14" s="6">
        <v>1080749.7853884569</v>
      </c>
      <c r="U14" s="6">
        <v>1126881.9944336889</v>
      </c>
      <c r="V14" s="6">
        <v>1174502.3602898419</v>
      </c>
      <c r="W14" s="6">
        <v>1223638.765031836</v>
      </c>
      <c r="X14" s="6">
        <v>1274318.9165010441</v>
      </c>
      <c r="Y14" s="6">
        <v>1326570.324987276</v>
      </c>
      <c r="Z14" s="6">
        <v>1380420.2799464909</v>
      </c>
      <c r="AA14" s="6">
        <v>1435895.8267868829</v>
      </c>
      <c r="AB14" s="6">
        <v>1493023.7437557131</v>
      </c>
      <c r="AC14" s="6">
        <v>1551830.5189589411</v>
      </c>
      <c r="AD14" s="6">
        <v>1612342.327545349</v>
      </c>
      <c r="AE14" s="6">
        <v>1674585.0090863621</v>
      </c>
      <c r="AF14" s="6">
        <v>1738584.045182297</v>
      </c>
      <c r="AG14" s="6">
        <v>1804364.5373251841</v>
      </c>
      <c r="AH14" s="6">
        <v>1871951.1850476989</v>
      </c>
      <c r="AI14" s="6">
        <v>1941368.264387035</v>
      </c>
      <c r="AJ14" s="6">
        <v>2012639.6066918641</v>
      </c>
      <c r="AK14" s="6">
        <v>2085788.5777997151</v>
      </c>
      <c r="AL14" s="6">
        <v>2160838.0576112969</v>
      </c>
      <c r="AM14" s="6">
        <v>2237810.4200874348</v>
      </c>
      <c r="AN14" s="6">
        <v>2316727.5136933671</v>
      </c>
      <c r="AO14" s="6">
        <v>2397610.6423142119</v>
      </c>
      <c r="AP14" s="6">
        <v>2480480.546664461</v>
      </c>
      <c r="AQ14" s="6">
        <v>2565357.3862132989</v>
      </c>
      <c r="AR14" s="6">
        <v>2652260.7216465771</v>
      </c>
      <c r="AS14" s="6">
        <v>2741209.4978851522</v>
      </c>
      <c r="AT14" s="6">
        <v>2832222.0276782559</v>
      </c>
      <c r="AU14" s="6">
        <v>2925315.9757894399</v>
      </c>
      <c r="AV14" s="6">
        <v>3020508.3437915281</v>
      </c>
      <c r="AW14" s="6">
        <v>3117815.4554858841</v>
      </c>
      <c r="AX14" s="6">
        <v>3217252.9429601422</v>
      </c>
      <c r="AY14" s="6">
        <v>3318835.7332974188</v>
      </c>
      <c r="AZ14" s="6">
        <v>3422578.0359488628</v>
      </c>
      <c r="BA14" s="6">
        <v>3528493.3307802258</v>
      </c>
      <c r="BB14" s="6">
        <v>3636594.3568020072</v>
      </c>
      <c r="BC14" s="6">
        <v>3746893.1015915582</v>
      </c>
      <c r="BD14" s="6">
        <v>3859400.7914143829</v>
      </c>
      <c r="BE14" s="6">
        <v>3974127.882050728</v>
      </c>
      <c r="BF14" s="6">
        <v>4091084.0503324349</v>
      </c>
      <c r="BG14" s="6">
        <v>4210278.1863939054</v>
      </c>
      <c r="BH14" s="6">
        <v>4331718.3866399126</v>
      </c>
      <c r="BI14" s="6">
        <v>4455411.9474319331</v>
      </c>
      <c r="BJ14" s="6">
        <v>4581365.3594935723</v>
      </c>
      <c r="BK14" s="6">
        <v>4709584.3030346287</v>
      </c>
      <c r="BL14" s="6">
        <v>4840073.6435923092</v>
      </c>
      <c r="BM14" s="6">
        <v>4972837.4285871014</v>
      </c>
      <c r="BN14" s="6">
        <v>5107878.884589836</v>
      </c>
      <c r="BO14" s="6">
        <v>5245200.4152955059</v>
      </c>
      <c r="BP14" s="6">
        <v>5384803.6001985073</v>
      </c>
      <c r="BQ14" s="6">
        <v>5526689.1939630462</v>
      </c>
      <c r="BR14" s="6">
        <v>5670857.1264816076</v>
      </c>
      <c r="BS14" s="6">
        <v>5817306.5036135428</v>
      </c>
      <c r="BT14" s="6">
        <v>5966035.6085950062</v>
      </c>
    </row>
    <row r="15" spans="1:72" x14ac:dyDescent="0.25">
      <c r="A15" t="s">
        <v>14</v>
      </c>
      <c r="B15" s="6">
        <v>378051.13333333278</v>
      </c>
      <c r="C15" s="6">
        <v>391718.46797236882</v>
      </c>
      <c r="D15" s="6">
        <v>405738.29080817261</v>
      </c>
      <c r="E15" s="6">
        <v>420114.67493535997</v>
      </c>
      <c r="F15" s="6">
        <v>434851.59471925767</v>
      </c>
      <c r="G15" s="6">
        <v>449952.92232596659</v>
      </c>
      <c r="H15" s="6">
        <v>465422.42434563162</v>
      </c>
      <c r="I15" s="6">
        <v>481263.75851284078</v>
      </c>
      <c r="J15" s="6">
        <v>497480.47052788618</v>
      </c>
      <c r="K15" s="6">
        <v>514075.99098241521</v>
      </c>
      <c r="L15" s="6">
        <v>531053.6323928074</v>
      </c>
      <c r="M15" s="6">
        <v>548416.58634439961</v>
      </c>
      <c r="N15" s="6">
        <v>566167.9207494799</v>
      </c>
      <c r="O15" s="6">
        <v>584310.57722175913</v>
      </c>
      <c r="P15" s="6">
        <v>602847.36856981728</v>
      </c>
      <c r="Q15" s="6">
        <v>621780.97641181061</v>
      </c>
      <c r="R15" s="6">
        <v>641113.94891351147</v>
      </c>
      <c r="S15" s="6">
        <v>660848.69865153951</v>
      </c>
      <c r="T15" s="6">
        <v>680987.50060343009</v>
      </c>
      <c r="U15" s="6">
        <v>701532.49026597454</v>
      </c>
      <c r="V15" s="6">
        <v>722485.66190305341</v>
      </c>
      <c r="W15" s="6">
        <v>743848.86692397727</v>
      </c>
      <c r="X15" s="6">
        <v>765623.81239314156</v>
      </c>
      <c r="Y15" s="6">
        <v>787812.05967159523</v>
      </c>
      <c r="Z15" s="6">
        <v>810415.02319092443</v>
      </c>
      <c r="AA15" s="6">
        <v>833433.96935965051</v>
      </c>
      <c r="AB15" s="6">
        <v>856870.01560215</v>
      </c>
      <c r="AC15" s="6">
        <v>880724.12952990783</v>
      </c>
      <c r="AD15" s="6">
        <v>904997.12824473437</v>
      </c>
      <c r="AE15" s="6">
        <v>929689.67777338868</v>
      </c>
      <c r="AF15" s="6">
        <v>954802.2926328748</v>
      </c>
      <c r="AG15" s="6">
        <v>980335.33552550711</v>
      </c>
      <c r="AH15" s="6">
        <v>1006289.017162667</v>
      </c>
      <c r="AI15" s="6">
        <v>1032663.396216022</v>
      </c>
      <c r="AJ15" s="6">
        <v>1059458.379394799</v>
      </c>
      <c r="AK15" s="6">
        <v>1086673.7216475951</v>
      </c>
      <c r="AL15" s="6">
        <v>1114309.0264870031</v>
      </c>
      <c r="AM15" s="6">
        <v>1142363.7464352569</v>
      </c>
      <c r="AN15" s="6">
        <v>1170837.1835889099</v>
      </c>
      <c r="AO15" s="6">
        <v>1199728.49030048</v>
      </c>
      <c r="AP15" s="6">
        <v>1229036.6699748361</v>
      </c>
      <c r="AQ15" s="6">
        <v>1258760.577978024</v>
      </c>
      <c r="AR15" s="6">
        <v>1288898.922656086</v>
      </c>
      <c r="AS15" s="6">
        <v>1319450.2664613591</v>
      </c>
      <c r="AT15" s="6">
        <v>1350413.027183614</v>
      </c>
      <c r="AU15" s="6">
        <v>1381785.479283344</v>
      </c>
      <c r="AV15" s="6">
        <v>1413565.7553243821</v>
      </c>
      <c r="AW15" s="6">
        <v>1445751.84750301</v>
      </c>
      <c r="AX15" s="6">
        <v>1478341.609270598</v>
      </c>
      <c r="AY15" s="6">
        <v>1511332.7570467871</v>
      </c>
      <c r="AZ15" s="6">
        <v>1544722.872020154</v>
      </c>
      <c r="BA15" s="6">
        <v>1578509.402033262</v>
      </c>
      <c r="BB15" s="6">
        <v>1612689.6635489359</v>
      </c>
      <c r="BC15" s="6">
        <v>1647260.843694584</v>
      </c>
      <c r="BD15" s="6">
        <v>1682220.002381338</v>
      </c>
      <c r="BE15" s="6">
        <v>1717564.0744947779</v>
      </c>
      <c r="BF15" s="6">
        <v>1753289.8721539651</v>
      </c>
      <c r="BG15" s="6">
        <v>1789394.0870355039</v>
      </c>
      <c r="BH15" s="6">
        <v>1825873.29275934</v>
      </c>
      <c r="BI15" s="6">
        <v>1862723.947333005</v>
      </c>
      <c r="BJ15" s="6">
        <v>1899942.3956510001</v>
      </c>
      <c r="BK15" s="6">
        <v>1937524.8720460341</v>
      </c>
      <c r="BL15" s="6">
        <v>1975467.502888836</v>
      </c>
      <c r="BM15" s="6">
        <v>2013766.309233275</v>
      </c>
      <c r="BN15" s="6">
        <v>2052417.2095035249</v>
      </c>
      <c r="BO15" s="6">
        <v>2091416.0222200779</v>
      </c>
      <c r="BP15" s="6">
        <v>2130758.4687613738</v>
      </c>
      <c r="BQ15" s="6">
        <v>2170440.176157909</v>
      </c>
      <c r="BR15" s="6">
        <v>2210456.6799156652</v>
      </c>
      <c r="BS15" s="6">
        <v>2250803.4268657868</v>
      </c>
      <c r="BT15" s="6">
        <v>2291475.778037433</v>
      </c>
    </row>
    <row r="16" spans="1:72" x14ac:dyDescent="0.25">
      <c r="A16" t="s">
        <v>15</v>
      </c>
      <c r="B16" s="6">
        <v>3845393.1333333249</v>
      </c>
      <c r="C16" s="6">
        <v>3976520.9472278059</v>
      </c>
      <c r="D16" s="6">
        <v>4110764.2237483952</v>
      </c>
      <c r="E16" s="6">
        <v>4248151.663941931</v>
      </c>
      <c r="F16" s="6">
        <v>4388710.9916937407</v>
      </c>
      <c r="G16" s="6">
        <v>4532468.9298121436</v>
      </c>
      <c r="H16" s="6">
        <v>4679451.1770544518</v>
      </c>
      <c r="I16" s="6">
        <v>4829682.3861173028</v>
      </c>
      <c r="J16" s="6">
        <v>4983186.1426124293</v>
      </c>
      <c r="K16" s="6">
        <v>5139984.9450471811</v>
      </c>
      <c r="L16" s="6">
        <v>5300100.1858273698</v>
      </c>
      <c r="M16" s="6">
        <v>5463552.1332982071</v>
      </c>
      <c r="N16" s="6">
        <v>5630359.9148373529</v>
      </c>
      <c r="O16" s="6">
        <v>5800541.5010123253</v>
      </c>
      <c r="P16" s="6">
        <v>5974113.6908127544</v>
      </c>
      <c r="Q16" s="6">
        <v>6151092.0979662286</v>
      </c>
      <c r="R16" s="6">
        <v>6331491.1383447582</v>
      </c>
      <c r="S16" s="6">
        <v>6515324.0184671693</v>
      </c>
      <c r="T16" s="6">
        <v>6702602.7251010509</v>
      </c>
      <c r="U16" s="6">
        <v>6893338.0159662385</v>
      </c>
      <c r="V16" s="6">
        <v>7087539.4115401739</v>
      </c>
      <c r="W16" s="6">
        <v>7285215.1879639011</v>
      </c>
      <c r="X16" s="6">
        <v>7486372.3710458549</v>
      </c>
      <c r="Y16" s="6">
        <v>7691016.7313591428</v>
      </c>
      <c r="Z16" s="6">
        <v>7899152.7804264734</v>
      </c>
      <c r="AA16" s="6">
        <v>8110783.7679854576</v>
      </c>
      <c r="AB16" s="6">
        <v>8325911.6803256273</v>
      </c>
      <c r="AC16" s="6">
        <v>8544537.2396871168</v>
      </c>
      <c r="AD16" s="6">
        <v>8766659.9047096986</v>
      </c>
      <c r="AE16" s="6">
        <v>8992277.8719195295</v>
      </c>
      <c r="AF16" s="6">
        <v>9221388.0782398302</v>
      </c>
      <c r="AG16" s="6">
        <v>9453986.2045104709</v>
      </c>
      <c r="AH16" s="6">
        <v>9690066.6800004039</v>
      </c>
      <c r="AI16" s="6">
        <v>9929622.6878957525</v>
      </c>
      <c r="AJ16" s="6">
        <v>10172646.17174541</v>
      </c>
      <c r="AK16" s="6">
        <v>10419127.842845021</v>
      </c>
      <c r="AL16" s="6">
        <v>10669057.188539321</v>
      </c>
      <c r="AM16" s="6">
        <v>10922422.481421901</v>
      </c>
      <c r="AN16" s="6">
        <v>11179210.78941091</v>
      </c>
      <c r="AO16" s="6">
        <v>11439407.98667795</v>
      </c>
      <c r="AP16" s="6">
        <v>11702998.765407501</v>
      </c>
      <c r="AQ16" s="6">
        <v>11969966.648362709</v>
      </c>
      <c r="AR16" s="6">
        <v>12240294.002233541</v>
      </c>
      <c r="AS16" s="6">
        <v>12513962.051742321</v>
      </c>
      <c r="AT16" s="6">
        <v>12790950.894481329</v>
      </c>
      <c r="AU16" s="6">
        <v>13071239.516456779</v>
      </c>
      <c r="AV16" s="6">
        <v>13354805.80831299</v>
      </c>
      <c r="AW16" s="6">
        <v>13641626.582210351</v>
      </c>
      <c r="AX16" s="6">
        <v>13931677.58933034</v>
      </c>
      <c r="AY16" s="6">
        <v>14224933.537980679</v>
      </c>
      <c r="AZ16" s="6">
        <v>14521368.11227341</v>
      </c>
      <c r="BA16" s="6">
        <v>14820953.99134879</v>
      </c>
      <c r="BB16" s="6">
        <v>15123662.869117429</v>
      </c>
      <c r="BC16" s="6">
        <v>15429465.474493491</v>
      </c>
      <c r="BD16" s="6">
        <v>15738331.59209137</v>
      </c>
      <c r="BE16" s="6">
        <v>16050230.08335858</v>
      </c>
      <c r="BF16" s="6">
        <v>16365128.90811754</v>
      </c>
      <c r="BG16" s="6">
        <v>16682995.146488961</v>
      </c>
      <c r="BH16" s="6">
        <v>17003795.02117002</v>
      </c>
      <c r="BI16" s="6">
        <v>17327493.920040179</v>
      </c>
      <c r="BJ16" s="6">
        <v>17654056.41906831</v>
      </c>
      <c r="BK16" s="6">
        <v>17983446.305494498</v>
      </c>
      <c r="BL16" s="6">
        <v>18315626.601260591</v>
      </c>
      <c r="BM16" s="6">
        <v>18650559.586663511</v>
      </c>
      <c r="BN16" s="6">
        <v>18988206.82420617</v>
      </c>
      <c r="BO16" s="6">
        <v>19328529.182620529</v>
      </c>
      <c r="BP16" s="6">
        <v>19671486.861038461</v>
      </c>
      <c r="BQ16" s="6">
        <v>20017039.413285788</v>
      </c>
      <c r="BR16" s="6">
        <v>20365145.772275969</v>
      </c>
      <c r="BS16" s="6">
        <v>20715764.274479762</v>
      </c>
      <c r="BT16" s="6">
        <v>21068852.68444806</v>
      </c>
    </row>
    <row r="17" spans="1:72" x14ac:dyDescent="0.25">
      <c r="A17" t="s">
        <v>16</v>
      </c>
      <c r="B17" s="6">
        <v>5784681.9333333373</v>
      </c>
      <c r="C17" s="6">
        <v>6010213.5472328039</v>
      </c>
      <c r="D17" s="6">
        <v>6242194.8808724731</v>
      </c>
      <c r="E17" s="6">
        <v>6480720.8425715417</v>
      </c>
      <c r="F17" s="6">
        <v>6725884.9233105415</v>
      </c>
      <c r="G17" s="6">
        <v>6977779.1153443083</v>
      </c>
      <c r="H17" s="6">
        <v>7236493.8319899151</v>
      </c>
      <c r="I17" s="6">
        <v>7502117.8286943426</v>
      </c>
      <c r="J17" s="6">
        <v>7774738.1254836768</v>
      </c>
      <c r="K17" s="6">
        <v>8054439.9308926202</v>
      </c>
      <c r="L17" s="6">
        <v>8341306.5674698493</v>
      </c>
      <c r="M17" s="6">
        <v>8635419.3989514057</v>
      </c>
      <c r="N17" s="6">
        <v>8936857.7591907494</v>
      </c>
      <c r="O17" s="6">
        <v>9245698.8829305358</v>
      </c>
      <c r="P17" s="6">
        <v>9562017.8384973407</v>
      </c>
      <c r="Q17" s="6">
        <v>9885887.4624967854</v>
      </c>
      <c r="R17" s="6">
        <v>10217378.29658249</v>
      </c>
      <c r="S17" s="6">
        <v>10556558.52636829</v>
      </c>
      <c r="T17" s="6">
        <v>10903493.92254906</v>
      </c>
      <c r="U17" s="6">
        <v>11258247.784291239</v>
      </c>
      <c r="V17" s="6">
        <v>11620880.88495004</v>
      </c>
      <c r="W17" s="6">
        <v>11991451.420166031</v>
      </c>
      <c r="X17" s="6">
        <v>12370014.95838945</v>
      </c>
      <c r="Y17" s="6">
        <v>12756624.393876379</v>
      </c>
      <c r="Z17" s="6">
        <v>13151329.90219653</v>
      </c>
      <c r="AA17" s="6">
        <v>13554178.89828817</v>
      </c>
      <c r="AB17" s="6">
        <v>13965215.99709129</v>
      </c>
      <c r="AC17" s="6">
        <v>14384482.97678601</v>
      </c>
      <c r="AD17" s="6">
        <v>14812018.744658809</v>
      </c>
      <c r="AE17" s="6">
        <v>15247859.305614941</v>
      </c>
      <c r="AF17" s="6">
        <v>15692037.733351581</v>
      </c>
      <c r="AG17" s="6">
        <v>16144584.144201471</v>
      </c>
      <c r="AH17" s="6">
        <v>16605525.67365358</v>
      </c>
      <c r="AI17" s="6">
        <v>17074886.455552571</v>
      </c>
      <c r="AJ17" s="6">
        <v>17552687.60397552</v>
      </c>
      <c r="AK17" s="6">
        <v>18038947.197780199</v>
      </c>
      <c r="AL17" s="6">
        <v>18533680.26781553</v>
      </c>
      <c r="AM17" s="6">
        <v>19036898.786781389</v>
      </c>
      <c r="AN17" s="6">
        <v>19548611.66172098</v>
      </c>
      <c r="AO17" s="6">
        <v>20068824.729126081</v>
      </c>
      <c r="AP17" s="6">
        <v>20597540.75263159</v>
      </c>
      <c r="AQ17" s="6">
        <v>21134759.423273001</v>
      </c>
      <c r="AR17" s="6">
        <v>21680477.36227715</v>
      </c>
      <c r="AS17" s="6">
        <v>22234688.126353409</v>
      </c>
      <c r="AT17" s="6">
        <v>22797382.21545013</v>
      </c>
      <c r="AU17" s="6">
        <v>23368547.08293777</v>
      </c>
      <c r="AV17" s="6">
        <v>23948167.148177952</v>
      </c>
      <c r="AW17" s="6">
        <v>24536223.81143517</v>
      </c>
      <c r="AX17" s="6">
        <v>25132695.471085198</v>
      </c>
      <c r="AY17" s="6">
        <v>25737557.54307238</v>
      </c>
      <c r="AZ17" s="6">
        <v>26350782.482565619</v>
      </c>
      <c r="BA17" s="6">
        <v>26972339.807761058</v>
      </c>
      <c r="BB17" s="6">
        <v>27602196.12577758</v>
      </c>
      <c r="BC17" s="6">
        <v>28240315.160589311</v>
      </c>
      <c r="BD17" s="6">
        <v>28886657.782938201</v>
      </c>
      <c r="BE17" s="6">
        <v>29541182.04216785</v>
      </c>
      <c r="BF17" s="6">
        <v>30203843.199918501</v>
      </c>
      <c r="BG17" s="6">
        <v>30874593.76562231</v>
      </c>
      <c r="BH17" s="6">
        <v>31553383.533736341</v>
      </c>
      <c r="BI17" s="6">
        <v>32240159.622650161</v>
      </c>
      <c r="BJ17" s="6">
        <v>32934866.515204102</v>
      </c>
      <c r="BK17" s="6">
        <v>33637446.100753307</v>
      </c>
      <c r="BL17" s="6">
        <v>34347837.718712233</v>
      </c>
      <c r="BM17" s="6">
        <v>35065978.203513831</v>
      </c>
      <c r="BN17" s="6">
        <v>35791801.930917233</v>
      </c>
      <c r="BO17" s="6">
        <v>36525240.865597367</v>
      </c>
      <c r="BP17" s="6">
        <v>37266224.6099502</v>
      </c>
      <c r="BQ17" s="6">
        <v>38014680.454046473</v>
      </c>
      <c r="BR17" s="6">
        <v>38770533.426667951</v>
      </c>
      <c r="BS17" s="6">
        <v>39533706.347359248</v>
      </c>
      <c r="BT17" s="6">
        <v>40304119.879429251</v>
      </c>
    </row>
    <row r="18" spans="1:72" x14ac:dyDescent="0.25">
      <c r="A18" t="s">
        <v>17</v>
      </c>
      <c r="B18" s="6">
        <v>49642.066666666418</v>
      </c>
      <c r="C18" s="6">
        <v>53481.233675091848</v>
      </c>
      <c r="D18" s="6">
        <v>57575.949460823693</v>
      </c>
      <c r="E18" s="6">
        <v>61940.089208652258</v>
      </c>
      <c r="F18" s="6">
        <v>66588.072537674423</v>
      </c>
      <c r="G18" s="6">
        <v>71534.87278402214</v>
      </c>
      <c r="H18" s="6">
        <v>76796.025805821031</v>
      </c>
      <c r="I18" s="6">
        <v>82387.638277206846</v>
      </c>
      <c r="J18" s="6">
        <v>88326.395438615786</v>
      </c>
      <c r="K18" s="6">
        <v>94629.568271058321</v>
      </c>
      <c r="L18" s="6">
        <v>101315.0200626868</v>
      </c>
      <c r="M18" s="6">
        <v>108401.2123366727</v>
      </c>
      <c r="N18" s="6">
        <v>115907.21011021909</v>
      </c>
      <c r="O18" s="6">
        <v>123852.6864554466</v>
      </c>
      <c r="P18" s="6">
        <v>132257.92633390601</v>
      </c>
      <c r="Q18" s="6">
        <v>141143.8296775799</v>
      </c>
      <c r="R18" s="6">
        <v>150531.91369044661</v>
      </c>
      <c r="S18" s="6">
        <v>160444.31434597669</v>
      </c>
      <c r="T18" s="6">
        <v>170903.7870573242</v>
      </c>
      <c r="U18" s="6">
        <v>181933.70649844571</v>
      </c>
      <c r="V18" s="6">
        <v>193558.0655559377</v>
      </c>
      <c r="W18" s="6">
        <v>205801.47339301091</v>
      </c>
      <c r="X18" s="6">
        <v>218689.1526087244</v>
      </c>
      <c r="Y18" s="6">
        <v>232246.93547736961</v>
      </c>
      <c r="Z18" s="6">
        <v>246501.25925472059</v>
      </c>
      <c r="AA18" s="6">
        <v>261479.1605397565</v>
      </c>
      <c r="AB18" s="6">
        <v>277208.26868238638</v>
      </c>
      <c r="AC18" s="6">
        <v>293716.79822969128</v>
      </c>
      <c r="AD18" s="6">
        <v>311033.54040520551</v>
      </c>
      <c r="AE18" s="6">
        <v>329187.85361780238</v>
      </c>
      <c r="AF18" s="6">
        <v>348209.65299882338</v>
      </c>
      <c r="AG18" s="6">
        <v>368129.39896816609</v>
      </c>
      <c r="AH18" s="6">
        <v>388978.08483215119</v>
      </c>
      <c r="AI18" s="6">
        <v>410787.22341808613</v>
      </c>
      <c r="AJ18" s="6">
        <v>433588.8327525428</v>
      </c>
      <c r="AK18" s="6">
        <v>457415.42079246079</v>
      </c>
      <c r="AL18" s="6">
        <v>482299.96922026208</v>
      </c>
      <c r="AM18" s="6">
        <v>508275.91631622112</v>
      </c>
      <c r="AN18" s="6">
        <v>535377.13892336376</v>
      </c>
      <c r="AO18" s="6">
        <v>563637.93352216436</v>
      </c>
      <c r="AP18" s="6">
        <v>593092.9964342661</v>
      </c>
      <c r="AQ18" s="6">
        <v>623777.40317636682</v>
      </c>
      <c r="AR18" s="6">
        <v>655726.58698727225</v>
      </c>
      <c r="AS18" s="6">
        <v>688976.31655292679</v>
      </c>
      <c r="AT18" s="6">
        <v>723562.67295598146</v>
      </c>
      <c r="AU18" s="6">
        <v>759522.02587813837</v>
      </c>
      <c r="AV18" s="6">
        <v>796891.00908512785</v>
      </c>
      <c r="AW18" s="6">
        <v>835706.49522571033</v>
      </c>
      <c r="AX18" s="6">
        <v>876005.5699775595</v>
      </c>
      <c r="AY18" s="6">
        <v>917825.5055742634</v>
      </c>
      <c r="AZ18" s="6">
        <v>961203.73374897696</v>
      </c>
      <c r="BA18" s="6">
        <v>1006177.818131469</v>
      </c>
      <c r="BB18" s="6">
        <v>1052785.426136425</v>
      </c>
      <c r="BC18" s="6">
        <v>1101064.300381894</v>
      </c>
      <c r="BD18" s="6">
        <v>1151052.229677706</v>
      </c>
      <c r="BE18" s="6">
        <v>1202787.019624515</v>
      </c>
      <c r="BF18" s="6">
        <v>1256306.4628648639</v>
      </c>
      <c r="BG18" s="6">
        <v>1311648.30902832</v>
      </c>
      <c r="BH18" s="6">
        <v>1368850.2344132599</v>
      </c>
      <c r="BI18" s="6">
        <v>1427949.811448334</v>
      </c>
      <c r="BJ18" s="6">
        <v>1488984.4779769799</v>
      </c>
      <c r="BK18" s="6">
        <v>1551991.5064086041</v>
      </c>
      <c r="BL18" s="6">
        <v>1617007.972780206</v>
      </c>
      <c r="BM18" s="6">
        <v>1684070.7257722481</v>
      </c>
      <c r="BN18" s="6">
        <v>1753216.3557225559</v>
      </c>
      <c r="BO18" s="6">
        <v>1824481.163681871</v>
      </c>
      <c r="BP18" s="6">
        <v>1897901.1305544551</v>
      </c>
      <c r="BQ18" s="6">
        <v>1973511.8863668269</v>
      </c>
      <c r="BR18" s="6">
        <v>2051348.6797072729</v>
      </c>
      <c r="BS18" s="6">
        <v>2131446.3473783131</v>
      </c>
      <c r="BT18" s="6">
        <v>2213839.2843036759</v>
      </c>
    </row>
    <row r="19" spans="1:72" x14ac:dyDescent="0.25">
      <c r="A19" t="s">
        <v>18</v>
      </c>
      <c r="B19" s="6">
        <v>6405675.6666666269</v>
      </c>
      <c r="C19" s="6">
        <v>6977262.140167064</v>
      </c>
      <c r="D19" s="6">
        <v>7593626.0930468263</v>
      </c>
      <c r="E19" s="6">
        <v>8257730.8562564654</v>
      </c>
      <c r="F19" s="6">
        <v>8972693.4241349343</v>
      </c>
      <c r="G19" s="6">
        <v>9741789.5163357221</v>
      </c>
      <c r="H19" s="6">
        <v>10568458.63060906</v>
      </c>
      <c r="I19" s="6">
        <v>11456309.07508257</v>
      </c>
      <c r="J19" s="6">
        <v>12409122.96831481</v>
      </c>
      <c r="K19" s="6">
        <v>13430861.195055431</v>
      </c>
      <c r="L19" s="6">
        <v>14525668.305333421</v>
      </c>
      <c r="M19" s="6">
        <v>15697877.34421416</v>
      </c>
      <c r="N19" s="6">
        <v>16952014.599317171</v>
      </c>
      <c r="O19" s="6">
        <v>18292804.252972528</v>
      </c>
      <c r="P19" s="6">
        <v>19725172.925715368</v>
      </c>
      <c r="Q19" s="6">
        <v>21254254.097676869</v>
      </c>
      <c r="R19" s="6">
        <v>22885392.394327719</v>
      </c>
      <c r="S19" s="6">
        <v>24624147.722966921</v>
      </c>
      <c r="T19" s="6">
        <v>26476299.246326789</v>
      </c>
      <c r="U19" s="6">
        <v>28447849.179684099</v>
      </c>
      <c r="V19" s="6">
        <v>30545026.397928629</v>
      </c>
      <c r="W19" s="6">
        <v>32774289.839144379</v>
      </c>
      <c r="X19" s="6">
        <v>35142331.691405363</v>
      </c>
      <c r="Y19" s="6">
        <v>37656080.34967754</v>
      </c>
      <c r="Z19" s="6">
        <v>40322703.129951447</v>
      </c>
      <c r="AA19" s="6">
        <v>43149608.728005193</v>
      </c>
      <c r="AB19" s="6">
        <v>46144449.410515293</v>
      </c>
      <c r="AC19" s="6">
        <v>49315122.926592357</v>
      </c>
      <c r="AD19" s="6">
        <v>52669774.128218852</v>
      </c>
      <c r="AE19" s="6">
        <v>56216796.288506627</v>
      </c>
      <c r="AF19" s="6">
        <v>59964832.107171617</v>
      </c>
      <c r="AG19" s="6">
        <v>63922774.393139683</v>
      </c>
      <c r="AH19" s="6">
        <v>68099766.414751261</v>
      </c>
      <c r="AI19" s="6">
        <v>72505201.90862073</v>
      </c>
      <c r="AJ19" s="6">
        <v>77148724.738827214</v>
      </c>
      <c r="AK19" s="6">
        <v>82040228.198766291</v>
      </c>
      <c r="AL19" s="6">
        <v>87189853.948673546</v>
      </c>
      <c r="AM19" s="6">
        <v>92607990.582539946</v>
      </c>
      <c r="AN19" s="6">
        <v>98305271.818872735</v>
      </c>
      <c r="AO19" s="6">
        <v>104292574.3105125</v>
      </c>
      <c r="AP19" s="6">
        <v>110581015.0694942</v>
      </c>
      <c r="AQ19" s="6">
        <v>117181948.50373439</v>
      </c>
      <c r="AR19" s="6">
        <v>124106963.0631395</v>
      </c>
      <c r="AS19" s="6">
        <v>131367877.4935504</v>
      </c>
      <c r="AT19" s="6">
        <v>138976736.69777659</v>
      </c>
      <c r="AU19" s="6">
        <v>146945807.2038112</v>
      </c>
      <c r="AV19" s="6">
        <v>155287572.2411691</v>
      </c>
      <c r="AW19" s="6">
        <v>164014726.42713591</v>
      </c>
      <c r="AX19" s="6">
        <v>173140170.06556821</v>
      </c>
      <c r="AY19" s="6">
        <v>182677003.06173211</v>
      </c>
      <c r="AZ19" s="6">
        <v>192638518.45750609</v>
      </c>
      <c r="BA19" s="6">
        <v>203038195.59211069</v>
      </c>
      <c r="BB19" s="6">
        <v>213889692.8943508</v>
      </c>
      <c r="BC19" s="6">
        <v>225206840.31316429</v>
      </c>
      <c r="BD19" s="6">
        <v>237003631.39407009</v>
      </c>
      <c r="BE19" s="6">
        <v>249294215.00988391</v>
      </c>
      <c r="BF19" s="6">
        <v>262092886.75482801</v>
      </c>
      <c r="BG19" s="6">
        <v>275414080.01190221</v>
      </c>
      <c r="BH19" s="6">
        <v>289272356.70408851</v>
      </c>
      <c r="BI19" s="6">
        <v>303682397.74065608</v>
      </c>
      <c r="BJ19" s="6">
        <v>318658993.17048693</v>
      </c>
      <c r="BK19" s="6">
        <v>334217032.05497491</v>
      </c>
      <c r="BL19" s="6">
        <v>350371492.07364959</v>
      </c>
      <c r="BM19" s="6">
        <v>367137428.87624079</v>
      </c>
      <c r="BN19" s="6">
        <v>384529965.19543391</v>
      </c>
      <c r="BO19" s="6">
        <v>402564279.73506302</v>
      </c>
      <c r="BP19" s="6">
        <v>421255595.84894979</v>
      </c>
      <c r="BQ19" s="6">
        <v>440619170.02602041</v>
      </c>
      <c r="BR19" s="6">
        <v>460670280.19771892</v>
      </c>
      <c r="BS19" s="6">
        <v>481424213.88408327</v>
      </c>
      <c r="BT19" s="6">
        <v>502896256.19515949</v>
      </c>
    </row>
    <row r="20" spans="1:72" x14ac:dyDescent="0.25">
      <c r="A20" t="s">
        <v>19</v>
      </c>
      <c r="B20" s="6">
        <v>2062571.266666681</v>
      </c>
      <c r="C20" s="6">
        <v>2209246.3663080642</v>
      </c>
      <c r="D20" s="6">
        <v>2364780.8788778731</v>
      </c>
      <c r="E20" s="6">
        <v>2529600.4284176859</v>
      </c>
      <c r="F20" s="6">
        <v>2704144.4340729201</v>
      </c>
      <c r="G20" s="6">
        <v>2888866.208361892</v>
      </c>
      <c r="H20" s="6">
        <v>3084233.0386681529</v>
      </c>
      <c r="I20" s="6">
        <v>3290726.2513468391</v>
      </c>
      <c r="J20" s="6">
        <v>3508841.2578640911</v>
      </c>
      <c r="K20" s="6">
        <v>3739087.5824189382</v>
      </c>
      <c r="L20" s="6">
        <v>3981988.8705293718</v>
      </c>
      <c r="M20" s="6">
        <v>4238082.8780986173</v>
      </c>
      <c r="N20" s="6">
        <v>4507921.4405136351</v>
      </c>
      <c r="O20" s="6">
        <v>4792070.4213656634</v>
      </c>
      <c r="P20" s="6">
        <v>5091109.640421927</v>
      </c>
      <c r="Q20" s="6">
        <v>5405632.7805184443</v>
      </c>
      <c r="R20" s="6">
        <v>5736247.2730860133</v>
      </c>
      <c r="S20" s="6">
        <v>6083574.1620647777</v>
      </c>
      <c r="T20" s="6">
        <v>6448247.9460072108</v>
      </c>
      <c r="U20" s="6">
        <v>6830916.398214696</v>
      </c>
      <c r="V20" s="6">
        <v>7232240.364799032</v>
      </c>
      <c r="W20" s="6">
        <v>7652893.5406069756</v>
      </c>
      <c r="X20" s="6">
        <v>8093562.2229932304</v>
      </c>
      <c r="Y20" s="6">
        <v>8554945.0434749257</v>
      </c>
      <c r="Z20" s="6">
        <v>9037752.6773485262</v>
      </c>
      <c r="AA20" s="6">
        <v>9542707.5313979331</v>
      </c>
      <c r="AB20" s="6">
        <v>10070543.409870461</v>
      </c>
      <c r="AC20" s="6">
        <v>10622005.158944869</v>
      </c>
      <c r="AD20" s="6">
        <v>11197848.28996291</v>
      </c>
      <c r="AE20" s="6">
        <v>11798838.58174241</v>
      </c>
      <c r="AF20" s="6">
        <v>12425751.662336109</v>
      </c>
      <c r="AG20" s="6">
        <v>13079372.570645491</v>
      </c>
      <c r="AH20" s="6">
        <v>13760495.298343191</v>
      </c>
      <c r="AI20" s="6">
        <v>14469922.31260097</v>
      </c>
      <c r="AJ20" s="6">
        <v>15208464.060161941</v>
      </c>
      <c r="AK20" s="6">
        <v>15976938.45333677</v>
      </c>
      <c r="AL20" s="6">
        <v>16776170.338542869</v>
      </c>
      <c r="AM20" s="6">
        <v>17606990.948043179</v>
      </c>
      <c r="AN20" s="6">
        <v>18470237.33557767</v>
      </c>
      <c r="AO20" s="6">
        <v>19366751.79661499</v>
      </c>
      <c r="AP20" s="6">
        <v>20297381.273984291</v>
      </c>
      <c r="AQ20" s="6">
        <v>21262976.749678489</v>
      </c>
      <c r="AR20" s="6">
        <v>22264392.623648409</v>
      </c>
      <c r="AS20" s="6">
        <v>23302486.080434881</v>
      </c>
      <c r="AT20" s="6">
        <v>24378116.444510069</v>
      </c>
      <c r="AU20" s="6">
        <v>25492144.52522222</v>
      </c>
      <c r="AV20" s="6">
        <v>26645431.952258661</v>
      </c>
      <c r="AW20" s="6">
        <v>27838840.502559692</v>
      </c>
      <c r="AX20" s="6">
        <v>29073231.41963286</v>
      </c>
      <c r="AY20" s="6">
        <v>30349464.726230189</v>
      </c>
      <c r="AZ20" s="6">
        <v>31668398.531363081</v>
      </c>
      <c r="BA20" s="6">
        <v>33030888.332638651</v>
      </c>
      <c r="BB20" s="6">
        <v>34437786.314908423</v>
      </c>
      <c r="BC20" s="6">
        <v>35889940.646225102</v>
      </c>
      <c r="BD20" s="6">
        <v>37388194.772105917</v>
      </c>
      <c r="BE20" s="6">
        <v>38933386.709100977</v>
      </c>
      <c r="BF20" s="6">
        <v>40526348.338663772</v>
      </c>
      <c r="BG20" s="6">
        <v>42167904.702316813</v>
      </c>
      <c r="BH20" s="6">
        <v>43858873.299099162</v>
      </c>
      <c r="BI20" s="6">
        <v>45600063.38627483</v>
      </c>
      <c r="BJ20" s="6">
        <v>47392275.284270637</v>
      </c>
      <c r="BK20" s="6">
        <v>49236299.686800227</v>
      </c>
      <c r="BL20" s="6">
        <v>51132916.977116853</v>
      </c>
      <c r="BM20" s="6">
        <v>53082896.551321767</v>
      </c>
      <c r="BN20" s="6">
        <v>55086996.149637729</v>
      </c>
      <c r="BO20" s="6">
        <v>57145961.196537413</v>
      </c>
      <c r="BP20" s="6">
        <v>59260524.150596209</v>
      </c>
      <c r="BQ20" s="6">
        <v>61431403.86491634</v>
      </c>
      <c r="BR20" s="6">
        <v>63659304.958945058</v>
      </c>
      <c r="BS20" s="6">
        <v>65944917.202485166</v>
      </c>
      <c r="BT20" s="6">
        <v>68288914.912669078</v>
      </c>
    </row>
    <row r="21" spans="1:72" x14ac:dyDescent="0.25">
      <c r="A21" t="s">
        <v>20</v>
      </c>
      <c r="B21" s="6">
        <v>658182.33333334327</v>
      </c>
      <c r="C21" s="6">
        <v>702711.65784067614</v>
      </c>
      <c r="D21" s="6">
        <v>749778.19415397046</v>
      </c>
      <c r="E21" s="6">
        <v>799494.98422886117</v>
      </c>
      <c r="F21" s="6">
        <v>851978.29377385078</v>
      </c>
      <c r="G21" s="6">
        <v>907347.61438974563</v>
      </c>
      <c r="H21" s="6">
        <v>965725.66125428595</v>
      </c>
      <c r="I21" s="6">
        <v>1027238.366249295</v>
      </c>
      <c r="J21" s="6">
        <v>1092014.866436288</v>
      </c>
      <c r="K21" s="6">
        <v>1160187.487795443</v>
      </c>
      <c r="L21" s="6">
        <v>1231891.7241521601</v>
      </c>
      <c r="M21" s="6">
        <v>1307266.2112250321</v>
      </c>
      <c r="N21" s="6">
        <v>1386452.695738947</v>
      </c>
      <c r="O21" s="6">
        <v>1469595.9995571889</v>
      </c>
      <c r="P21" s="6">
        <v>1556843.9787967349</v>
      </c>
      <c r="Q21" s="6">
        <v>1648347.4779015051</v>
      </c>
      <c r="R21" s="6">
        <v>1744260.278658994</v>
      </c>
      <c r="S21" s="6">
        <v>1844739.044156492</v>
      </c>
      <c r="T21" s="6">
        <v>1949943.2576840401</v>
      </c>
      <c r="U21" s="6">
        <v>2060035.1566021219</v>
      </c>
      <c r="V21" s="6">
        <v>2175179.6612031031</v>
      </c>
      <c r="W21" s="6">
        <v>2295544.2986063161</v>
      </c>
      <c r="X21" s="6">
        <v>2421299.121737578</v>
      </c>
      <c r="Y21" s="6">
        <v>2552616.623454703</v>
      </c>
      <c r="Z21" s="6">
        <v>2689671.645891251</v>
      </c>
      <c r="AA21" s="6">
        <v>2832641.285101274</v>
      </c>
      <c r="AB21" s="6">
        <v>2981704.791098143</v>
      </c>
      <c r="AC21" s="6">
        <v>3137043.4633906828</v>
      </c>
      <c r="AD21" s="6">
        <v>3298840.5421297071</v>
      </c>
      <c r="AE21" s="6">
        <v>3467281.0949876802</v>
      </c>
      <c r="AF21" s="6">
        <v>3642551.8999035521</v>
      </c>
      <c r="AG21" s="6">
        <v>3824841.323833786</v>
      </c>
      <c r="AH21" s="6">
        <v>4014339.1976592862</v>
      </c>
      <c r="AI21" s="6">
        <v>4211236.687406186</v>
      </c>
      <c r="AJ21" s="6">
        <v>4415726.1619463991</v>
      </c>
      <c r="AK21" s="6">
        <v>4628001.0573512437</v>
      </c>
      <c r="AL21" s="6">
        <v>4848255.7380785951</v>
      </c>
      <c r="AM21" s="6">
        <v>5076685.3551805764</v>
      </c>
      <c r="AN21" s="6">
        <v>5313485.7017249595</v>
      </c>
      <c r="AO21" s="6">
        <v>5558853.0656291842</v>
      </c>
      <c r="AP21" s="6">
        <v>5812984.0801109839</v>
      </c>
      <c r="AQ21" s="6">
        <v>6076075.5719644697</v>
      </c>
      <c r="AR21" s="6">
        <v>6348324.4078745814</v>
      </c>
      <c r="AS21" s="6">
        <v>6629927.3389866073</v>
      </c>
      <c r="AT21" s="6">
        <v>6921080.8439506078</v>
      </c>
      <c r="AU21" s="6">
        <v>7221980.9706632774</v>
      </c>
      <c r="AV21" s="6">
        <v>7532823.1769319102</v>
      </c>
      <c r="AW21" s="6">
        <v>7853802.1702867784</v>
      </c>
      <c r="AX21" s="6">
        <v>8185111.747169367</v>
      </c>
      <c r="AY21" s="6">
        <v>8526944.6317244973</v>
      </c>
      <c r="AZ21" s="6">
        <v>8879492.314424511</v>
      </c>
      <c r="BA21" s="6">
        <v>9242944.8907532655</v>
      </c>
      <c r="BB21" s="6">
        <v>9617490.9001768269</v>
      </c>
      <c r="BC21" s="6">
        <v>10003317.165626381</v>
      </c>
      <c r="BD21" s="6">
        <v>10400608.63371704</v>
      </c>
      <c r="BE21" s="6">
        <v>10809548.215923959</v>
      </c>
      <c r="BF21" s="6">
        <v>11230316.630934389</v>
      </c>
      <c r="BG21" s="6">
        <v>11663092.248391129</v>
      </c>
      <c r="BH21" s="6">
        <v>12108050.934239339</v>
      </c>
      <c r="BI21" s="6">
        <v>12565365.89788452</v>
      </c>
      <c r="BJ21" s="6">
        <v>13035207.541365281</v>
      </c>
      <c r="BK21" s="6">
        <v>13517743.31073951</v>
      </c>
      <c r="BL21" s="6">
        <v>14013137.549877809</v>
      </c>
      <c r="BM21" s="6">
        <v>14521551.35685233</v>
      </c>
      <c r="BN21" s="6">
        <v>15043142.44310353</v>
      </c>
      <c r="BO21" s="6">
        <v>15578064.99556133</v>
      </c>
      <c r="BP21" s="6">
        <v>16126469.54189091</v>
      </c>
      <c r="BQ21" s="6">
        <v>16688502.81902661</v>
      </c>
      <c r="BR21" s="6">
        <v>17264307.645150911</v>
      </c>
      <c r="BS21" s="6">
        <v>17854022.795268171</v>
      </c>
      <c r="BT21" s="6">
        <v>18457782.880515922</v>
      </c>
    </row>
    <row r="22" spans="1:72" x14ac:dyDescent="0.25">
      <c r="A22" t="s">
        <v>21</v>
      </c>
      <c r="B22" s="6">
        <v>713611.39999999851</v>
      </c>
      <c r="C22" s="6">
        <v>742669.5834011829</v>
      </c>
      <c r="D22" s="6">
        <v>772608.59876913147</v>
      </c>
      <c r="E22" s="6">
        <v>803443.07727297011</v>
      </c>
      <c r="F22" s="6">
        <v>835187.49592343869</v>
      </c>
      <c r="G22" s="6">
        <v>867856.16511665168</v>
      </c>
      <c r="H22" s="6">
        <v>901463.21627921436</v>
      </c>
      <c r="I22" s="6">
        <v>936022.58963150915</v>
      </c>
      <c r="J22" s="6">
        <v>971548.02208567748</v>
      </c>
      <c r="K22" s="6">
        <v>1008053.035294484</v>
      </c>
      <c r="L22" s="6">
        <v>1045550.923866897</v>
      </c>
      <c r="M22" s="6">
        <v>1084054.7437658231</v>
      </c>
      <c r="N22" s="6">
        <v>1123577.3009030309</v>
      </c>
      <c r="O22" s="6">
        <v>1164131.139945847</v>
      </c>
      <c r="P22" s="6">
        <v>1205728.533349745</v>
      </c>
      <c r="Q22" s="6">
        <v>1248381.4706304739</v>
      </c>
      <c r="R22" s="6">
        <v>1292101.64788885</v>
      </c>
      <c r="S22" s="6">
        <v>1336900.457600822</v>
      </c>
      <c r="T22" s="6">
        <v>1382788.9786848589</v>
      </c>
      <c r="U22" s="6">
        <v>1429777.9668581879</v>
      </c>
      <c r="V22" s="6">
        <v>1477877.8452927801</v>
      </c>
      <c r="W22" s="6">
        <v>1527098.6955814459</v>
      </c>
      <c r="X22" s="6">
        <v>1577450.249023793</v>
      </c>
      <c r="Y22" s="6">
        <v>1628941.8782411581</v>
      </c>
      <c r="Z22" s="6">
        <v>1681582.589129067</v>
      </c>
      <c r="AA22" s="6">
        <v>1735381.0131551111</v>
      </c>
      <c r="AB22" s="6">
        <v>1790345.400009528</v>
      </c>
      <c r="AC22" s="6">
        <v>1846483.6106151249</v>
      </c>
      <c r="AD22" s="6">
        <v>1903803.1105025909</v>
      </c>
      <c r="AE22" s="6">
        <v>1962310.9635565591</v>
      </c>
      <c r="AF22" s="6">
        <v>2022013.8261372009</v>
      </c>
      <c r="AG22" s="6">
        <v>2082917.941581493</v>
      </c>
      <c r="AH22" s="6">
        <v>2145029.1350876419</v>
      </c>
      <c r="AI22" s="6">
        <v>2208352.8089855928</v>
      </c>
      <c r="AJ22" s="6">
        <v>2272893.9383958899</v>
      </c>
      <c r="AK22" s="6">
        <v>2338657.067278571</v>
      </c>
      <c r="AL22" s="6">
        <v>2405646.3048731829</v>
      </c>
      <c r="AM22" s="6">
        <v>2473865.3225304168</v>
      </c>
      <c r="AN22" s="6">
        <v>2543317.3509352892</v>
      </c>
      <c r="AO22" s="6">
        <v>2614005.1777212261</v>
      </c>
      <c r="AP22" s="6">
        <v>2685931.145473863</v>
      </c>
      <c r="AQ22" s="6">
        <v>2759097.1501228432</v>
      </c>
      <c r="AR22" s="6">
        <v>2833504.6397193358</v>
      </c>
      <c r="AS22" s="6">
        <v>2909154.61359656</v>
      </c>
      <c r="AT22" s="6">
        <v>2986047.6219100161</v>
      </c>
      <c r="AU22" s="6">
        <v>3064183.765553725</v>
      </c>
      <c r="AV22" s="6">
        <v>3143562.6964482879</v>
      </c>
      <c r="AW22" s="6">
        <v>3224183.6181961098</v>
      </c>
      <c r="AX22" s="6">
        <v>3306045.2870987579</v>
      </c>
      <c r="AY22" s="6">
        <v>3389146.0135309719</v>
      </c>
      <c r="AZ22" s="6">
        <v>3473483.66366548</v>
      </c>
      <c r="BA22" s="6">
        <v>3559055.66154239</v>
      </c>
      <c r="BB22" s="6">
        <v>3645858.99147658</v>
      </c>
      <c r="BC22" s="6">
        <v>3733890.200796186</v>
      </c>
      <c r="BD22" s="6">
        <v>3823145.4029049482</v>
      </c>
      <c r="BE22" s="6">
        <v>3913620.2806609021</v>
      </c>
      <c r="BF22" s="6">
        <v>4005310.0900636259</v>
      </c>
      <c r="BG22" s="6">
        <v>4098209.6642419822</v>
      </c>
      <c r="BH22" s="6">
        <v>4192313.4177340618</v>
      </c>
      <c r="BI22" s="6">
        <v>4287615.3510508351</v>
      </c>
      <c r="BJ22" s="6">
        <v>4384109.0555147855</v>
      </c>
      <c r="BK22" s="6">
        <v>4481787.7183646411</v>
      </c>
      <c r="BL22" s="6">
        <v>4580644.1281171599</v>
      </c>
      <c r="BM22" s="6">
        <v>4680670.680176748</v>
      </c>
      <c r="BN22" s="6">
        <v>4781859.3826836077</v>
      </c>
      <c r="BO22" s="6">
        <v>4884201.8625909695</v>
      </c>
      <c r="BP22" s="6">
        <v>4987689.3719618842</v>
      </c>
      <c r="BQ22" s="6">
        <v>5092312.7944759652</v>
      </c>
      <c r="BR22" s="6">
        <v>5198062.6521364357</v>
      </c>
      <c r="BS22" s="6">
        <v>5304929.1121677672</v>
      </c>
      <c r="BT22" s="6">
        <v>5412901.9940941706</v>
      </c>
    </row>
    <row r="23" spans="1:72" x14ac:dyDescent="0.25">
      <c r="A23" t="s">
        <v>22</v>
      </c>
      <c r="B23" s="6">
        <v>2855608.400000006</v>
      </c>
      <c r="C23" s="6">
        <v>2941771.763273187</v>
      </c>
      <c r="D23" s="6">
        <v>3029647.3345926409</v>
      </c>
      <c r="E23" s="6">
        <v>3119242.8884728281</v>
      </c>
      <c r="F23" s="6">
        <v>3210565.5939830262</v>
      </c>
      <c r="G23" s="6">
        <v>3303622.0090414868</v>
      </c>
      <c r="H23" s="6">
        <v>3398418.0752646229</v>
      </c>
      <c r="I23" s="6">
        <v>3494959.1133720828</v>
      </c>
      <c r="J23" s="6">
        <v>3593249.8191477638</v>
      </c>
      <c r="K23" s="6">
        <v>3693294.2599559678</v>
      </c>
      <c r="L23" s="6">
        <v>3795095.8718111739</v>
      </c>
      <c r="M23" s="6">
        <v>3898657.4569990882</v>
      </c>
      <c r="N23" s="6">
        <v>4003981.1822459111</v>
      </c>
      <c r="O23" s="6">
        <v>4111068.577432035</v>
      </c>
      <c r="P23" s="6">
        <v>4219920.5348456725</v>
      </c>
      <c r="Q23" s="6">
        <v>4330537.3089712299</v>
      </c>
      <c r="R23" s="6">
        <v>4442918.5168066099</v>
      </c>
      <c r="S23" s="6">
        <v>4557063.1387029625</v>
      </c>
      <c r="T23" s="6">
        <v>4672969.5197198149</v>
      </c>
      <c r="U23" s="6">
        <v>4790635.3714879053</v>
      </c>
      <c r="V23" s="6">
        <v>4910057.7745715361</v>
      </c>
      <c r="W23" s="6">
        <v>5031233.1813216666</v>
      </c>
      <c r="X23" s="6">
        <v>5154157.4192105075</v>
      </c>
      <c r="Y23" s="6">
        <v>5278825.6946378956</v>
      </c>
      <c r="Z23" s="6">
        <v>5405232.5971992379</v>
      </c>
      <c r="AA23" s="6">
        <v>5533372.1044044662</v>
      </c>
      <c r="AB23" s="6">
        <v>5663237.586836962</v>
      </c>
      <c r="AC23" s="6">
        <v>5794821.8137410991</v>
      </c>
      <c r="AD23" s="6">
        <v>5928116.9590266934</v>
      </c>
      <c r="AE23" s="6">
        <v>6063114.6076783231</v>
      </c>
      <c r="AF23" s="6">
        <v>6199805.7625572151</v>
      </c>
      <c r="AG23" s="6">
        <v>6338180.8515831064</v>
      </c>
      <c r="AH23" s="6">
        <v>6478229.7352832742</v>
      </c>
      <c r="AI23" s="6">
        <v>6619941.7146957144</v>
      </c>
      <c r="AJ23" s="6">
        <v>6763305.5396132413</v>
      </c>
      <c r="AK23" s="6">
        <v>6908309.4171551643</v>
      </c>
      <c r="AL23" s="6">
        <v>7054941.0206530178</v>
      </c>
      <c r="AM23" s="6">
        <v>7203187.4988367446</v>
      </c>
      <c r="AN23" s="6">
        <v>7353035.4853076143</v>
      </c>
      <c r="AO23" s="6">
        <v>7504471.1082841279</v>
      </c>
      <c r="AP23" s="6">
        <v>7657480.0006070882</v>
      </c>
      <c r="AQ23" s="6">
        <v>7812047.3099900056</v>
      </c>
      <c r="AR23" s="6">
        <v>7968157.7095010299</v>
      </c>
      <c r="AS23" s="6">
        <v>8125795.4082625676</v>
      </c>
      <c r="AT23" s="6">
        <v>8284944.1623548521</v>
      </c>
      <c r="AU23" s="6">
        <v>8445587.2859097421</v>
      </c>
      <c r="AV23" s="6">
        <v>8607707.6623811275</v>
      </c>
      <c r="AW23" s="6">
        <v>8771287.7559783999</v>
      </c>
      <c r="AX23" s="6">
        <v>8936309.6232495885</v>
      </c>
      <c r="AY23" s="6">
        <v>9102754.9248008486</v>
      </c>
      <c r="AZ23" s="6">
        <v>9270604.9371391851</v>
      </c>
      <c r="BA23" s="6">
        <v>9439840.5646253917</v>
      </c>
      <c r="BB23" s="6">
        <v>9610442.3515244201</v>
      </c>
      <c r="BC23" s="6">
        <v>9782390.4941405319</v>
      </c>
      <c r="BD23" s="6">
        <v>9955664.8530248217</v>
      </c>
      <c r="BE23" s="6">
        <v>10130244.965242891</v>
      </c>
      <c r="BF23" s="6">
        <v>10306110.056690641</v>
      </c>
      <c r="BG23" s="6">
        <v>10483239.054446461</v>
      </c>
      <c r="BH23" s="6">
        <v>10661610.599148329</v>
      </c>
      <c r="BI23" s="6">
        <v>10841203.057384379</v>
      </c>
      <c r="BJ23" s="6">
        <v>11021994.53408609</v>
      </c>
      <c r="BK23" s="6">
        <v>11203962.884913331</v>
      </c>
      <c r="BL23" s="6">
        <v>11387085.728620639</v>
      </c>
      <c r="BM23" s="6">
        <v>11571340.45939471</v>
      </c>
      <c r="BN23" s="6">
        <v>11756704.25915299</v>
      </c>
      <c r="BO23" s="6">
        <v>11943154.10979395</v>
      </c>
      <c r="BP23" s="6">
        <v>12130666.80538951</v>
      </c>
      <c r="BQ23" s="6">
        <v>12319218.964310659</v>
      </c>
      <c r="BR23" s="6">
        <v>12508787.041277541</v>
      </c>
      <c r="BS23" s="6">
        <v>12699347.33932551</v>
      </c>
      <c r="BT23" s="6">
        <v>12890876.02167902</v>
      </c>
    </row>
    <row r="24" spans="1:72" x14ac:dyDescent="0.25">
      <c r="A24" t="s">
        <v>23</v>
      </c>
      <c r="B24" s="6">
        <v>4750463.7333333343</v>
      </c>
      <c r="C24" s="6">
        <v>4816244.5926857879</v>
      </c>
      <c r="D24" s="6">
        <v>4882269.4186151102</v>
      </c>
      <c r="E24" s="6">
        <v>4948530.0647425344</v>
      </c>
      <c r="F24" s="6">
        <v>5015018.3806553008</v>
      </c>
      <c r="G24" s="6">
        <v>5081726.2152685076</v>
      </c>
      <c r="H24" s="6">
        <v>5148645.4201298663</v>
      </c>
      <c r="I24" s="6">
        <v>5215767.8526660837</v>
      </c>
      <c r="J24" s="6">
        <v>5283085.3793696919</v>
      </c>
      <c r="K24" s="6">
        <v>5350589.8789252369</v>
      </c>
      <c r="L24" s="6">
        <v>5418273.2452738294</v>
      </c>
      <c r="M24" s="6">
        <v>5486127.3906151289</v>
      </c>
      <c r="N24" s="6">
        <v>5554144.2483459394</v>
      </c>
      <c r="O24" s="6">
        <v>5622315.7759346664</v>
      </c>
      <c r="P24" s="6">
        <v>5690633.957730962</v>
      </c>
      <c r="Q24" s="6">
        <v>5759090.8077099808</v>
      </c>
      <c r="R24" s="6">
        <v>5827678.3721507257</v>
      </c>
      <c r="S24" s="6">
        <v>5896388.7322480464</v>
      </c>
      <c r="T24" s="6">
        <v>5965214.0066579403</v>
      </c>
      <c r="U24" s="6">
        <v>6034146.3539758539</v>
      </c>
      <c r="V24" s="6">
        <v>6103177.9751477661</v>
      </c>
      <c r="W24" s="6">
        <v>6172301.1158138998</v>
      </c>
      <c r="X24" s="6">
        <v>6241508.0685849739</v>
      </c>
      <c r="Y24" s="6">
        <v>6310791.1752509754</v>
      </c>
      <c r="Z24" s="6">
        <v>6380142.828922472</v>
      </c>
      <c r="AA24" s="6">
        <v>6449555.4761045789</v>
      </c>
      <c r="AB24" s="6">
        <v>6519021.618703722</v>
      </c>
      <c r="AC24" s="6">
        <v>6588533.8159674052</v>
      </c>
      <c r="AD24" s="6">
        <v>6658084.6863572467</v>
      </c>
      <c r="AE24" s="6">
        <v>6727666.9093555892</v>
      </c>
      <c r="AF24" s="6">
        <v>6797273.2272060541</v>
      </c>
      <c r="AG24" s="6">
        <v>6866896.446588438</v>
      </c>
      <c r="AH24" s="6">
        <v>6936529.4402284082</v>
      </c>
      <c r="AI24" s="6">
        <v>7006165.1484424882</v>
      </c>
      <c r="AJ24" s="6">
        <v>7075796.5806188826</v>
      </c>
      <c r="AK24" s="6">
        <v>7145416.8166346997</v>
      </c>
      <c r="AL24" s="6">
        <v>7215019.0082101924</v>
      </c>
      <c r="AM24" s="6">
        <v>7284596.3802006608</v>
      </c>
      <c r="AN24" s="6">
        <v>7354142.2318267217</v>
      </c>
      <c r="AO24" s="6">
        <v>7423649.9378436077</v>
      </c>
      <c r="AP24" s="6">
        <v>7493112.9496502876</v>
      </c>
      <c r="AQ24" s="6">
        <v>7562524.796339158</v>
      </c>
      <c r="AR24" s="6">
        <v>7631879.0856870972</v>
      </c>
      <c r="AS24" s="6">
        <v>7701169.5050887121</v>
      </c>
      <c r="AT24" s="6">
        <v>7770389.8224326242</v>
      </c>
      <c r="AU24" s="6">
        <v>7839533.8869216451</v>
      </c>
      <c r="AV24" s="6">
        <v>7908595.6298377505</v>
      </c>
      <c r="AW24" s="6">
        <v>7977569.0652527306</v>
      </c>
      <c r="AX24" s="6">
        <v>8046448.2906854544</v>
      </c>
      <c r="AY24" s="6">
        <v>8115227.4877066743</v>
      </c>
      <c r="AZ24" s="6">
        <v>8183900.9224923253</v>
      </c>
      <c r="BA24" s="6">
        <v>8252462.9463262772</v>
      </c>
      <c r="BB24" s="6">
        <v>8320907.996053502</v>
      </c>
      <c r="BC24" s="6">
        <v>8389230.5944846626</v>
      </c>
      <c r="BD24" s="6">
        <v>8457425.3507530876</v>
      </c>
      <c r="BE24" s="6">
        <v>8525486.9606251381</v>
      </c>
      <c r="BF24" s="6">
        <v>8593410.2067649737</v>
      </c>
      <c r="BG24" s="6">
        <v>8661189.9589547254</v>
      </c>
      <c r="BH24" s="6">
        <v>8728821.1742710769</v>
      </c>
      <c r="BI24" s="6">
        <v>8796298.8972192779</v>
      </c>
      <c r="BJ24" s="6">
        <v>8863618.2598256078</v>
      </c>
      <c r="BK24" s="6">
        <v>8930774.4816892892</v>
      </c>
      <c r="BL24" s="6">
        <v>8997762.8699948844</v>
      </c>
      <c r="BM24" s="6">
        <v>9064578.8194861822</v>
      </c>
      <c r="BN24" s="6">
        <v>9131217.8124025837</v>
      </c>
      <c r="BO24" s="6">
        <v>9197675.418379005</v>
      </c>
      <c r="BP24" s="6">
        <v>9263947.2943102941</v>
      </c>
      <c r="BQ24" s="6">
        <v>9330029.1841811612</v>
      </c>
      <c r="BR24" s="6">
        <v>9395916.9188626297</v>
      </c>
      <c r="BS24" s="6">
        <v>9461606.4158759806</v>
      </c>
      <c r="BT24" s="6">
        <v>9527093.6791251842</v>
      </c>
    </row>
    <row r="25" spans="1:72" x14ac:dyDescent="0.25">
      <c r="A25" t="s">
        <v>24</v>
      </c>
      <c r="B25" s="6">
        <v>646078.46666666865</v>
      </c>
      <c r="C25" s="6">
        <v>694354.04861799185</v>
      </c>
      <c r="D25" s="6">
        <v>745717.99902285694</v>
      </c>
      <c r="E25" s="6">
        <v>800329.89646929805</v>
      </c>
      <c r="F25" s="6">
        <v>858355.12711105286</v>
      </c>
      <c r="G25" s="6">
        <v>919964.96062901337</v>
      </c>
      <c r="H25" s="6">
        <v>985336.62022974156</v>
      </c>
      <c r="I25" s="6">
        <v>1054653.3463634099</v>
      </c>
      <c r="J25" s="6">
        <v>1128104.4538511201</v>
      </c>
      <c r="K25" s="6">
        <v>1205885.3821201751</v>
      </c>
      <c r="L25" s="6">
        <v>1288197.738255569</v>
      </c>
      <c r="M25" s="6">
        <v>1375249.3325866121</v>
      </c>
      <c r="N25" s="6">
        <v>1467254.2065392861</v>
      </c>
      <c r="O25" s="6">
        <v>1564432.652497536</v>
      </c>
      <c r="P25" s="6">
        <v>1667011.225430229</v>
      </c>
      <c r="Q25" s="6">
        <v>1775222.7460549599</v>
      </c>
      <c r="R25" s="6">
        <v>1889306.2953250939</v>
      </c>
      <c r="S25" s="6">
        <v>2009507.2000425451</v>
      </c>
      <c r="T25" s="6">
        <v>2136077.0094155581</v>
      </c>
      <c r="U25" s="6">
        <v>2269273.4623982888</v>
      </c>
      <c r="V25" s="6">
        <v>2409360.4456671039</v>
      </c>
      <c r="W25" s="6">
        <v>2556607.9421072928</v>
      </c>
      <c r="X25" s="6">
        <v>2711291.9697031179</v>
      </c>
      <c r="Y25" s="6">
        <v>2873694.5107439021</v>
      </c>
      <c r="Z25" s="6">
        <v>3044103.431278992</v>
      </c>
      <c r="AA25" s="6">
        <v>3222812.3907749201</v>
      </c>
      <c r="AB25" s="6">
        <v>3410120.7419488952</v>
      </c>
      <c r="AC25" s="6">
        <v>3606333.4207737348</v>
      </c>
      <c r="AD25" s="6">
        <v>3811760.8266704991</v>
      </c>
      <c r="AE25" s="6">
        <v>4026718.6929263291</v>
      </c>
      <c r="AF25" s="6">
        <v>4251527.9473962551</v>
      </c>
      <c r="AG25" s="6">
        <v>4486514.5635689478</v>
      </c>
      <c r="AH25" s="6">
        <v>4732009.4020974711</v>
      </c>
      <c r="AI25" s="6">
        <v>4988348.042917056</v>
      </c>
      <c r="AJ25" s="6">
        <v>5255870.6080925837</v>
      </c>
      <c r="AK25" s="6">
        <v>5534921.5755588608</v>
      </c>
      <c r="AL25" s="6">
        <v>5825849.5839368086</v>
      </c>
      <c r="AM25" s="6">
        <v>6129007.2286283094</v>
      </c>
      <c r="AN25" s="6">
        <v>6444750.8494115695</v>
      </c>
      <c r="AO25" s="6">
        <v>6773440.3097775141</v>
      </c>
      <c r="AP25" s="6">
        <v>7115438.7682657167</v>
      </c>
      <c r="AQ25" s="6">
        <v>7471112.4420758067</v>
      </c>
      <c r="AR25" s="6">
        <v>7840830.3632470071</v>
      </c>
      <c r="AS25" s="6">
        <v>8224964.1277144542</v>
      </c>
      <c r="AT25" s="6">
        <v>8623887.6375662182</v>
      </c>
      <c r="AU25" s="6">
        <v>9037976.8368393723</v>
      </c>
      <c r="AV25" s="6">
        <v>9467609.4412070699</v>
      </c>
      <c r="AW25" s="6">
        <v>9913164.6619213354</v>
      </c>
      <c r="AX25" s="6">
        <v>10375022.92438812</v>
      </c>
      <c r="AY25" s="6">
        <v>10853565.58176212</v>
      </c>
      <c r="AZ25" s="6">
        <v>11349174.6239588</v>
      </c>
      <c r="BA25" s="6">
        <v>11862232.382490169</v>
      </c>
      <c r="BB25" s="6">
        <v>12393121.23153878</v>
      </c>
      <c r="BC25" s="6">
        <v>12942223.285691669</v>
      </c>
      <c r="BD25" s="6">
        <v>13509920.0947618</v>
      </c>
      <c r="BE25" s="6">
        <v>14096592.33612987</v>
      </c>
      <c r="BF25" s="6">
        <v>14702619.50504324</v>
      </c>
      <c r="BG25" s="6">
        <v>15328379.60331187</v>
      </c>
      <c r="BH25" s="6">
        <v>15974248.826843189</v>
      </c>
      <c r="BI25" s="6">
        <v>16640601.25245896</v>
      </c>
      <c r="BJ25" s="6">
        <v>17327808.524437301</v>
      </c>
      <c r="BK25" s="6">
        <v>18036239.54122195</v>
      </c>
      <c r="BL25" s="6">
        <v>18766260.142739318</v>
      </c>
      <c r="BM25" s="6">
        <v>19518232.7987611</v>
      </c>
      <c r="BN25" s="6">
        <v>20292516.298746161</v>
      </c>
      <c r="BO25" s="6">
        <v>21089465.443591461</v>
      </c>
      <c r="BP25" s="6">
        <v>21909430.739715811</v>
      </c>
      <c r="BQ25" s="6">
        <v>22752758.09589437</v>
      </c>
      <c r="BR25" s="6">
        <v>23619788.523254499</v>
      </c>
      <c r="BS25" s="6">
        <v>24510857.83883594</v>
      </c>
      <c r="BT25" s="6">
        <v>25426296.37310943</v>
      </c>
    </row>
    <row r="26" spans="1:72" x14ac:dyDescent="0.25">
      <c r="A26" t="s">
        <v>25</v>
      </c>
      <c r="B26" s="6">
        <v>2347205.0666666632</v>
      </c>
      <c r="C26" s="6">
        <v>2464650.0566450022</v>
      </c>
      <c r="D26" s="6">
        <v>2586738.3212199071</v>
      </c>
      <c r="E26" s="6">
        <v>2713592.958363513</v>
      </c>
      <c r="F26" s="6">
        <v>2845337.8390853661</v>
      </c>
      <c r="G26" s="6">
        <v>2982097.5200602328</v>
      </c>
      <c r="H26" s="6">
        <v>3123997.1542190961</v>
      </c>
      <c r="I26" s="6">
        <v>3271162.3994238148</v>
      </c>
      <c r="J26" s="6">
        <v>3423719.3253499018</v>
      </c>
      <c r="K26" s="6">
        <v>3581794.3187055071</v>
      </c>
      <c r="L26" s="6">
        <v>3745513.9869180662</v>
      </c>
      <c r="M26" s="6">
        <v>3915005.0604230608</v>
      </c>
      <c r="N26" s="6">
        <v>4090394.2936920691</v>
      </c>
      <c r="O26" s="6">
        <v>4271808.3651396399</v>
      </c>
      <c r="P26" s="6">
        <v>4459373.7760505844</v>
      </c>
      <c r="Q26" s="6">
        <v>4653216.7486709747</v>
      </c>
      <c r="R26" s="6">
        <v>4853463.1236075312</v>
      </c>
      <c r="S26" s="6">
        <v>5060238.2566811349</v>
      </c>
      <c r="T26" s="6">
        <v>5273666.9153808914</v>
      </c>
      <c r="U26" s="6">
        <v>5493873.1750656031</v>
      </c>
      <c r="V26" s="6">
        <v>5720980.3150595259</v>
      </c>
      <c r="W26" s="6">
        <v>5955110.7147890748</v>
      </c>
      <c r="X26" s="6">
        <v>6196385.7501065228</v>
      </c>
      <c r="Y26" s="6">
        <v>6444925.6899458999</v>
      </c>
      <c r="Z26" s="6">
        <v>6700849.5934550809</v>
      </c>
      <c r="AA26" s="6">
        <v>6964275.207746583</v>
      </c>
      <c r="AB26" s="6">
        <v>7235318.8664078265</v>
      </c>
      <c r="AC26" s="6">
        <v>7514095.3889095532</v>
      </c>
      <c r="AD26" s="6">
        <v>7800717.9810487982</v>
      </c>
      <c r="AE26" s="6">
        <v>8095298.1365602249</v>
      </c>
      <c r="AF26" s="6">
        <v>8397945.5400268044</v>
      </c>
      <c r="AG26" s="6">
        <v>8708767.9712177794</v>
      </c>
      <c r="AH26" s="6">
        <v>9027871.2109785546</v>
      </c>
      <c r="AI26" s="6">
        <v>9355358.9487936441</v>
      </c>
      <c r="AJ26" s="6">
        <v>9691332.6921401583</v>
      </c>
      <c r="AK26" s="6">
        <v>10035891.67774535</v>
      </c>
      <c r="AL26" s="6">
        <v>10389132.78485777</v>
      </c>
      <c r="AM26" s="6">
        <v>10751150.45063718</v>
      </c>
      <c r="AN26" s="6">
        <v>11122036.587764351</v>
      </c>
      <c r="AO26" s="6">
        <v>11501880.504366839</v>
      </c>
      <c r="AP26" s="6">
        <v>11890768.826352781</v>
      </c>
      <c r="AQ26" s="6">
        <v>12288785.422239419</v>
      </c>
      <c r="AR26" s="6">
        <v>12696011.330558831</v>
      </c>
      <c r="AS26" s="6">
        <v>13112524.689917861</v>
      </c>
      <c r="AT26" s="6">
        <v>13538400.67178461</v>
      </c>
      <c r="AU26" s="6">
        <v>13973711.416068699</v>
      </c>
      <c r="AV26" s="6">
        <v>14418525.969557369</v>
      </c>
      <c r="AW26" s="6">
        <v>14872910.22726438</v>
      </c>
      <c r="AX26" s="6">
        <v>15336926.87674359</v>
      </c>
      <c r="AY26" s="6">
        <v>15810635.345413851</v>
      </c>
      <c r="AZ26" s="6">
        <v>16294091.75093675</v>
      </c>
      <c r="BA26" s="6">
        <v>16787348.854683612</v>
      </c>
      <c r="BB26" s="6">
        <v>17290456.018322941</v>
      </c>
      <c r="BC26" s="6">
        <v>17803459.16355468</v>
      </c>
      <c r="BD26" s="6">
        <v>18326400.735012218</v>
      </c>
      <c r="BE26" s="6">
        <v>18859319.66634861</v>
      </c>
      <c r="BF26" s="6">
        <v>19402251.34951809</v>
      </c>
      <c r="BG26" s="6">
        <v>19955227.607259501</v>
      </c>
      <c r="BH26" s="6">
        <v>20518276.668783251</v>
      </c>
      <c r="BI26" s="6">
        <v>21091423.14865892</v>
      </c>
      <c r="BJ26" s="6">
        <v>21674688.028896041</v>
      </c>
      <c r="BK26" s="6">
        <v>22268088.644206028</v>
      </c>
      <c r="BL26" s="6">
        <v>22871638.670429081</v>
      </c>
      <c r="BM26" s="6">
        <v>23485348.116105478</v>
      </c>
      <c r="BN26" s="6">
        <v>24109223.31716672</v>
      </c>
      <c r="BO26" s="6">
        <v>24743266.934717849</v>
      </c>
      <c r="BP26" s="6">
        <v>25387477.955878772</v>
      </c>
      <c r="BQ26" s="6">
        <v>26041851.697648179</v>
      </c>
      <c r="BR26" s="6">
        <v>26706379.813750681</v>
      </c>
      <c r="BS26" s="6">
        <v>27381050.30442401</v>
      </c>
      <c r="BT26" s="6">
        <v>28065847.529099889</v>
      </c>
    </row>
    <row r="27" spans="1:72" x14ac:dyDescent="0.25">
      <c r="A27" t="s">
        <v>26</v>
      </c>
      <c r="B27" s="6">
        <v>1547472.8666666751</v>
      </c>
      <c r="C27" s="6">
        <v>1676162.0844569199</v>
      </c>
      <c r="D27" s="6">
        <v>1814159.300603936</v>
      </c>
      <c r="E27" s="6">
        <v>1962024.1438058731</v>
      </c>
      <c r="F27" s="6">
        <v>2120341.6897693588</v>
      </c>
      <c r="G27" s="6">
        <v>2289723.101842314</v>
      </c>
      <c r="H27" s="6">
        <v>2470806.2587581342</v>
      </c>
      <c r="I27" s="6">
        <v>2664256.3676958741</v>
      </c>
      <c r="J27" s="6">
        <v>2870766.5608421401</v>
      </c>
      <c r="K27" s="6">
        <v>3091058.473626554</v>
      </c>
      <c r="L27" s="6">
        <v>3325882.8027942558</v>
      </c>
      <c r="M27" s="6">
        <v>3576019.84247596</v>
      </c>
      <c r="N27" s="6">
        <v>3842279.9964187192</v>
      </c>
      <c r="O27" s="6">
        <v>4125504.2645488982</v>
      </c>
      <c r="P27" s="6">
        <v>4426564.7020529406</v>
      </c>
      <c r="Q27" s="6">
        <v>4746364.8491813485</v>
      </c>
      <c r="R27" s="6">
        <v>5085840.1300070034</v>
      </c>
      <c r="S27" s="6">
        <v>5445958.2184004076</v>
      </c>
      <c r="T27" s="6">
        <v>5827719.3695216142</v>
      </c>
      <c r="U27" s="6">
        <v>6232156.7151716249</v>
      </c>
      <c r="V27" s="6">
        <v>6660336.5213945433</v>
      </c>
      <c r="W27" s="6">
        <v>7113358.4067758843</v>
      </c>
      <c r="X27" s="6">
        <v>7592355.5199419521</v>
      </c>
      <c r="Y27" s="6">
        <v>8098494.6748299282</v>
      </c>
      <c r="Z27" s="6">
        <v>8632976.4423681796</v>
      </c>
      <c r="AA27" s="6">
        <v>9197035.1972810011</v>
      </c>
      <c r="AB27" s="6">
        <v>9791939.118811477</v>
      </c>
      <c r="AC27" s="6">
        <v>10418990.14423996</v>
      </c>
      <c r="AD27" s="6">
        <v>11079523.874163849</v>
      </c>
      <c r="AE27" s="6">
        <v>11774909.428596299</v>
      </c>
      <c r="AF27" s="6">
        <v>12506549.25303722</v>
      </c>
      <c r="AG27" s="6">
        <v>13275878.87376919</v>
      </c>
      <c r="AH27" s="6">
        <v>14084366.601732731</v>
      </c>
      <c r="AI27" s="6">
        <v>14933513.18444054</v>
      </c>
      <c r="AJ27" s="6">
        <v>15824851.405497739</v>
      </c>
      <c r="AK27" s="6">
        <v>16759945.631404189</v>
      </c>
      <c r="AL27" s="6">
        <v>17740391.30542659</v>
      </c>
      <c r="AM27" s="6">
        <v>18767814.38844043</v>
      </c>
      <c r="AN27" s="6">
        <v>19843870.74675535</v>
      </c>
      <c r="AO27" s="6">
        <v>20970245.48705221</v>
      </c>
      <c r="AP27" s="6">
        <v>22148652.238674428</v>
      </c>
      <c r="AQ27" s="6">
        <v>23380832.383631099</v>
      </c>
      <c r="AR27" s="6">
        <v>24668554.234783351</v>
      </c>
      <c r="AS27" s="6">
        <v>26013612.16279953</v>
      </c>
      <c r="AT27" s="6">
        <v>27417825.672576651</v>
      </c>
      <c r="AU27" s="6">
        <v>28883038.42993724</v>
      </c>
      <c r="AV27" s="6">
        <v>30411117.239519749</v>
      </c>
      <c r="AW27" s="6">
        <v>32003950.97488812</v>
      </c>
      <c r="AX27" s="6">
        <v>33663449.461991228</v>
      </c>
      <c r="AY27" s="6">
        <v>35391542.317205057</v>
      </c>
      <c r="AZ27" s="6">
        <v>37190177.741289876</v>
      </c>
      <c r="BA27" s="6">
        <v>39061321.270690881</v>
      </c>
      <c r="BB27" s="6">
        <v>41006954.487703353</v>
      </c>
      <c r="BC27" s="6">
        <v>43029073.691112459</v>
      </c>
      <c r="BD27" s="6">
        <v>45129688.529002398</v>
      </c>
      <c r="BE27" s="6">
        <v>47310820.59551084</v>
      </c>
      <c r="BF27" s="6">
        <v>49574501.993380614</v>
      </c>
      <c r="BG27" s="6">
        <v>51922773.864232592</v>
      </c>
      <c r="BH27" s="6">
        <v>54357684.888550781</v>
      </c>
      <c r="BI27" s="6">
        <v>56881289.757432677</v>
      </c>
      <c r="BJ27" s="6">
        <v>59495647.618215479</v>
      </c>
      <c r="BK27" s="6">
        <v>62202820.496140473</v>
      </c>
      <c r="BL27" s="6">
        <v>65004871.694264963</v>
      </c>
      <c r="BM27" s="6">
        <v>67903864.173872605</v>
      </c>
      <c r="BN27" s="6">
        <v>70901858.917669401</v>
      </c>
      <c r="BO27" s="6">
        <v>74000913.27808325</v>
      </c>
      <c r="BP27" s="6">
        <v>77203079.313010439</v>
      </c>
      <c r="BQ27" s="6">
        <v>80510402.111372679</v>
      </c>
      <c r="BR27" s="6">
        <v>83924918.110862717</v>
      </c>
      <c r="BS27" s="6">
        <v>87448653.410265774</v>
      </c>
      <c r="BT27" s="6">
        <v>91083622.078748286</v>
      </c>
    </row>
    <row r="28" spans="1:72" x14ac:dyDescent="0.25">
      <c r="A28" t="s">
        <v>27</v>
      </c>
      <c r="B28" s="6">
        <v>315392.86666666722</v>
      </c>
      <c r="C28" s="6">
        <v>328327.02912242227</v>
      </c>
      <c r="D28" s="6">
        <v>341656.97163629439</v>
      </c>
      <c r="E28" s="6">
        <v>355389.3930135807</v>
      </c>
      <c r="F28" s="6">
        <v>369530.92598380521</v>
      </c>
      <c r="G28" s="6">
        <v>384088.13150903228</v>
      </c>
      <c r="H28" s="6">
        <v>399067.49313279602</v>
      </c>
      <c r="I28" s="6">
        <v>414475.4113773788</v>
      </c>
      <c r="J28" s="6">
        <v>430318.19819705019</v>
      </c>
      <c r="K28" s="6">
        <v>446602.07149473327</v>
      </c>
      <c r="L28" s="6">
        <v>463333.14970941568</v>
      </c>
      <c r="M28" s="6">
        <v>480517.44648145029</v>
      </c>
      <c r="N28" s="6">
        <v>498160.86540271598</v>
      </c>
      <c r="O28" s="6">
        <v>516269.19485841139</v>
      </c>
      <c r="P28" s="6">
        <v>534848.10296705505</v>
      </c>
      <c r="Q28" s="6">
        <v>553903.13262505014</v>
      </c>
      <c r="R28" s="6">
        <v>573439.69666194648</v>
      </c>
      <c r="S28" s="6">
        <v>593463.07311230304</v>
      </c>
      <c r="T28" s="6">
        <v>613978.40060980862</v>
      </c>
      <c r="U28" s="6">
        <v>634990.6739090709</v>
      </c>
      <c r="V28" s="6">
        <v>656504.73954023013</v>
      </c>
      <c r="W28" s="6">
        <v>678525.29160128534</v>
      </c>
      <c r="X28" s="6">
        <v>701056.86769275973</v>
      </c>
      <c r="Y28" s="6">
        <v>724103.84499905375</v>
      </c>
      <c r="Z28" s="6">
        <v>747670.43652056088</v>
      </c>
      <c r="AA28" s="6">
        <v>771760.6874603387</v>
      </c>
      <c r="AB28" s="6">
        <v>796378.47176884662</v>
      </c>
      <c r="AC28" s="6">
        <v>821527.48884997738</v>
      </c>
      <c r="AD28" s="6">
        <v>847211.26043131959</v>
      </c>
      <c r="AE28" s="6">
        <v>873433.12760130817</v>
      </c>
      <c r="AF28" s="6">
        <v>900196.24801562785</v>
      </c>
      <c r="AG28" s="6">
        <v>927503.59327495098</v>
      </c>
      <c r="AH28" s="6">
        <v>955357.94647580816</v>
      </c>
      <c r="AI28" s="6">
        <v>983761.89993610408</v>
      </c>
      <c r="AJ28" s="6">
        <v>1012717.853096514</v>
      </c>
      <c r="AK28" s="6">
        <v>1042228.010598721</v>
      </c>
      <c r="AL28" s="6">
        <v>1072294.380541167</v>
      </c>
      <c r="AM28" s="6">
        <v>1102918.7729127521</v>
      </c>
      <c r="AN28" s="6">
        <v>1134102.798204608</v>
      </c>
      <c r="AO28" s="6">
        <v>1165847.8661998541</v>
      </c>
      <c r="AP28" s="6">
        <v>1198155.184940964</v>
      </c>
      <c r="AQ28" s="6">
        <v>1231025.7598741259</v>
      </c>
      <c r="AR28" s="6">
        <v>1264460.3931697479</v>
      </c>
      <c r="AS28" s="6">
        <v>1298459.68321801</v>
      </c>
      <c r="AT28" s="6">
        <v>1333024.024298151</v>
      </c>
      <c r="AU28" s="6">
        <v>1368153.6064199279</v>
      </c>
      <c r="AV28" s="6">
        <v>1403848.4153355199</v>
      </c>
      <c r="AW28" s="6">
        <v>1440108.2327198789</v>
      </c>
      <c r="AX28" s="6">
        <v>1476932.6365173911</v>
      </c>
      <c r="AY28" s="6">
        <v>1514321.001452477</v>
      </c>
      <c r="AZ28" s="6">
        <v>1552272.499701598</v>
      </c>
      <c r="BA28" s="6">
        <v>1590786.101723955</v>
      </c>
      <c r="BB28" s="6">
        <v>1629860.5772480059</v>
      </c>
      <c r="BC28" s="6">
        <v>1669494.4964107601</v>
      </c>
      <c r="BD28" s="6">
        <v>1709686.2310466641</v>
      </c>
      <c r="BE28" s="6">
        <v>1750433.9561227569</v>
      </c>
      <c r="BF28" s="6">
        <v>1791735.6513166409</v>
      </c>
      <c r="BG28" s="6">
        <v>1833589.102733674</v>
      </c>
      <c r="BH28" s="6">
        <v>1875991.904759706</v>
      </c>
      <c r="BI28" s="6">
        <v>1918941.4620455541</v>
      </c>
      <c r="BJ28" s="6">
        <v>1962434.991619308</v>
      </c>
      <c r="BK28" s="6">
        <v>2006469.5251225061</v>
      </c>
      <c r="BL28" s="6">
        <v>2051041.9111660831</v>
      </c>
      <c r="BM28" s="6">
        <v>2096148.817801988</v>
      </c>
      <c r="BN28" s="6">
        <v>2141786.7351062451</v>
      </c>
      <c r="BO28" s="6">
        <v>2187951.9778692098</v>
      </c>
      <c r="BP28" s="6">
        <v>2234640.688388729</v>
      </c>
      <c r="BQ28" s="6">
        <v>2281848.8393618409</v>
      </c>
      <c r="BR28" s="6">
        <v>2329572.2368706558</v>
      </c>
      <c r="BS28" s="6">
        <v>2377806.5234580198</v>
      </c>
      <c r="BT28" s="6">
        <v>2426547.1812885259</v>
      </c>
    </row>
    <row r="29" spans="1:72" x14ac:dyDescent="0.25">
      <c r="A29" t="s">
        <v>28</v>
      </c>
      <c r="B29" s="6">
        <v>561054.80000000075</v>
      </c>
      <c r="C29" s="6">
        <v>575518.18171048677</v>
      </c>
      <c r="D29" s="6">
        <v>590206.05133029853</v>
      </c>
      <c r="E29" s="6">
        <v>605118.14465452463</v>
      </c>
      <c r="F29" s="6">
        <v>620254.11698602268</v>
      </c>
      <c r="G29" s="6">
        <v>635613.54347780719</v>
      </c>
      <c r="H29" s="6">
        <v>651195.9195371758</v>
      </c>
      <c r="I29" s="6">
        <v>667000.66129035363</v>
      </c>
      <c r="J29" s="6">
        <v>683027.10610637977</v>
      </c>
      <c r="K29" s="6">
        <v>699274.51317890116</v>
      </c>
      <c r="L29" s="6">
        <v>715742.06416449044</v>
      </c>
      <c r="M29" s="6">
        <v>732428.86387605476</v>
      </c>
      <c r="N29" s="6">
        <v>749333.94102985878</v>
      </c>
      <c r="O29" s="6">
        <v>766456.24904464139</v>
      </c>
      <c r="P29" s="6">
        <v>783794.6668912709</v>
      </c>
      <c r="Q29" s="6">
        <v>801347.99999134697</v>
      </c>
      <c r="R29" s="6">
        <v>819114.98116312677</v>
      </c>
      <c r="S29" s="6">
        <v>837094.27161312476</v>
      </c>
      <c r="T29" s="6">
        <v>855284.46197171253</v>
      </c>
      <c r="U29" s="6">
        <v>873684.0733710198</v>
      </c>
      <c r="V29" s="6">
        <v>892291.55856342486</v>
      </c>
      <c r="W29" s="6">
        <v>911105.30307890242</v>
      </c>
      <c r="X29" s="6">
        <v>930123.62641948892</v>
      </c>
      <c r="Y29" s="6">
        <v>949344.7832891118</v>
      </c>
      <c r="Z29" s="6">
        <v>968766.96485702868</v>
      </c>
      <c r="AA29" s="6">
        <v>988388.30005311186</v>
      </c>
      <c r="AB29" s="6">
        <v>1008206.856893218</v>
      </c>
      <c r="AC29" s="6">
        <v>1028220.6438328871</v>
      </c>
      <c r="AD29" s="6">
        <v>1048427.611147603</v>
      </c>
      <c r="AE29" s="6">
        <v>1068825.6523378859</v>
      </c>
      <c r="AF29" s="6">
        <v>1089412.605557458</v>
      </c>
      <c r="AG29" s="6">
        <v>1110186.255062765</v>
      </c>
      <c r="AH29" s="6">
        <v>1131144.332682142</v>
      </c>
      <c r="AI29" s="6">
        <v>1152284.5193029109</v>
      </c>
      <c r="AJ29" s="6">
        <v>1173604.4463747479</v>
      </c>
      <c r="AK29" s="6">
        <v>1195101.6974276381</v>
      </c>
      <c r="AL29" s="6">
        <v>1216773.809602801</v>
      </c>
      <c r="AM29" s="6">
        <v>1238618.2751949511</v>
      </c>
      <c r="AN29" s="6">
        <v>1260632.5432043059</v>
      </c>
      <c r="AO29" s="6">
        <v>1282814.020896791</v>
      </c>
      <c r="AP29" s="6">
        <v>1305160.0753708759</v>
      </c>
      <c r="AQ29" s="6">
        <v>1327668.0351295611</v>
      </c>
      <c r="AR29" s="6">
        <v>1350335.191656017</v>
      </c>
      <c r="AS29" s="6">
        <v>1373158.800991439</v>
      </c>
      <c r="AT29" s="6">
        <v>1396136.085313698</v>
      </c>
      <c r="AU29" s="6">
        <v>1419264.234515406</v>
      </c>
      <c r="AV29" s="6">
        <v>1442540.4077800601</v>
      </c>
      <c r="AW29" s="6">
        <v>1465961.7351549261</v>
      </c>
      <c r="AX29" s="6">
        <v>1489525.319119426</v>
      </c>
      <c r="AY29" s="6">
        <v>1513228.2361477511</v>
      </c>
      <c r="AZ29" s="6">
        <v>1537067.5382645209</v>
      </c>
      <c r="BA29" s="6">
        <v>1561040.2545923169</v>
      </c>
      <c r="BB29" s="6">
        <v>1585143.3928899651</v>
      </c>
      <c r="BC29" s="6">
        <v>1609373.9410804759</v>
      </c>
      <c r="BD29" s="6">
        <v>1633728.868767591</v>
      </c>
      <c r="BE29" s="6">
        <v>1658205.1287399321</v>
      </c>
      <c r="BF29" s="6">
        <v>1682799.6584617649</v>
      </c>
      <c r="BG29" s="6">
        <v>1707509.3815494659</v>
      </c>
      <c r="BH29" s="6">
        <v>1732331.2092327711</v>
      </c>
      <c r="BI29" s="6">
        <v>1757262.0417999669</v>
      </c>
      <c r="BJ29" s="6">
        <v>1782298.7700262079</v>
      </c>
      <c r="BK29" s="6">
        <v>1807438.2765841649</v>
      </c>
      <c r="BL29" s="6">
        <v>1832677.4374362801</v>
      </c>
      <c r="BM29" s="6">
        <v>1858013.123207913</v>
      </c>
      <c r="BN29" s="6">
        <v>1883442.20054073</v>
      </c>
      <c r="BO29" s="6">
        <v>1908961.533425679</v>
      </c>
      <c r="BP29" s="6">
        <v>1934567.984514992</v>
      </c>
      <c r="BQ29" s="6">
        <v>1960258.416412632</v>
      </c>
      <c r="BR29" s="6">
        <v>1986029.6929426929</v>
      </c>
      <c r="BS29" s="6">
        <v>2011878.6803952409</v>
      </c>
      <c r="BT29" s="6">
        <v>2037802.2487491679</v>
      </c>
    </row>
    <row r="30" spans="1:72" x14ac:dyDescent="0.25">
      <c r="A30" t="s">
        <v>29</v>
      </c>
      <c r="B30" s="6">
        <v>392896.86666666722</v>
      </c>
      <c r="C30" s="6">
        <v>392896.86666666722</v>
      </c>
      <c r="D30" s="6">
        <v>392896.86666666722</v>
      </c>
      <c r="E30" s="6">
        <v>392896.86666666722</v>
      </c>
      <c r="F30" s="6">
        <v>392896.86666666722</v>
      </c>
      <c r="G30" s="6">
        <v>392896.86666666722</v>
      </c>
      <c r="H30" s="6">
        <v>392896.86666666722</v>
      </c>
      <c r="I30" s="6">
        <v>392896.86666666722</v>
      </c>
      <c r="J30" s="6">
        <v>392896.86666666722</v>
      </c>
      <c r="K30" s="6">
        <v>392896.86666666722</v>
      </c>
      <c r="L30" s="6">
        <v>392896.86666666722</v>
      </c>
      <c r="M30" s="6">
        <v>392896.86666666722</v>
      </c>
      <c r="N30" s="6">
        <v>392896.86666666722</v>
      </c>
      <c r="O30" s="6">
        <v>392896.86666666722</v>
      </c>
      <c r="P30" s="6">
        <v>392896.86666666722</v>
      </c>
      <c r="Q30" s="6">
        <v>392896.86666666722</v>
      </c>
      <c r="R30" s="6">
        <v>392896.86666666722</v>
      </c>
      <c r="S30" s="6">
        <v>392896.86666666722</v>
      </c>
      <c r="T30" s="6">
        <v>392896.86666666722</v>
      </c>
      <c r="U30" s="6">
        <v>392896.86666666722</v>
      </c>
      <c r="V30" s="6">
        <v>392896.86666666722</v>
      </c>
      <c r="W30" s="6">
        <v>392896.86666666722</v>
      </c>
      <c r="X30" s="6">
        <v>392896.86666666722</v>
      </c>
      <c r="Y30" s="6">
        <v>392896.86666666722</v>
      </c>
      <c r="Z30" s="6">
        <v>392896.86666666722</v>
      </c>
      <c r="AA30" s="6">
        <v>392896.86666666722</v>
      </c>
      <c r="AB30" s="6">
        <v>392896.86666666722</v>
      </c>
      <c r="AC30" s="6">
        <v>392896.86666666722</v>
      </c>
      <c r="AD30" s="6">
        <v>392896.86666666722</v>
      </c>
      <c r="AE30" s="6">
        <v>392896.86666666722</v>
      </c>
      <c r="AF30" s="6">
        <v>392896.86666666722</v>
      </c>
      <c r="AG30" s="6">
        <v>392896.86666666722</v>
      </c>
      <c r="AH30" s="6">
        <v>392896.86666666722</v>
      </c>
      <c r="AI30" s="6">
        <v>392896.86666666722</v>
      </c>
      <c r="AJ30" s="6">
        <v>392896.86666666722</v>
      </c>
      <c r="AK30" s="6">
        <v>392896.86666666722</v>
      </c>
      <c r="AL30" s="6">
        <v>392896.86666666722</v>
      </c>
      <c r="AM30" s="6">
        <v>392896.86666666722</v>
      </c>
      <c r="AN30" s="6">
        <v>392896.86666666722</v>
      </c>
      <c r="AO30" s="6">
        <v>392896.86666666722</v>
      </c>
      <c r="AP30" s="6">
        <v>392896.86666666722</v>
      </c>
      <c r="AQ30" s="6">
        <v>392896.86666666722</v>
      </c>
      <c r="AR30" s="6">
        <v>392896.86666666722</v>
      </c>
      <c r="AS30" s="6">
        <v>392896.86666666722</v>
      </c>
      <c r="AT30" s="6">
        <v>392896.86666666722</v>
      </c>
      <c r="AU30" s="6">
        <v>392896.86666666722</v>
      </c>
      <c r="AV30" s="6">
        <v>392896.86666666722</v>
      </c>
      <c r="AW30" s="6">
        <v>392896.86666666722</v>
      </c>
      <c r="AX30" s="6">
        <v>392896.86666666722</v>
      </c>
      <c r="AY30" s="6">
        <v>392896.86666666722</v>
      </c>
      <c r="AZ30" s="6">
        <v>392896.86666666722</v>
      </c>
      <c r="BA30" s="6">
        <v>392896.86666666722</v>
      </c>
      <c r="BB30" s="6">
        <v>392896.86666666722</v>
      </c>
      <c r="BC30" s="6">
        <v>392896.86666666722</v>
      </c>
      <c r="BD30" s="6">
        <v>392896.86666666722</v>
      </c>
      <c r="BE30" s="6">
        <v>392896.86666666722</v>
      </c>
      <c r="BF30" s="6">
        <v>392896.86666666722</v>
      </c>
      <c r="BG30" s="6">
        <v>392896.86666666722</v>
      </c>
      <c r="BH30" s="6">
        <v>392896.86666666722</v>
      </c>
      <c r="BI30" s="6">
        <v>392896.86666666722</v>
      </c>
      <c r="BJ30" s="6">
        <v>392896.86666666722</v>
      </c>
      <c r="BK30" s="6">
        <v>392896.86666666722</v>
      </c>
      <c r="BL30" s="6">
        <v>392896.86666666722</v>
      </c>
      <c r="BM30" s="6">
        <v>392896.86666666722</v>
      </c>
      <c r="BN30" s="6">
        <v>392896.86666666722</v>
      </c>
      <c r="BO30" s="6">
        <v>392896.86666666722</v>
      </c>
      <c r="BP30" s="6">
        <v>392896.86666666722</v>
      </c>
      <c r="BQ30" s="6">
        <v>392896.86666666722</v>
      </c>
      <c r="BR30" s="6">
        <v>392896.86666666722</v>
      </c>
      <c r="BS30" s="6">
        <v>392896.86666666722</v>
      </c>
      <c r="BT30" s="6">
        <v>392896.86666666722</v>
      </c>
    </row>
    <row r="31" spans="1:72" x14ac:dyDescent="0.25">
      <c r="A31" t="s">
        <v>30</v>
      </c>
      <c r="B31" s="6">
        <v>1195422.533333346</v>
      </c>
      <c r="C31" s="6">
        <v>1263689.880182666</v>
      </c>
      <c r="D31" s="6">
        <v>1335134.131420471</v>
      </c>
      <c r="E31" s="6">
        <v>1409862.7362934561</v>
      </c>
      <c r="F31" s="6">
        <v>1487984.8531186711</v>
      </c>
      <c r="G31" s="6">
        <v>1569611.2968154131</v>
      </c>
      <c r="H31" s="6">
        <v>1654854.4832618181</v>
      </c>
      <c r="I31" s="6">
        <v>1743828.370522388</v>
      </c>
      <c r="J31" s="6">
        <v>1836648.396999565</v>
      </c>
      <c r="K31" s="6">
        <v>1933431.4165692141</v>
      </c>
      <c r="L31" s="6">
        <v>2034295.6307665331</v>
      </c>
      <c r="M31" s="6">
        <v>2139360.5180953732</v>
      </c>
      <c r="N31" s="6">
        <v>2248746.7605402409</v>
      </c>
      <c r="O31" s="6">
        <v>2362576.167366405</v>
      </c>
      <c r="P31" s="6">
        <v>2480971.596299388</v>
      </c>
      <c r="Q31" s="6">
        <v>2604056.8721808549</v>
      </c>
      <c r="R31" s="6">
        <v>2731956.7032032991</v>
      </c>
      <c r="S31" s="6">
        <v>2864796.5948311752</v>
      </c>
      <c r="T31" s="6">
        <v>3002702.7615210051</v>
      </c>
      <c r="U31" s="6">
        <v>3145802.0363576468</v>
      </c>
      <c r="V31" s="6">
        <v>3294221.778728297</v>
      </c>
      <c r="W31" s="6">
        <v>3448089.7801598092</v>
      </c>
      <c r="X31" s="6">
        <v>3607534.1684487122</v>
      </c>
      <c r="Y31" s="6">
        <v>3772683.3102167179</v>
      </c>
      <c r="Z31" s="6">
        <v>3943665.7120276392</v>
      </c>
      <c r="AA31" s="6">
        <v>4120609.9202044168</v>
      </c>
      <c r="AB31" s="6">
        <v>4303644.4194874354</v>
      </c>
      <c r="AC31" s="6">
        <v>4492897.5306773977</v>
      </c>
      <c r="AD31" s="6">
        <v>4688497.3074078532</v>
      </c>
      <c r="AE31" s="6">
        <v>4890571.4321938967</v>
      </c>
      <c r="AF31" s="6">
        <v>5099247.1119046928</v>
      </c>
      <c r="AG31" s="6">
        <v>5314650.9728082344</v>
      </c>
      <c r="AH31" s="6">
        <v>5536908.9553372161</v>
      </c>
      <c r="AI31" s="6">
        <v>5766146.2087250054</v>
      </c>
      <c r="AJ31" s="6">
        <v>6002486.9856604701</v>
      </c>
      <c r="AK31" s="6">
        <v>6246054.5371099152</v>
      </c>
      <c r="AL31" s="6">
        <v>6496971.0074535161</v>
      </c>
      <c r="AM31" s="6">
        <v>6755357.3300824817</v>
      </c>
      <c r="AN31" s="6">
        <v>7021333.12360173</v>
      </c>
      <c r="AO31" s="6">
        <v>7295016.5887810988</v>
      </c>
      <c r="AP31" s="6">
        <v>7576524.4063960928</v>
      </c>
      <c r="AQ31" s="6">
        <v>7865971.6360968547</v>
      </c>
      <c r="AR31" s="6">
        <v>8163471.6164414631</v>
      </c>
      <c r="AS31" s="6">
        <v>8469135.8662268594</v>
      </c>
      <c r="AT31" s="6">
        <v>8783073.9872476291</v>
      </c>
      <c r="AU31" s="6">
        <v>9105393.5686095506</v>
      </c>
      <c r="AV31" s="6">
        <v>9436200.092721343</v>
      </c>
      <c r="AW31" s="6">
        <v>9775596.8430842645</v>
      </c>
      <c r="AX31" s="6">
        <v>10123684.8139954</v>
      </c>
      <c r="AY31" s="6">
        <v>10480562.622276239</v>
      </c>
      <c r="AZ31" s="6">
        <v>10846326.42113407</v>
      </c>
      <c r="BA31" s="6">
        <v>11221069.816259019</v>
      </c>
      <c r="BB31" s="6">
        <v>11604883.78425548</v>
      </c>
      <c r="BC31" s="6">
        <v>11997856.593501329</v>
      </c>
      <c r="BD31" s="6">
        <v>12400073.727524251</v>
      </c>
      <c r="BE31" s="6">
        <v>12811617.810978999</v>
      </c>
      <c r="BF31" s="6">
        <v>13232568.538304901</v>
      </c>
      <c r="BG31" s="6">
        <v>13663002.6051374</v>
      </c>
      <c r="BH31" s="6">
        <v>14102993.64254285</v>
      </c>
      <c r="BI31" s="6">
        <v>14552612.15414015</v>
      </c>
      <c r="BJ31" s="6">
        <v>15011925.4561678</v>
      </c>
      <c r="BK31" s="6">
        <v>15480997.62054983</v>
      </c>
      <c r="BL31" s="6">
        <v>15959889.421008641</v>
      </c>
      <c r="BM31" s="6">
        <v>16448658.282267731</v>
      </c>
      <c r="BN31" s="6">
        <v>16947358.23238194</v>
      </c>
      <c r="BO31" s="6">
        <v>17456039.858227741</v>
      </c>
      <c r="BP31" s="6">
        <v>17974750.264180951</v>
      </c>
      <c r="BQ31" s="6">
        <v>18503533.03400407</v>
      </c>
      <c r="BR31" s="6">
        <v>19042428.195960481</v>
      </c>
      <c r="BS31" s="6">
        <v>19591472.191167701</v>
      </c>
      <c r="BT31" s="6">
        <v>20150697.845196981</v>
      </c>
    </row>
    <row r="32" spans="1:72" x14ac:dyDescent="0.25">
      <c r="A32" t="s">
        <v>31</v>
      </c>
      <c r="B32" s="6">
        <v>394084.66666666418</v>
      </c>
      <c r="C32" s="6">
        <v>410793.58357340109</v>
      </c>
      <c r="D32" s="6">
        <v>428036.773349569</v>
      </c>
      <c r="E32" s="6">
        <v>445824.08165498002</v>
      </c>
      <c r="F32" s="6">
        <v>464165.28683937341</v>
      </c>
      <c r="G32" s="6">
        <v>483070.09168179642</v>
      </c>
      <c r="H32" s="6">
        <v>502548.11515040591</v>
      </c>
      <c r="I32" s="6">
        <v>522608.88419420418</v>
      </c>
      <c r="J32" s="6">
        <v>543261.82557811565</v>
      </c>
      <c r="K32" s="6">
        <v>564516.25777268212</v>
      </c>
      <c r="L32" s="6">
        <v>586381.38290950481</v>
      </c>
      <c r="M32" s="6">
        <v>608866.27881338599</v>
      </c>
      <c r="N32" s="6">
        <v>631979.89112192881</v>
      </c>
      <c r="O32" s="6">
        <v>655731.02550314122</v>
      </c>
      <c r="P32" s="6">
        <v>680128.33998135454</v>
      </c>
      <c r="Q32" s="6">
        <v>705180.33738151554</v>
      </c>
      <c r="R32" s="6">
        <v>730895.35790164059</v>
      </c>
      <c r="S32" s="6">
        <v>757281.57182293583</v>
      </c>
      <c r="T32" s="6">
        <v>784346.97236678365</v>
      </c>
      <c r="U32" s="6">
        <v>812099.36870748142</v>
      </c>
      <c r="V32" s="6">
        <v>840546.37914928701</v>
      </c>
      <c r="W32" s="6">
        <v>869695.42447598453</v>
      </c>
      <c r="X32" s="6">
        <v>899553.72148083046</v>
      </c>
      <c r="Y32" s="6">
        <v>930128.27668437501</v>
      </c>
      <c r="Z32" s="6">
        <v>961425.88024728314</v>
      </c>
      <c r="AA32" s="6">
        <v>993453.10008489375</v>
      </c>
      <c r="AB32" s="6">
        <v>1026216.276189874</v>
      </c>
      <c r="AC32" s="6">
        <v>1059721.5151689199</v>
      </c>
      <c r="AD32" s="6">
        <v>1093974.6849990771</v>
      </c>
      <c r="AE32" s="6">
        <v>1128981.4100088079</v>
      </c>
      <c r="AF32" s="6">
        <v>1164747.0660885889</v>
      </c>
      <c r="AG32" s="6">
        <v>1201276.7761353471</v>
      </c>
      <c r="AH32" s="6">
        <v>1238575.405734679</v>
      </c>
      <c r="AI32" s="6">
        <v>1276647.55908437</v>
      </c>
      <c r="AJ32" s="6">
        <v>1315497.575162315</v>
      </c>
      <c r="AK32" s="6">
        <v>1355129.5241415501</v>
      </c>
      <c r="AL32" s="6">
        <v>1395547.2040546909</v>
      </c>
      <c r="AM32" s="6">
        <v>1436754.1377096591</v>
      </c>
      <c r="AN32" s="6">
        <v>1478753.5698582081</v>
      </c>
      <c r="AO32" s="6">
        <v>1521548.464618339</v>
      </c>
      <c r="AP32" s="6">
        <v>1565141.5031513269</v>
      </c>
      <c r="AQ32" s="6">
        <v>1609535.081593689</v>
      </c>
      <c r="AR32" s="6">
        <v>1654731.309244052</v>
      </c>
      <c r="AS32" s="6">
        <v>1700732.0070045129</v>
      </c>
      <c r="AT32" s="6">
        <v>1747538.7060757249</v>
      </c>
      <c r="AU32" s="6">
        <v>1795152.6469045931</v>
      </c>
      <c r="AV32" s="6">
        <v>1843574.7783831221</v>
      </c>
      <c r="AW32" s="6">
        <v>1892805.757296622</v>
      </c>
      <c r="AX32" s="6">
        <v>1942845.9480191709</v>
      </c>
      <c r="AY32" s="6">
        <v>1993695.422453908</v>
      </c>
      <c r="AZ32" s="6">
        <v>2045353.960215433</v>
      </c>
      <c r="BA32" s="6">
        <v>2097821.0490513141</v>
      </c>
      <c r="BB32" s="6">
        <v>2151095.8854994061</v>
      </c>
      <c r="BC32" s="6">
        <v>2205177.375777429</v>
      </c>
      <c r="BD32" s="6">
        <v>2260064.136901014</v>
      </c>
      <c r="BE32" s="6">
        <v>2315754.49802614</v>
      </c>
      <c r="BF32" s="6">
        <v>2372246.5020117261</v>
      </c>
      <c r="BG32" s="6">
        <v>2429537.9071978368</v>
      </c>
      <c r="BH32" s="6">
        <v>2487626.1893948452</v>
      </c>
      <c r="BI32" s="6">
        <v>2546508.5440786341</v>
      </c>
      <c r="BJ32" s="6">
        <v>2606181.888786776</v>
      </c>
      <c r="BK32" s="6">
        <v>2666642.865710448</v>
      </c>
      <c r="BL32" s="6">
        <v>2727887.8444766952</v>
      </c>
      <c r="BM32" s="6">
        <v>2789912.9251154899</v>
      </c>
      <c r="BN32" s="6">
        <v>2852713.94120595</v>
      </c>
      <c r="BO32" s="6">
        <v>2916286.4631958911</v>
      </c>
      <c r="BP32" s="6">
        <v>2980625.801888851</v>
      </c>
      <c r="BQ32" s="6">
        <v>3045727.0120925978</v>
      </c>
      <c r="BR32" s="6">
        <v>3111584.8964230288</v>
      </c>
      <c r="BS32" s="6">
        <v>3178194.009257351</v>
      </c>
      <c r="BT32" s="6">
        <v>3245548.6608303129</v>
      </c>
    </row>
    <row r="33" spans="1:72" x14ac:dyDescent="0.25">
      <c r="A33" t="s">
        <v>32</v>
      </c>
      <c r="B33" s="6">
        <v>2562274.066666692</v>
      </c>
      <c r="C33" s="6">
        <v>2721360.414173231</v>
      </c>
      <c r="D33" s="6">
        <v>2888634.4701495599</v>
      </c>
      <c r="E33" s="6">
        <v>3064414.8135112938</v>
      </c>
      <c r="F33" s="6">
        <v>3249027.0428367211</v>
      </c>
      <c r="G33" s="6">
        <v>3442803.6887540249</v>
      </c>
      <c r="H33" s="6">
        <v>3646084.114905308</v>
      </c>
      <c r="I33" s="6">
        <v>3859214.407443224</v>
      </c>
      <c r="J33" s="6">
        <v>4082547.2530404548</v>
      </c>
      <c r="K33" s="6">
        <v>4316441.8054168886</v>
      </c>
      <c r="L33" s="6">
        <v>4561263.5404141191</v>
      </c>
      <c r="M33" s="6">
        <v>4817384.099671741</v>
      </c>
      <c r="N33" s="6">
        <v>5085181.1229847455</v>
      </c>
      <c r="O33" s="6">
        <v>5365038.0694460487</v>
      </c>
      <c r="P33" s="6">
        <v>5657344.0275028031</v>
      </c>
      <c r="Q33" s="6">
        <v>5962493.5140794637</v>
      </c>
      <c r="R33" s="6">
        <v>6280886.2629446471</v>
      </c>
      <c r="S33" s="6">
        <v>6612927.0025224546</v>
      </c>
      <c r="T33" s="6">
        <v>6959025.2233721912</v>
      </c>
      <c r="U33" s="6">
        <v>7319594.9355830569</v>
      </c>
      <c r="V33" s="6">
        <v>7695054.4163525393</v>
      </c>
      <c r="W33" s="6">
        <v>8085825.9480387028</v>
      </c>
      <c r="X33" s="6">
        <v>8492335.5469973162</v>
      </c>
      <c r="Y33" s="6">
        <v>8915012.6835348066</v>
      </c>
      <c r="Z33" s="6">
        <v>9354289.9933271855</v>
      </c>
      <c r="AA33" s="6">
        <v>9810602.9806734584</v>
      </c>
      <c r="AB33" s="6">
        <v>10284389.713969421</v>
      </c>
      <c r="AC33" s="6">
        <v>10776090.51380422</v>
      </c>
      <c r="AD33" s="6">
        <v>11286147.634097639</v>
      </c>
      <c r="AE33" s="6">
        <v>11815004.93671024</v>
      </c>
      <c r="AF33" s="6">
        <v>12363107.559972251</v>
      </c>
      <c r="AG33" s="6">
        <v>12930901.58158916</v>
      </c>
      <c r="AH33" s="6">
        <v>13518833.676393149</v>
      </c>
      <c r="AI33" s="6">
        <v>14127350.76941976</v>
      </c>
      <c r="AJ33" s="6">
        <v>14756899.6847979</v>
      </c>
      <c r="AK33" s="6">
        <v>15407926.790949181</v>
      </c>
      <c r="AL33" s="6">
        <v>16080877.642599121</v>
      </c>
      <c r="AM33" s="6">
        <v>16776196.620108159</v>
      </c>
      <c r="AN33" s="6">
        <v>17494326.566634752</v>
      </c>
      <c r="AO33" s="6">
        <v>18235708.423645779</v>
      </c>
      <c r="AP33" s="6">
        <v>19000780.865291551</v>
      </c>
      <c r="AQ33" s="6">
        <v>19789979.932163339</v>
      </c>
      <c r="AR33" s="6">
        <v>20603738.664951</v>
      </c>
      <c r="AS33" s="6">
        <v>21442486.738517009</v>
      </c>
      <c r="AT33" s="6">
        <v>22306650.09690012</v>
      </c>
      <c r="AU33" s="6">
        <v>23196650.589758709</v>
      </c>
      <c r="AV33" s="6">
        <v>24112905.61075886</v>
      </c>
      <c r="AW33" s="6">
        <v>25055827.738406438</v>
      </c>
      <c r="AX33" s="6">
        <v>26025824.37981588</v>
      </c>
      <c r="AY33" s="6">
        <v>27023297.417900369</v>
      </c>
      <c r="AZ33" s="6">
        <v>28048642.862459831</v>
      </c>
      <c r="BA33" s="6">
        <v>29102250.505633231</v>
      </c>
      <c r="BB33" s="6">
        <v>30184503.582171459</v>
      </c>
      <c r="BC33" s="6">
        <v>31295778.434975989</v>
      </c>
      <c r="BD33" s="6">
        <v>32436444.186336249</v>
      </c>
      <c r="BE33" s="6">
        <v>33606862.415286042</v>
      </c>
      <c r="BF33" s="6">
        <v>34807386.841486111</v>
      </c>
      <c r="BG33" s="6">
        <v>36038363.016025633</v>
      </c>
      <c r="BH33" s="6">
        <v>37300128.019521013</v>
      </c>
      <c r="BI33" s="6">
        <v>38593010.167874977</v>
      </c>
      <c r="BJ33" s="6">
        <v>39917328.726043567</v>
      </c>
      <c r="BK33" s="6">
        <v>41273393.630142063</v>
      </c>
      <c r="BL33" s="6">
        <v>42661505.218204752</v>
      </c>
      <c r="BM33" s="6">
        <v>44081953.969896346</v>
      </c>
      <c r="BN33" s="6">
        <v>45535020.255455509</v>
      </c>
      <c r="BO33" s="6">
        <v>47020974.094133653</v>
      </c>
      <c r="BP33" s="6">
        <v>48540074.922374547</v>
      </c>
      <c r="BQ33" s="6">
        <v>50092571.371961862</v>
      </c>
      <c r="BR33" s="6">
        <v>51678701.058344454</v>
      </c>
      <c r="BS33" s="6">
        <v>53298690.379330464</v>
      </c>
      <c r="BT33" s="6">
        <v>54952754.324323557</v>
      </c>
    </row>
    <row r="34" spans="1:72" x14ac:dyDescent="0.25">
      <c r="A34" t="s">
        <v>33</v>
      </c>
      <c r="B34" s="6">
        <v>1471716.8666666599</v>
      </c>
      <c r="C34" s="6">
        <v>1589227.0193569621</v>
      </c>
      <c r="D34" s="6">
        <v>1714850.915362105</v>
      </c>
      <c r="E34" s="6">
        <v>1849049.4835512571</v>
      </c>
      <c r="F34" s="6">
        <v>1992302.983357426</v>
      </c>
      <c r="G34" s="6">
        <v>2145111.404009942</v>
      </c>
      <c r="H34" s="6">
        <v>2307994.849762701</v>
      </c>
      <c r="I34" s="6">
        <v>2481493.9098460879</v>
      </c>
      <c r="J34" s="6">
        <v>2666170.0118725542</v>
      </c>
      <c r="K34" s="6">
        <v>2862605.7574317232</v>
      </c>
      <c r="L34" s="6">
        <v>3071405.238620867</v>
      </c>
      <c r="M34" s="6">
        <v>3293194.3342704941</v>
      </c>
      <c r="N34" s="6">
        <v>3528620.9846427669</v>
      </c>
      <c r="O34" s="6">
        <v>3778355.4434023858</v>
      </c>
      <c r="P34" s="6">
        <v>4043090.5056855138</v>
      </c>
      <c r="Q34" s="6">
        <v>4323541.7111222334</v>
      </c>
      <c r="R34" s="6">
        <v>4620447.520701739</v>
      </c>
      <c r="S34" s="6">
        <v>4934569.4664071063</v>
      </c>
      <c r="T34" s="6">
        <v>5266692.2725877883</v>
      </c>
      <c r="U34" s="6">
        <v>5617623.9480829164</v>
      </c>
      <c r="V34" s="6">
        <v>5988195.8481569858</v>
      </c>
      <c r="W34" s="6">
        <v>6379262.7053613067</v>
      </c>
      <c r="X34" s="6">
        <v>6791702.6284897141</v>
      </c>
      <c r="Y34" s="6">
        <v>7226417.0688551525</v>
      </c>
      <c r="Z34" s="6">
        <v>7684330.7531748163</v>
      </c>
      <c r="AA34" s="6">
        <v>8166391.5824153144</v>
      </c>
      <c r="AB34" s="6">
        <v>8673570.4960156083</v>
      </c>
      <c r="AC34" s="6">
        <v>9206861.300974125</v>
      </c>
      <c r="AD34" s="6">
        <v>9767280.4653571714</v>
      </c>
      <c r="AE34" s="6">
        <v>10355866.875858439</v>
      </c>
      <c r="AF34" s="6">
        <v>10973681.55911367</v>
      </c>
      <c r="AG34" s="6">
        <v>11621807.36655027</v>
      </c>
      <c r="AH34" s="6">
        <v>12301348.6226287</v>
      </c>
      <c r="AI34" s="6">
        <v>13013430.73641024</v>
      </c>
      <c r="AJ34" s="6">
        <v>13759199.776464401</v>
      </c>
      <c r="AK34" s="6">
        <v>14539822.00920834</v>
      </c>
      <c r="AL34" s="6">
        <v>15356483.400849961</v>
      </c>
      <c r="AM34" s="6">
        <v>16210389.083185541</v>
      </c>
      <c r="AN34" s="6">
        <v>17102762.783581961</v>
      </c>
      <c r="AO34" s="6">
        <v>18034846.21955191</v>
      </c>
      <c r="AP34" s="6">
        <v>19007898.45840833</v>
      </c>
      <c r="AQ34" s="6">
        <v>20023195.24256108</v>
      </c>
      <c r="AR34" s="6">
        <v>21082028.28109457</v>
      </c>
      <c r="AS34" s="6">
        <v>22185704.508338939</v>
      </c>
      <c r="AT34" s="6">
        <v>23335545.310220178</v>
      </c>
      <c r="AU34" s="6">
        <v>24532885.719245121</v>
      </c>
      <c r="AV34" s="6">
        <v>25779073.579045869</v>
      </c>
      <c r="AW34" s="6">
        <v>27075468.679474551</v>
      </c>
      <c r="AX34" s="6">
        <v>28423441.8633033</v>
      </c>
      <c r="AY34" s="6">
        <v>29824374.10564578</v>
      </c>
      <c r="AZ34" s="6">
        <v>31279655.56727498</v>
      </c>
      <c r="BA34" s="6">
        <v>32790684.623067942</v>
      </c>
      <c r="BB34" s="6">
        <v>34358866.866860613</v>
      </c>
      <c r="BC34" s="6">
        <v>35985614.094045572</v>
      </c>
      <c r="BD34" s="6">
        <v>37672343.26329165</v>
      </c>
      <c r="BE34" s="6">
        <v>39420475.438807137</v>
      </c>
      <c r="BF34" s="6">
        <v>41231434.714607932</v>
      </c>
      <c r="BG34" s="6">
        <v>43106647.122287631</v>
      </c>
      <c r="BH34" s="6">
        <v>45047539.523818843</v>
      </c>
      <c r="BI34" s="6">
        <v>47055538.490943521</v>
      </c>
      <c r="BJ34" s="6">
        <v>49132069.172735304</v>
      </c>
      <c r="BK34" s="6">
        <v>51278554.152937353</v>
      </c>
      <c r="BL34" s="6">
        <v>53496412.298697472</v>
      </c>
      <c r="BM34" s="6">
        <v>55787057.602335051</v>
      </c>
      <c r="BN34" s="6">
        <v>58151898.017785169</v>
      </c>
      <c r="BO34" s="6">
        <v>60592334.293370657</v>
      </c>
      <c r="BP34" s="6">
        <v>63109758.802556112</v>
      </c>
      <c r="BQ34" s="6">
        <v>65705554.37433625</v>
      </c>
      <c r="BR34" s="6">
        <v>68381093.124906778</v>
      </c>
      <c r="BS34" s="6">
        <v>71137735.292257339</v>
      </c>
      <c r="BT34" s="6">
        <v>73976828.075314671</v>
      </c>
    </row>
    <row r="35" spans="1:72" x14ac:dyDescent="0.25">
      <c r="A35" t="s">
        <v>34</v>
      </c>
      <c r="B35" s="6">
        <v>481591.39999999851</v>
      </c>
      <c r="C35" s="6">
        <v>501336.42171207903</v>
      </c>
      <c r="D35" s="6">
        <v>521685.43447776418</v>
      </c>
      <c r="E35" s="6">
        <v>542648.6545332924</v>
      </c>
      <c r="F35" s="6">
        <v>564236.19710578781</v>
      </c>
      <c r="G35" s="6">
        <v>586458.06773232727</v>
      </c>
      <c r="H35" s="6">
        <v>609324.15364125511</v>
      </c>
      <c r="I35" s="6">
        <v>632844.21520754241</v>
      </c>
      <c r="J35" s="6">
        <v>657027.87749379152</v>
      </c>
      <c r="K35" s="6">
        <v>681884.62188827491</v>
      </c>
      <c r="L35" s="6">
        <v>707423.77785116062</v>
      </c>
      <c r="M35" s="6">
        <v>733654.51477982139</v>
      </c>
      <c r="N35" s="6">
        <v>760585.83400384826</v>
      </c>
      <c r="O35" s="6">
        <v>788226.56092009705</v>
      </c>
      <c r="P35" s="6">
        <v>816585.33727778541</v>
      </c>
      <c r="Q35" s="6">
        <v>845670.61362333084</v>
      </c>
      <c r="R35" s="6">
        <v>875490.64191427804</v>
      </c>
      <c r="S35" s="6">
        <v>906053.46831130807</v>
      </c>
      <c r="T35" s="6">
        <v>937366.92615695519</v>
      </c>
      <c r="U35" s="6">
        <v>969438.62914927164</v>
      </c>
      <c r="V35" s="6">
        <v>1002275.964718295</v>
      </c>
      <c r="W35" s="6">
        <v>1035886.087612772</v>
      </c>
      <c r="X35" s="6">
        <v>1070275.913704169</v>
      </c>
      <c r="Y35" s="6">
        <v>1105452.1140146209</v>
      </c>
      <c r="Z35" s="6">
        <v>1141421.108974989</v>
      </c>
      <c r="AA35" s="6">
        <v>1178189.0629188339</v>
      </c>
      <c r="AB35" s="6">
        <v>1215761.8788176291</v>
      </c>
      <c r="AC35" s="6">
        <v>1254145.1932621361</v>
      </c>
      <c r="AD35" s="6">
        <v>1293344.3716944079</v>
      </c>
      <c r="AE35" s="6">
        <v>1333364.5038944681</v>
      </c>
      <c r="AF35" s="6">
        <v>1374210.3997252481</v>
      </c>
      <c r="AG35" s="6">
        <v>1415886.5851389731</v>
      </c>
      <c r="AH35" s="6">
        <v>1458397.298447697</v>
      </c>
      <c r="AI35" s="6">
        <v>1501746.4868603121</v>
      </c>
      <c r="AJ35" s="6">
        <v>1545937.8032878849</v>
      </c>
      <c r="AK35" s="6">
        <v>1590974.603418791</v>
      </c>
      <c r="AL35" s="6">
        <v>1636859.9430646549</v>
      </c>
      <c r="AM35" s="6">
        <v>1683596.5757777379</v>
      </c>
      <c r="AN35" s="6">
        <v>1731186.9507399909</v>
      </c>
      <c r="AO35" s="6">
        <v>1779633.2109235751</v>
      </c>
      <c r="AP35" s="6">
        <v>1828937.191522314</v>
      </c>
      <c r="AQ35" s="6">
        <v>1879100.418653104</v>
      </c>
      <c r="AR35" s="6">
        <v>1930124.108325989</v>
      </c>
      <c r="AS35" s="6">
        <v>1982009.1656812159</v>
      </c>
      <c r="AT35" s="6">
        <v>2034756.1844912409</v>
      </c>
      <c r="AU35" s="6">
        <v>2088365.4469253451</v>
      </c>
      <c r="AV35" s="6">
        <v>2142836.9235741431</v>
      </c>
      <c r="AW35" s="6">
        <v>2198170.2737310012</v>
      </c>
      <c r="AX35" s="6">
        <v>2254364.8459270489</v>
      </c>
      <c r="AY35" s="6">
        <v>2311419.678716186</v>
      </c>
      <c r="AZ35" s="6">
        <v>2369333.5017061988</v>
      </c>
      <c r="BA35" s="6">
        <v>2428104.736831856</v>
      </c>
      <c r="BB35" s="6">
        <v>2487731.4998655738</v>
      </c>
      <c r="BC35" s="6">
        <v>2548211.6021610261</v>
      </c>
      <c r="BD35" s="6">
        <v>2609542.5526248151</v>
      </c>
      <c r="BE35" s="6">
        <v>2671721.5599111528</v>
      </c>
      <c r="BF35" s="6">
        <v>2734745.5348342471</v>
      </c>
      <c r="BG35" s="6">
        <v>2798611.0929929451</v>
      </c>
      <c r="BH35" s="6">
        <v>2863314.5576019878</v>
      </c>
      <c r="BI35" s="6">
        <v>2928851.9625240802</v>
      </c>
      <c r="BJ35" s="6">
        <v>2995219.0554968142</v>
      </c>
      <c r="BK35" s="6">
        <v>3062411.3015483911</v>
      </c>
      <c r="BL35" s="6">
        <v>3130423.886595909</v>
      </c>
      <c r="BM35" s="6">
        <v>3199251.7212199168</v>
      </c>
      <c r="BN35" s="6">
        <v>3268889.4446088299</v>
      </c>
      <c r="BO35" s="6">
        <v>3339331.4286666992</v>
      </c>
      <c r="BP35" s="6">
        <v>3410571.7822777778</v>
      </c>
      <c r="BQ35" s="6">
        <v>3482604.355721266</v>
      </c>
      <c r="BR35" s="6">
        <v>3555422.7452295381</v>
      </c>
      <c r="BS35" s="6">
        <v>3629020.2976831589</v>
      </c>
      <c r="BT35" s="6">
        <v>3703390.1154359509</v>
      </c>
    </row>
    <row r="36" spans="1:72" x14ac:dyDescent="0.25">
      <c r="A36" t="s">
        <v>35</v>
      </c>
      <c r="B36" s="6">
        <v>2270140.3333333279</v>
      </c>
      <c r="C36" s="6">
        <v>2375389.8855828159</v>
      </c>
      <c r="D36" s="6">
        <v>2484417.7862031139</v>
      </c>
      <c r="E36" s="6">
        <v>2597309.6312707821</v>
      </c>
      <c r="F36" s="6">
        <v>2714151.0608134982</v>
      </c>
      <c r="G36" s="6">
        <v>2835027.6914858739</v>
      </c>
      <c r="H36" s="6">
        <v>2960025.0485437801</v>
      </c>
      <c r="I36" s="6">
        <v>3089228.4972135401</v>
      </c>
      <c r="J36" s="6">
        <v>3222723.173553389</v>
      </c>
      <c r="K36" s="6">
        <v>3360593.9149053972</v>
      </c>
      <c r="L36" s="6">
        <v>3502925.1900366028</v>
      </c>
      <c r="M36" s="6">
        <v>3649801.0290685119</v>
      </c>
      <c r="N36" s="6">
        <v>3801304.953294191</v>
      </c>
      <c r="O36" s="6">
        <v>3957519.904982137</v>
      </c>
      <c r="P36" s="6">
        <v>4118528.177265808</v>
      </c>
      <c r="Q36" s="6">
        <v>4284411.3442171616</v>
      </c>
      <c r="R36" s="6">
        <v>4455250.1912018489</v>
      </c>
      <c r="S36" s="6">
        <v>4631124.6456128042</v>
      </c>
      <c r="T36" s="6">
        <v>4812113.7080778228</v>
      </c>
      <c r="U36" s="6">
        <v>4998295.3842354454</v>
      </c>
      <c r="V36" s="6">
        <v>5189746.6171719562</v>
      </c>
      <c r="W36" s="6">
        <v>5386543.2206106428</v>
      </c>
      <c r="X36" s="6">
        <v>5588759.8129426241</v>
      </c>
      <c r="Y36" s="6">
        <v>5796469.7521865508</v>
      </c>
      <c r="Z36" s="6">
        <v>6009745.0719623314</v>
      </c>
      <c r="AA36" s="6">
        <v>6228656.4185617147</v>
      </c>
      <c r="AB36" s="6">
        <v>6453272.9891961394</v>
      </c>
      <c r="AC36" s="6">
        <v>6683662.4714996703</v>
      </c>
      <c r="AD36" s="6">
        <v>6919890.9843621384</v>
      </c>
      <c r="AE36" s="6">
        <v>7162023.0201648213</v>
      </c>
      <c r="AF36" s="6">
        <v>7410121.3884880412</v>
      </c>
      <c r="AG36" s="6">
        <v>7664247.1613570852</v>
      </c>
      <c r="AH36" s="6">
        <v>7924459.6200897312</v>
      </c>
      <c r="AI36" s="6">
        <v>8190816.2038055081</v>
      </c>
      <c r="AJ36" s="6">
        <v>8463372.4596535396</v>
      </c>
      <c r="AK36" s="6">
        <v>8742181.9948125631</v>
      </c>
      <c r="AL36" s="6">
        <v>9027296.4303133208</v>
      </c>
      <c r="AM36" s="6">
        <v>9318765.3567301463</v>
      </c>
      <c r="AN36" s="6">
        <v>9616636.2917851228</v>
      </c>
      <c r="AO36" s="6">
        <v>9920954.6399047449</v>
      </c>
      <c r="AP36" s="6">
        <v>10231763.653765541</v>
      </c>
      <c r="AQ36" s="6">
        <v>10549104.397861609</v>
      </c>
      <c r="AR36" s="6">
        <v>10873015.71412361</v>
      </c>
      <c r="AS36" s="6">
        <v>11203534.18961514</v>
      </c>
      <c r="AT36" s="6">
        <v>11540694.12632913</v>
      </c>
      <c r="AU36" s="6">
        <v>11884527.51310334</v>
      </c>
      <c r="AV36" s="6">
        <v>12235063.999670619</v>
      </c>
      <c r="AW36" s="6">
        <v>12592330.87285639</v>
      </c>
      <c r="AX36" s="6">
        <v>12956353.03493215</v>
      </c>
      <c r="AY36" s="6">
        <v>13327152.9841309</v>
      </c>
      <c r="AZ36" s="6">
        <v>13704750.797326829</v>
      </c>
      <c r="BA36" s="6">
        <v>14089164.114878699</v>
      </c>
      <c r="BB36" s="6">
        <v>14480408.127633009</v>
      </c>
      <c r="BC36" s="6">
        <v>14878495.56608016</v>
      </c>
      <c r="BD36" s="6">
        <v>15283436.69165381</v>
      </c>
      <c r="BE36" s="6">
        <v>15695239.290160799</v>
      </c>
      <c r="BF36" s="6">
        <v>16113908.667326</v>
      </c>
      <c r="BG36" s="6">
        <v>16539447.646434059</v>
      </c>
      <c r="BH36" s="6">
        <v>16971856.568047129</v>
      </c>
      <c r="BI36" s="6">
        <v>17411133.291775201</v>
      </c>
      <c r="BJ36" s="6">
        <v>17857273.20007322</v>
      </c>
      <c r="BK36" s="6">
        <v>18310269.20403694</v>
      </c>
      <c r="BL36" s="6">
        <v>18770111.751167029</v>
      </c>
      <c r="BM36" s="6">
        <v>19236788.835068852</v>
      </c>
      <c r="BN36" s="6">
        <v>19710286.00705348</v>
      </c>
      <c r="BO36" s="6">
        <v>20190586.389603361</v>
      </c>
      <c r="BP36" s="6">
        <v>20677670.691664159</v>
      </c>
      <c r="BQ36" s="6">
        <v>21171517.22572301</v>
      </c>
      <c r="BR36" s="6">
        <v>21672101.926631149</v>
      </c>
      <c r="BS36" s="6">
        <v>22179398.372127939</v>
      </c>
      <c r="BT36" s="6">
        <v>22693377.805021599</v>
      </c>
    </row>
    <row r="37" spans="1:72" x14ac:dyDescent="0.25">
      <c r="A37" t="s">
        <v>36</v>
      </c>
      <c r="B37" s="6">
        <v>2268578.2666666508</v>
      </c>
      <c r="C37" s="6">
        <v>2394643.0434024008</v>
      </c>
      <c r="D37" s="6">
        <v>2526382.5313510331</v>
      </c>
      <c r="E37" s="6">
        <v>2663979.697884867</v>
      </c>
      <c r="F37" s="6">
        <v>2807620.0583797698</v>
      </c>
      <c r="G37" s="6">
        <v>2957491.5765682179</v>
      </c>
      <c r="H37" s="6">
        <v>3113784.559934692</v>
      </c>
      <c r="I37" s="6">
        <v>3276691.5502590369</v>
      </c>
      <c r="J37" s="6">
        <v>3446407.2094240561</v>
      </c>
      <c r="K37" s="6">
        <v>3623128.2006139988</v>
      </c>
      <c r="L37" s="6">
        <v>3807053.0650407029</v>
      </c>
      <c r="M37" s="6">
        <v>3998382.094343855</v>
      </c>
      <c r="N37" s="6">
        <v>4197317.1988212802</v>
      </c>
      <c r="O37" s="6">
        <v>4404061.7716541411</v>
      </c>
      <c r="P37" s="6">
        <v>4618820.5493005402</v>
      </c>
      <c r="Q37" s="6">
        <v>4841799.4682391938</v>
      </c>
      <c r="R37" s="6">
        <v>5073205.5182525739</v>
      </c>
      <c r="S37" s="6">
        <v>5313246.5924461586</v>
      </c>
      <c r="T37" s="6">
        <v>5562131.3342072275</v>
      </c>
      <c r="U37" s="6">
        <v>5820068.9813128905</v>
      </c>
      <c r="V37" s="6">
        <v>6087269.2074028458</v>
      </c>
      <c r="W37" s="6">
        <v>6363941.9610375166</v>
      </c>
      <c r="X37" s="6">
        <v>6650297.3025670676</v>
      </c>
      <c r="Y37" s="6">
        <v>6946545.2390408292</v>
      </c>
      <c r="Z37" s="6">
        <v>7252895.5573903844</v>
      </c>
      <c r="AA37" s="6">
        <v>7569557.6561226062</v>
      </c>
      <c r="AB37" s="6">
        <v>7896740.3757614838</v>
      </c>
      <c r="AC37" s="6">
        <v>8234651.8282795362</v>
      </c>
      <c r="AD37" s="6">
        <v>8583499.2257610559</v>
      </c>
      <c r="AE37" s="6">
        <v>8943488.7085402943</v>
      </c>
      <c r="AF37" s="6">
        <v>9314825.1730580609</v>
      </c>
      <c r="AG37" s="6">
        <v>9697712.0996799804</v>
      </c>
      <c r="AH37" s="6">
        <v>10092351.380718971</v>
      </c>
      <c r="AI37" s="6">
        <v>10498943.14890326</v>
      </c>
      <c r="AJ37" s="6">
        <v>10917685.60652943</v>
      </c>
      <c r="AK37" s="6">
        <v>11348774.85553789</v>
      </c>
      <c r="AL37" s="6">
        <v>11792404.728745351</v>
      </c>
      <c r="AM37" s="6">
        <v>12248766.622465611</v>
      </c>
      <c r="AN37" s="6">
        <v>12718049.33074652</v>
      </c>
      <c r="AO37" s="6">
        <v>13200438.881446751</v>
      </c>
      <c r="AP37" s="6">
        <v>13696118.37437148</v>
      </c>
      <c r="AQ37" s="6">
        <v>14205267.821681419</v>
      </c>
      <c r="AR37" s="6">
        <v>14728063.990783909</v>
      </c>
      <c r="AS37" s="6">
        <v>15264680.24990976</v>
      </c>
      <c r="AT37" s="6">
        <v>15815286.416572841</v>
      </c>
      <c r="AU37" s="6">
        <v>16380048.60910379</v>
      </c>
      <c r="AV37" s="6">
        <v>16959129.101441979</v>
      </c>
      <c r="AW37" s="6">
        <v>17552686.18136356</v>
      </c>
      <c r="AX37" s="6">
        <v>18160874.012315739</v>
      </c>
      <c r="AY37" s="6">
        <v>18783842.499020569</v>
      </c>
      <c r="AZ37" s="6">
        <v>19421737.157003392</v>
      </c>
      <c r="BA37" s="6">
        <v>20074698.98619391</v>
      </c>
      <c r="BB37" s="6">
        <v>20742864.348739251</v>
      </c>
      <c r="BC37" s="6">
        <v>21426364.851160862</v>
      </c>
      <c r="BD37" s="6">
        <v>22125327.230978481</v>
      </c>
      <c r="BE37" s="6">
        <v>22839873.24791624</v>
      </c>
      <c r="BF37" s="6">
        <v>23570119.579797529</v>
      </c>
      <c r="BG37" s="6">
        <v>24316177.723226748</v>
      </c>
      <c r="BH37" s="6">
        <v>25078153.89914757</v>
      </c>
      <c r="BI37" s="6">
        <v>25856148.963358819</v>
      </c>
      <c r="BJ37" s="6">
        <v>26650258.322060499</v>
      </c>
      <c r="BK37" s="6">
        <v>27460571.852493919</v>
      </c>
      <c r="BL37" s="6">
        <v>28287173.8287316</v>
      </c>
      <c r="BM37" s="6">
        <v>29130142.852663849</v>
      </c>
      <c r="BN37" s="6">
        <v>29989551.790220909</v>
      </c>
      <c r="BO37" s="6">
        <v>30865467.712860961</v>
      </c>
      <c r="BP37" s="6">
        <v>31757951.844346412</v>
      </c>
      <c r="BQ37" s="6">
        <v>32667059.512822479</v>
      </c>
      <c r="BR37" s="6">
        <v>33592840.108204558</v>
      </c>
      <c r="BS37" s="6">
        <v>34535337.044872642</v>
      </c>
      <c r="BT37" s="6">
        <v>35494587.729663827</v>
      </c>
    </row>
    <row r="38" spans="1:72" x14ac:dyDescent="0.25">
      <c r="A38" t="s">
        <v>37</v>
      </c>
      <c r="B38" s="6">
        <v>760128.26666666567</v>
      </c>
      <c r="C38" s="6">
        <v>794880.17905938113</v>
      </c>
      <c r="D38" s="6">
        <v>830857.48904924397</v>
      </c>
      <c r="E38" s="6">
        <v>868087.12195005862</v>
      </c>
      <c r="F38" s="6">
        <v>906595.98736809392</v>
      </c>
      <c r="G38" s="6">
        <v>946410.95773625968</v>
      </c>
      <c r="H38" s="6">
        <v>987558.84666999546</v>
      </c>
      <c r="I38" s="6">
        <v>1030066.3871756</v>
      </c>
      <c r="J38" s="6">
        <v>1073960.2097419531</v>
      </c>
      <c r="K38" s="6">
        <v>1119266.820346735</v>
      </c>
      <c r="L38" s="6">
        <v>1166012.5784083321</v>
      </c>
      <c r="M38" s="6">
        <v>1214223.674714633</v>
      </c>
      <c r="N38" s="6">
        <v>1263926.109359873</v>
      </c>
      <c r="O38" s="6">
        <v>1315145.669720544</v>
      </c>
      <c r="P38" s="6">
        <v>1367907.9085012339</v>
      </c>
      <c r="Q38" s="6">
        <v>1422238.12188097</v>
      </c>
      <c r="R38" s="6">
        <v>1478161.327790363</v>
      </c>
      <c r="S38" s="6">
        <v>1535702.2443494529</v>
      </c>
      <c r="T38" s="6">
        <v>1594885.2684957241</v>
      </c>
      <c r="U38" s="6">
        <v>1655734.4548312831</v>
      </c>
      <c r="V38" s="6">
        <v>1718273.4947176231</v>
      </c>
      <c r="W38" s="6">
        <v>1782525.6956458271</v>
      </c>
      <c r="X38" s="6">
        <v>1848513.9609093789</v>
      </c>
      <c r="Y38" s="6">
        <v>1916260.769606102</v>
      </c>
      <c r="Z38" s="6">
        <v>1985788.1569949409</v>
      </c>
      <c r="AA38" s="6">
        <v>2057117.6952325869</v>
      </c>
      <c r="AB38" s="6">
        <v>2130270.474514063</v>
      </c>
      <c r="AC38" s="6">
        <v>2205267.0846405472</v>
      </c>
      <c r="AD38" s="6">
        <v>2282127.5970368371</v>
      </c>
      <c r="AE38" s="6">
        <v>2360871.547239881</v>
      </c>
      <c r="AF38" s="6">
        <v>2441517.917878882</v>
      </c>
      <c r="AG38" s="6">
        <v>2524085.1221664869</v>
      </c>
      <c r="AH38" s="6">
        <v>2608590.9879195672</v>
      </c>
      <c r="AI38" s="6">
        <v>2695052.742127053</v>
      </c>
      <c r="AJ38" s="6">
        <v>2783486.996081261</v>
      </c>
      <c r="AK38" s="6">
        <v>2873909.731088093</v>
      </c>
      <c r="AL38" s="6">
        <v>2966336.2847703812</v>
      </c>
      <c r="AM38" s="6">
        <v>3060781.337977617</v>
      </c>
      <c r="AN38" s="6">
        <v>3157258.9023141749</v>
      </c>
      <c r="AO38" s="6">
        <v>3255782.3082970688</v>
      </c>
      <c r="AP38" s="6">
        <v>3356364.1941531799</v>
      </c>
      <c r="AQ38" s="6">
        <v>3459016.4952647942</v>
      </c>
      <c r="AR38" s="6">
        <v>3563750.4342712038</v>
      </c>
      <c r="AS38" s="6">
        <v>3670576.5118330498</v>
      </c>
      <c r="AT38" s="6">
        <v>3779504.4980649631</v>
      </c>
      <c r="AU38" s="6">
        <v>3890543.424641063</v>
      </c>
      <c r="AV38" s="6">
        <v>4003701.577576749</v>
      </c>
      <c r="AW38" s="6">
        <v>4118986.490689218</v>
      </c>
      <c r="AX38" s="6">
        <v>4236404.9397381032</v>
      </c>
      <c r="AY38" s="6">
        <v>4355962.9372466141</v>
      </c>
      <c r="AZ38" s="6">
        <v>4477665.7280025864</v>
      </c>
      <c r="BA38" s="6">
        <v>4601517.7852378571</v>
      </c>
      <c r="BB38" s="6">
        <v>4727522.807483458</v>
      </c>
      <c r="BC38" s="6">
        <v>4855683.7160971845</v>
      </c>
      <c r="BD38" s="6">
        <v>4986002.6534591969</v>
      </c>
      <c r="BE38" s="6">
        <v>5118480.9818304665</v>
      </c>
      <c r="BF38" s="6">
        <v>5253119.2828679858</v>
      </c>
      <c r="BG38" s="6">
        <v>5389917.357789902</v>
      </c>
      <c r="BH38" s="6">
        <v>5528874.2281829184</v>
      </c>
      <c r="BI38" s="6">
        <v>5669988.1374435471</v>
      </c>
      <c r="BJ38" s="6">
        <v>5813256.5528440941</v>
      </c>
      <c r="BK38" s="6">
        <v>5958676.1682135453</v>
      </c>
      <c r="BL38" s="6">
        <v>6106242.9072228717</v>
      </c>
      <c r="BM38" s="6">
        <v>6255951.9272636399</v>
      </c>
      <c r="BN38" s="6">
        <v>6407797.623908218</v>
      </c>
      <c r="BO38" s="6">
        <v>6561773.6359393001</v>
      </c>
      <c r="BP38" s="6">
        <v>6717872.8509359546</v>
      </c>
      <c r="BQ38" s="6">
        <v>6876087.4114028886</v>
      </c>
      <c r="BR38" s="6">
        <v>7036408.721429172</v>
      </c>
      <c r="BS38" s="6">
        <v>7198827.4538622191</v>
      </c>
      <c r="BT38" s="6">
        <v>7363333.5579824476</v>
      </c>
    </row>
    <row r="39" spans="1:72" x14ac:dyDescent="0.25">
      <c r="A39" t="s">
        <v>38</v>
      </c>
      <c r="B39" s="6">
        <v>1231651.9333333219</v>
      </c>
      <c r="C39" s="6">
        <v>1231651.9333333219</v>
      </c>
      <c r="D39" s="6">
        <v>1231651.9333333219</v>
      </c>
      <c r="E39" s="6">
        <v>1231651.9333333219</v>
      </c>
      <c r="F39" s="6">
        <v>1231651.9333333219</v>
      </c>
      <c r="G39" s="6">
        <v>1231651.9333333219</v>
      </c>
      <c r="H39" s="6">
        <v>1231651.9333333219</v>
      </c>
      <c r="I39" s="6">
        <v>1231651.9333333219</v>
      </c>
      <c r="J39" s="6">
        <v>1231651.9333333219</v>
      </c>
      <c r="K39" s="6">
        <v>1231651.9333333219</v>
      </c>
      <c r="L39" s="6">
        <v>1231651.9333333219</v>
      </c>
      <c r="M39" s="6">
        <v>1231651.9333333219</v>
      </c>
      <c r="N39" s="6">
        <v>1231651.9333333219</v>
      </c>
      <c r="O39" s="6">
        <v>1231651.9333333219</v>
      </c>
      <c r="P39" s="6">
        <v>1231651.9333333219</v>
      </c>
      <c r="Q39" s="6">
        <v>1231651.9333333219</v>
      </c>
      <c r="R39" s="6">
        <v>1231651.9333333219</v>
      </c>
      <c r="S39" s="6">
        <v>1231651.9333333219</v>
      </c>
      <c r="T39" s="6">
        <v>1231651.9333333219</v>
      </c>
      <c r="U39" s="6">
        <v>1231651.9333333219</v>
      </c>
      <c r="V39" s="6">
        <v>1231651.9333333219</v>
      </c>
      <c r="W39" s="6">
        <v>1231651.9333333219</v>
      </c>
      <c r="X39" s="6">
        <v>1231651.9333333219</v>
      </c>
      <c r="Y39" s="6">
        <v>1231651.9333333219</v>
      </c>
      <c r="Z39" s="6">
        <v>1231651.9333333219</v>
      </c>
      <c r="AA39" s="6">
        <v>1231651.9333333219</v>
      </c>
      <c r="AB39" s="6">
        <v>1231651.9333333219</v>
      </c>
      <c r="AC39" s="6">
        <v>1231651.9333333219</v>
      </c>
      <c r="AD39" s="6">
        <v>1231651.9333333219</v>
      </c>
      <c r="AE39" s="6">
        <v>1231651.9333333219</v>
      </c>
      <c r="AF39" s="6">
        <v>1231651.9333333219</v>
      </c>
      <c r="AG39" s="6">
        <v>1231651.9333333219</v>
      </c>
      <c r="AH39" s="6">
        <v>1231651.9333333219</v>
      </c>
      <c r="AI39" s="6">
        <v>1231651.9333333219</v>
      </c>
      <c r="AJ39" s="6">
        <v>1231651.9333333219</v>
      </c>
      <c r="AK39" s="6">
        <v>1231651.9333333219</v>
      </c>
      <c r="AL39" s="6">
        <v>1231651.9333333219</v>
      </c>
      <c r="AM39" s="6">
        <v>1231651.9333333219</v>
      </c>
      <c r="AN39" s="6">
        <v>1231651.9333333219</v>
      </c>
      <c r="AO39" s="6">
        <v>1231651.9333333219</v>
      </c>
      <c r="AP39" s="6">
        <v>1231651.9333333219</v>
      </c>
      <c r="AQ39" s="6">
        <v>1231651.9333333219</v>
      </c>
      <c r="AR39" s="6">
        <v>1231651.9333333219</v>
      </c>
      <c r="AS39" s="6">
        <v>1231651.9333333219</v>
      </c>
      <c r="AT39" s="6">
        <v>1231651.9333333219</v>
      </c>
      <c r="AU39" s="6">
        <v>1231651.9333333219</v>
      </c>
      <c r="AV39" s="6">
        <v>1231651.9333333219</v>
      </c>
      <c r="AW39" s="6">
        <v>1231651.9333333219</v>
      </c>
      <c r="AX39" s="6">
        <v>1231651.9333333219</v>
      </c>
      <c r="AY39" s="6">
        <v>1231651.9333333219</v>
      </c>
      <c r="AZ39" s="6">
        <v>1231651.9333333219</v>
      </c>
      <c r="BA39" s="6">
        <v>1231651.9333333219</v>
      </c>
      <c r="BB39" s="6">
        <v>1231651.9333333219</v>
      </c>
      <c r="BC39" s="6">
        <v>1231651.9333333219</v>
      </c>
      <c r="BD39" s="6">
        <v>1231651.9333333219</v>
      </c>
      <c r="BE39" s="6">
        <v>1231651.9333333219</v>
      </c>
      <c r="BF39" s="6">
        <v>1231651.9333333219</v>
      </c>
      <c r="BG39" s="6">
        <v>1231651.9333333219</v>
      </c>
      <c r="BH39" s="6">
        <v>1231651.9333333219</v>
      </c>
      <c r="BI39" s="6">
        <v>1231651.9333333219</v>
      </c>
      <c r="BJ39" s="6">
        <v>1231651.9333333219</v>
      </c>
      <c r="BK39" s="6">
        <v>1231651.9333333219</v>
      </c>
      <c r="BL39" s="6">
        <v>1231651.9333333219</v>
      </c>
      <c r="BM39" s="6">
        <v>1231651.9333333219</v>
      </c>
      <c r="BN39" s="6">
        <v>1231651.9333333219</v>
      </c>
      <c r="BO39" s="6">
        <v>1231651.9333333219</v>
      </c>
      <c r="BP39" s="6">
        <v>1231651.9333333219</v>
      </c>
      <c r="BQ39" s="6">
        <v>1231651.9333333219</v>
      </c>
      <c r="BR39" s="6">
        <v>1231651.9333333219</v>
      </c>
      <c r="BS39" s="6">
        <v>1231651.9333333219</v>
      </c>
      <c r="BT39" s="6">
        <v>1231651.9333333219</v>
      </c>
    </row>
    <row r="40" spans="1:72" x14ac:dyDescent="0.25">
      <c r="A40" t="s">
        <v>39</v>
      </c>
      <c r="B40" s="6">
        <v>4562190.3333333731</v>
      </c>
      <c r="C40" s="6">
        <v>4749087.2870188169</v>
      </c>
      <c r="D40" s="6">
        <v>4941695.2194065806</v>
      </c>
      <c r="E40" s="6">
        <v>5140110.5242355876</v>
      </c>
      <c r="F40" s="6">
        <v>5344428.6348690921</v>
      </c>
      <c r="G40" s="6">
        <v>5554743.9423676413</v>
      </c>
      <c r="H40" s="6">
        <v>5771149.7141587976</v>
      </c>
      <c r="I40" s="6">
        <v>5993738.0134148914</v>
      </c>
      <c r="J40" s="6">
        <v>6222599.6192481769</v>
      </c>
      <c r="K40" s="6">
        <v>6457823.9478307785</v>
      </c>
      <c r="L40" s="6">
        <v>6699498.9745445363</v>
      </c>
      <c r="M40" s="6">
        <v>6947711.1572634298</v>
      </c>
      <c r="N40" s="6">
        <v>7202545.3608686905</v>
      </c>
      <c r="O40" s="6">
        <v>7464084.783093865</v>
      </c>
      <c r="P40" s="6">
        <v>7732410.8817941844</v>
      </c>
      <c r="Q40" s="6">
        <v>8007603.3037315086</v>
      </c>
      <c r="R40" s="6">
        <v>8289739.8149628295</v>
      </c>
      <c r="S40" s="6">
        <v>8578896.2329169884</v>
      </c>
      <c r="T40" s="6">
        <v>8875146.3602407519</v>
      </c>
      <c r="U40" s="6">
        <v>9178561.9204917848</v>
      </c>
      <c r="V40" s="6">
        <v>9489212.4957523793</v>
      </c>
      <c r="W40" s="6">
        <v>9807165.4662339874</v>
      </c>
      <c r="X40" s="6">
        <v>10132485.951938741</v>
      </c>
      <c r="Y40" s="6">
        <v>10465236.75644022</v>
      </c>
      <c r="Z40" s="6">
        <v>10805478.312841721</v>
      </c>
      <c r="AA40" s="6">
        <v>11153268.6319662</v>
      </c>
      <c r="AB40" s="6">
        <v>11508663.252828181</v>
      </c>
      <c r="AC40" s="6">
        <v>11871715.195433419</v>
      </c>
      <c r="AD40" s="6">
        <v>12242474.91594849</v>
      </c>
      <c r="AE40" s="6">
        <v>12620990.26427792</v>
      </c>
      <c r="AF40" s="6">
        <v>13007306.44408262</v>
      </c>
      <c r="AG40" s="6">
        <v>13401465.97526909</v>
      </c>
      <c r="AH40" s="6">
        <v>13803508.658974931</v>
      </c>
      <c r="AI40" s="6">
        <v>14213471.545072</v>
      </c>
      <c r="AJ40" s="6">
        <v>14631388.902204581</v>
      </c>
      <c r="AK40" s="6">
        <v>15057292.19037596</v>
      </c>
      <c r="AL40" s="6">
        <v>15491210.036092799</v>
      </c>
      <c r="AM40" s="6">
        <v>15933168.21007297</v>
      </c>
      <c r="AN40" s="6">
        <v>16383189.607518479</v>
      </c>
      <c r="AO40" s="6">
        <v>16841294.230951611</v>
      </c>
      <c r="AP40" s="6">
        <v>17307499.175608639</v>
      </c>
      <c r="AQ40" s="6">
        <v>17781818.61738183</v>
      </c>
      <c r="AR40" s="6">
        <v>18264263.80329714</v>
      </c>
      <c r="AS40" s="6">
        <v>18754843.044511471</v>
      </c>
      <c r="AT40" s="6">
        <v>19253561.711810131</v>
      </c>
      <c r="AU40" s="6">
        <v>19760422.23358196</v>
      </c>
      <c r="AV40" s="6">
        <v>20275424.096246429</v>
      </c>
      <c r="AW40" s="6">
        <v>20798563.847104199</v>
      </c>
      <c r="AX40" s="6">
        <v>21329835.099579539</v>
      </c>
      <c r="AY40" s="6">
        <v>21869228.54082061</v>
      </c>
      <c r="AZ40" s="6">
        <v>22416731.94162054</v>
      </c>
      <c r="BA40" s="6">
        <v>22972330.168620151</v>
      </c>
      <c r="BB40" s="6">
        <v>23536005.198750529</v>
      </c>
      <c r="BC40" s="6">
        <v>24107736.135871559</v>
      </c>
      <c r="BD40" s="6">
        <v>24687499.229560219</v>
      </c>
      <c r="BE40" s="6">
        <v>25275267.896000631</v>
      </c>
      <c r="BF40" s="6">
        <v>25871012.740925819</v>
      </c>
      <c r="BG40" s="6">
        <v>26474701.584559429</v>
      </c>
      <c r="BH40" s="6">
        <v>27086299.488504112</v>
      </c>
      <c r="BI40" s="6">
        <v>27705768.784521561</v>
      </c>
      <c r="BJ40" s="6">
        <v>28333069.105148058</v>
      </c>
      <c r="BK40" s="6">
        <v>28968157.416087929</v>
      </c>
      <c r="BL40" s="6">
        <v>29610988.05032621</v>
      </c>
      <c r="BM40" s="6">
        <v>30261512.74390094</v>
      </c>
      <c r="BN40" s="6">
        <v>30919680.673274402</v>
      </c>
      <c r="BO40" s="6">
        <v>31585438.49424196</v>
      </c>
      <c r="BP40" s="6">
        <v>32258730.38231644</v>
      </c>
      <c r="BQ40" s="6">
        <v>32939498.074525479</v>
      </c>
      <c r="BR40" s="6">
        <v>33627680.91255872</v>
      </c>
      <c r="BS40" s="6">
        <v>34323215.887201533</v>
      </c>
      <c r="BT40" s="6">
        <v>35026037.683991581</v>
      </c>
    </row>
    <row r="41" spans="1:72" x14ac:dyDescent="0.25">
      <c r="A41" t="s">
        <v>40</v>
      </c>
      <c r="B41" s="6">
        <v>37424427.266666889</v>
      </c>
      <c r="C41" s="6">
        <v>38909828.473939918</v>
      </c>
      <c r="D41" s="6">
        <v>40438742.696737938</v>
      </c>
      <c r="E41" s="6">
        <v>42011843.827561393</v>
      </c>
      <c r="F41" s="6">
        <v>43629796.955665477</v>
      </c>
      <c r="G41" s="6">
        <v>45293257.790309653</v>
      </c>
      <c r="H41" s="6">
        <v>47002872.090814888</v>
      </c>
      <c r="I41" s="6">
        <v>48759275.104187511</v>
      </c>
      <c r="J41" s="6">
        <v>50563091.011049926</v>
      </c>
      <c r="K41" s="6">
        <v>52414932.380599953</v>
      </c>
      <c r="L41" s="6">
        <v>54315399.635299958</v>
      </c>
      <c r="M41" s="6">
        <v>56265080.525975458</v>
      </c>
      <c r="N41" s="6">
        <v>58264549.617980316</v>
      </c>
      <c r="O41" s="6">
        <v>60314367.789062157</v>
      </c>
      <c r="P41" s="6">
        <v>62415081.739536911</v>
      </c>
      <c r="Q41" s="6">
        <v>64567223.515356109</v>
      </c>
      <c r="R41" s="6">
        <v>66771310.044624411</v>
      </c>
      <c r="S41" s="6">
        <v>69027842.68809782</v>
      </c>
      <c r="T41" s="6">
        <v>71337306.804165602</v>
      </c>
      <c r="U41" s="6">
        <v>73700171.328790978</v>
      </c>
      <c r="V41" s="6">
        <v>76116888.370856673</v>
      </c>
      <c r="W41" s="6">
        <v>78587892.82333304</v>
      </c>
      <c r="X41" s="6">
        <v>81113601.990656629</v>
      </c>
      <c r="Y41" s="6">
        <v>83694415.232678011</v>
      </c>
      <c r="Z41" s="6">
        <v>86330713.625507429</v>
      </c>
      <c r="AA41" s="6">
        <v>89022859.6395576</v>
      </c>
      <c r="AB41" s="6">
        <v>91771196.835052535</v>
      </c>
      <c r="AC41" s="6">
        <v>94576049.575241745</v>
      </c>
      <c r="AD41" s="6">
        <v>97437722.757529438</v>
      </c>
      <c r="AE41" s="6">
        <v>100356501.5626983</v>
      </c>
      <c r="AF41" s="6">
        <v>103332651.2223791</v>
      </c>
      <c r="AG41" s="6">
        <v>106366416.8048858</v>
      </c>
      <c r="AH41" s="6">
        <v>109458023.0195114</v>
      </c>
      <c r="AI41" s="6">
        <v>112607674.0393462</v>
      </c>
      <c r="AJ41" s="6">
        <v>115815553.3426557</v>
      </c>
      <c r="AK41" s="6">
        <v>119081823.57282691</v>
      </c>
      <c r="AL41" s="6">
        <v>122406626.4168652</v>
      </c>
      <c r="AM41" s="6">
        <v>125790082.50239541</v>
      </c>
      <c r="AN41" s="6">
        <v>129232291.31309921</v>
      </c>
      <c r="AO41" s="6">
        <v>132733331.12249079</v>
      </c>
      <c r="AP41" s="6">
        <v>136293258.94591269</v>
      </c>
      <c r="AQ41" s="6">
        <v>139912110.51060709</v>
      </c>
      <c r="AR41" s="6">
        <v>143589900.24369669</v>
      </c>
      <c r="AS41" s="6">
        <v>147326621.27788541</v>
      </c>
      <c r="AT41" s="6">
        <v>151122245.4746694</v>
      </c>
      <c r="AU41" s="6">
        <v>154976723.4648279</v>
      </c>
      <c r="AV41" s="6">
        <v>158889984.70594251</v>
      </c>
      <c r="AW41" s="6">
        <v>162861937.5566766</v>
      </c>
      <c r="AX41" s="6">
        <v>166892469.36752659</v>
      </c>
      <c r="AY41" s="6">
        <v>170981446.58774179</v>
      </c>
      <c r="AZ41" s="6">
        <v>175128714.888091</v>
      </c>
      <c r="BA41" s="6">
        <v>179334099.29914129</v>
      </c>
      <c r="BB41" s="6">
        <v>183597404.3646974</v>
      </c>
      <c r="BC41" s="6">
        <v>187918414.31003889</v>
      </c>
      <c r="BD41" s="6">
        <v>192296893.2245785</v>
      </c>
      <c r="BE41" s="6">
        <v>196732585.25855279</v>
      </c>
      <c r="BF41" s="6">
        <v>201225214.8333481</v>
      </c>
      <c r="BG41" s="6">
        <v>205774486.86505079</v>
      </c>
      <c r="BH41" s="6">
        <v>210380087.00080591</v>
      </c>
      <c r="BI41" s="6">
        <v>215041681.8675575</v>
      </c>
      <c r="BJ41" s="6">
        <v>219758919.33273789</v>
      </c>
      <c r="BK41" s="6">
        <v>224531428.7764661</v>
      </c>
      <c r="BL41" s="6">
        <v>229358821.37481031</v>
      </c>
      <c r="BM41" s="6">
        <v>234240690.39366499</v>
      </c>
      <c r="BN41" s="6">
        <v>239176611.49278879</v>
      </c>
      <c r="BO41" s="6">
        <v>244166143.03954589</v>
      </c>
      <c r="BP41" s="6">
        <v>249208826.43189219</v>
      </c>
      <c r="BQ41" s="6">
        <v>254304186.43014541</v>
      </c>
      <c r="BR41" s="6">
        <v>259451731.49707681</v>
      </c>
      <c r="BS41" s="6">
        <v>264650954.14586341</v>
      </c>
      <c r="BT41" s="6">
        <v>269901331.29543853</v>
      </c>
    </row>
    <row r="42" spans="1:72" x14ac:dyDescent="0.25">
      <c r="A42" s="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 spans="1:72" x14ac:dyDescent="0.25">
      <c r="A43" s="1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</row>
    <row r="44" spans="1:72" x14ac:dyDescent="0.25">
      <c r="A44" s="1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 spans="1:72" x14ac:dyDescent="0.2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spans="1:72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spans="1:72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</row>
    <row r="48" spans="1:72" x14ac:dyDescent="0.25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spans="1:72" x14ac:dyDescent="0.25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spans="1:72" x14ac:dyDescent="0.25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</row>
    <row r="51" spans="1:72" x14ac:dyDescent="0.25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</row>
    <row r="52" spans="1:72" x14ac:dyDescent="0.25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spans="1:72" x14ac:dyDescent="0.25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</row>
    <row r="54" spans="1:72" x14ac:dyDescent="0.25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</row>
    <row r="55" spans="1:72" x14ac:dyDescent="0.25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</row>
    <row r="56" spans="1:72" x14ac:dyDescent="0.25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</row>
    <row r="57" spans="1:72" x14ac:dyDescent="0.25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</row>
    <row r="58" spans="1:72" x14ac:dyDescent="0.25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spans="1:72" x14ac:dyDescent="0.25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</row>
    <row r="60" spans="1:72" x14ac:dyDescent="0.25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spans="1:72" x14ac:dyDescent="0.25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</row>
    <row r="62" spans="1:72" x14ac:dyDescent="0.25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</row>
    <row r="63" spans="1:72" x14ac:dyDescent="0.25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</row>
    <row r="64" spans="1:72" x14ac:dyDescent="0.25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</row>
    <row r="65" spans="1:72" x14ac:dyDescent="0.25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</row>
    <row r="66" spans="1:72" x14ac:dyDescent="0.25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</row>
    <row r="67" spans="1:72" x14ac:dyDescent="0.25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</row>
    <row r="68" spans="1:72" x14ac:dyDescent="0.25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</row>
    <row r="69" spans="1:72" x14ac:dyDescent="0.25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</row>
    <row r="70" spans="1:72" x14ac:dyDescent="0.25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</row>
    <row r="71" spans="1:72" x14ac:dyDescent="0.25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</row>
    <row r="72" spans="1:72" x14ac:dyDescent="0.25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</row>
    <row r="73" spans="1:72" x14ac:dyDescent="0.25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spans="1:72" x14ac:dyDescent="0.25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spans="1:72" x14ac:dyDescent="0.2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spans="1:72" x14ac:dyDescent="0.25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spans="1:72" x14ac:dyDescent="0.25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spans="1:72" x14ac:dyDescent="0.25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</row>
    <row r="79" spans="1:72" x14ac:dyDescent="0.25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</row>
    <row r="80" spans="1:72" x14ac:dyDescent="0.25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</row>
    <row r="81" spans="1:72" x14ac:dyDescent="0.25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</row>
    <row r="82" spans="1:72" x14ac:dyDescent="0.25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</row>
    <row r="83" spans="1:72" x14ac:dyDescent="0.25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</row>
    <row r="84" spans="1:72" x14ac:dyDescent="0.25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</row>
    <row r="85" spans="1:72" x14ac:dyDescent="0.2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</row>
    <row r="86" spans="1:72" x14ac:dyDescent="0.2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</row>
    <row r="87" spans="1:72" x14ac:dyDescent="0.2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</row>
    <row r="88" spans="1:72" x14ac:dyDescent="0.2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</row>
    <row r="89" spans="1:72" x14ac:dyDescent="0.2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</row>
    <row r="90" spans="1:72" x14ac:dyDescent="0.25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</row>
    <row r="91" spans="1:72" x14ac:dyDescent="0.25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</row>
    <row r="92" spans="1:72" x14ac:dyDescent="0.25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</row>
    <row r="93" spans="1:72" x14ac:dyDescent="0.25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</row>
    <row r="94" spans="1:72" x14ac:dyDescent="0.25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</row>
    <row r="95" spans="1:72" x14ac:dyDescent="0.25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spans="1:72" x14ac:dyDescent="0.25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spans="1:72" x14ac:dyDescent="0.25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spans="1:72" x14ac:dyDescent="0.25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spans="1:72" x14ac:dyDescent="0.25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spans="1:72" x14ac:dyDescent="0.25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spans="1:72" x14ac:dyDescent="0.25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spans="1:72" x14ac:dyDescent="0.25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spans="1:72" x14ac:dyDescent="0.25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spans="1:72" x14ac:dyDescent="0.25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spans="1:72" x14ac:dyDescent="0.25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spans="1:72" x14ac:dyDescent="0.25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spans="1:72" x14ac:dyDescent="0.25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spans="1:72" x14ac:dyDescent="0.25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spans="1:72" x14ac:dyDescent="0.25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spans="1:72" x14ac:dyDescent="0.25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spans="1:72" x14ac:dyDescent="0.25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spans="1:72" x14ac:dyDescent="0.25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spans="1:72" x14ac:dyDescent="0.25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spans="1:72" x14ac:dyDescent="0.25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spans="1:72" x14ac:dyDescent="0.2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spans="1:72" x14ac:dyDescent="0.25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spans="1:72" x14ac:dyDescent="0.25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spans="1:72" x14ac:dyDescent="0.25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spans="1:72" x14ac:dyDescent="0.25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spans="1:72" x14ac:dyDescent="0.25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spans="1:72" x14ac:dyDescent="0.25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spans="1:72" x14ac:dyDescent="0.25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spans="1:72" x14ac:dyDescent="0.25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spans="1:72" x14ac:dyDescent="0.25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spans="1:72" x14ac:dyDescent="0.25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spans="1:72" x14ac:dyDescent="0.25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spans="1:72" x14ac:dyDescent="0.25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spans="1:72" x14ac:dyDescent="0.25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spans="1:72" x14ac:dyDescent="0.25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spans="1:72" x14ac:dyDescent="0.25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spans="1:72" x14ac:dyDescent="0.25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spans="1:72" x14ac:dyDescent="0.25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spans="1:72" x14ac:dyDescent="0.25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spans="1:72" x14ac:dyDescent="0.25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spans="1:72" x14ac:dyDescent="0.25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spans="1:72" x14ac:dyDescent="0.25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spans="1:72" x14ac:dyDescent="0.25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spans="1:72" x14ac:dyDescent="0.25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spans="1:72" x14ac:dyDescent="0.25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spans="1:72" x14ac:dyDescent="0.25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spans="1:72" x14ac:dyDescent="0.25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spans="1:72" x14ac:dyDescent="0.25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spans="1:72" x14ac:dyDescent="0.25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spans="1:72" x14ac:dyDescent="0.25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spans="1:72" x14ac:dyDescent="0.25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spans="1:72" x14ac:dyDescent="0.25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spans="1:72" x14ac:dyDescent="0.25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spans="1:72" x14ac:dyDescent="0.25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</row>
    <row r="149" spans="1:72" x14ac:dyDescent="0.25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</row>
    <row r="150" spans="1:72" x14ac:dyDescent="0.25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</row>
    <row r="151" spans="1:72" x14ac:dyDescent="0.25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</row>
    <row r="152" spans="1:72" x14ac:dyDescent="0.25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</row>
    <row r="153" spans="1:72" x14ac:dyDescent="0.25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</row>
    <row r="154" spans="1:72" x14ac:dyDescent="0.25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</row>
    <row r="155" spans="1:72" x14ac:dyDescent="0.25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</row>
    <row r="156" spans="1:72" x14ac:dyDescent="0.25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</row>
    <row r="157" spans="1:72" x14ac:dyDescent="0.25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</row>
    <row r="158" spans="1:72" x14ac:dyDescent="0.25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</row>
    <row r="159" spans="1:72" x14ac:dyDescent="0.25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</row>
    <row r="160" spans="1:72" x14ac:dyDescent="0.25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</row>
    <row r="161" spans="1:72" x14ac:dyDescent="0.25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</row>
    <row r="162" spans="1:72" x14ac:dyDescent="0.25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</row>
    <row r="163" spans="1:72" x14ac:dyDescent="0.25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</row>
    <row r="164" spans="1:72" x14ac:dyDescent="0.25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</row>
    <row r="165" spans="1:72" x14ac:dyDescent="0.25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</row>
    <row r="166" spans="1:72" x14ac:dyDescent="0.25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</row>
    <row r="167" spans="1:72" x14ac:dyDescent="0.25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</row>
    <row r="168" spans="1:72" x14ac:dyDescent="0.25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</row>
    <row r="169" spans="1:72" x14ac:dyDescent="0.25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</row>
    <row r="170" spans="1:72" x14ac:dyDescent="0.25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</row>
    <row r="171" spans="1:72" x14ac:dyDescent="0.25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</row>
    <row r="172" spans="1:72" x14ac:dyDescent="0.25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</row>
    <row r="173" spans="1:72" x14ac:dyDescent="0.25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</row>
    <row r="174" spans="1:72" x14ac:dyDescent="0.25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</row>
    <row r="175" spans="1:72" x14ac:dyDescent="0.25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</row>
    <row r="176" spans="1:72" x14ac:dyDescent="0.25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</row>
    <row r="177" spans="1:72" x14ac:dyDescent="0.25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</row>
    <row r="178" spans="1:72" x14ac:dyDescent="0.25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</row>
    <row r="179" spans="1:72" x14ac:dyDescent="0.25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</row>
    <row r="180" spans="1:72" x14ac:dyDescent="0.25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</row>
    <row r="181" spans="1:72" x14ac:dyDescent="0.25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</row>
    <row r="182" spans="1:72" x14ac:dyDescent="0.25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</row>
    <row r="183" spans="1:72" x14ac:dyDescent="0.25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</row>
    <row r="184" spans="1:72" x14ac:dyDescent="0.25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</row>
    <row r="185" spans="1:72" x14ac:dyDescent="0.25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</row>
    <row r="186" spans="1:72" x14ac:dyDescent="0.25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</row>
    <row r="187" spans="1:72" x14ac:dyDescent="0.25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</row>
    <row r="188" spans="1:72" x14ac:dyDescent="0.25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</row>
    <row r="189" spans="1:72" x14ac:dyDescent="0.25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</row>
    <row r="190" spans="1:72" x14ac:dyDescent="0.25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</row>
    <row r="191" spans="1:72" x14ac:dyDescent="0.25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</row>
    <row r="192" spans="1:72" x14ac:dyDescent="0.25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</row>
    <row r="193" spans="1:72" x14ac:dyDescent="0.25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</row>
    <row r="194" spans="1:72" x14ac:dyDescent="0.25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</row>
    <row r="195" spans="1:72" x14ac:dyDescent="0.25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</row>
    <row r="196" spans="1:72" x14ac:dyDescent="0.25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92"/>
  <sheetViews>
    <sheetView workbookViewId="0">
      <selection activeCell="A13" sqref="A13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s="1" t="s">
        <v>43</v>
      </c>
    </row>
    <row r="3" spans="1:1" x14ac:dyDescent="0.25">
      <c r="A3" s="1" t="s">
        <v>44</v>
      </c>
    </row>
    <row r="4" spans="1:1" x14ac:dyDescent="0.25">
      <c r="A4" s="1" t="s">
        <v>45</v>
      </c>
    </row>
    <row r="5" spans="1:1" x14ac:dyDescent="0.25">
      <c r="A5" s="1" t="s">
        <v>46</v>
      </c>
    </row>
    <row r="6" spans="1:1" x14ac:dyDescent="0.25">
      <c r="A6" s="1" t="s">
        <v>47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</sheetData>
  <conditionalFormatting sqref="A2:A41">
    <cfRule type="duplicateValues" dxfId="4" priority="1"/>
    <cfRule type="duplicateValues" dxfId="3" priority="2"/>
  </conditionalFormatting>
  <conditionalFormatting sqref="A42:B1048576 B2:B41">
    <cfRule type="duplicateValues" dxfId="2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93"/>
  <sheetViews>
    <sheetView workbookViewId="0">
      <selection activeCell="A40" sqref="A40:XFD40"/>
    </sheetView>
  </sheetViews>
  <sheetFormatPr defaultRowHeight="15" x14ac:dyDescent="0.25"/>
  <cols>
    <col min="1" max="1" width="20.7109375" customWidth="1"/>
    <col min="2" max="2" width="18.85546875" bestFit="1" customWidth="1"/>
  </cols>
  <sheetData>
    <row r="1" spans="1:2" x14ac:dyDescent="0.25">
      <c r="A1" t="s">
        <v>0</v>
      </c>
      <c r="B1" t="s">
        <v>51</v>
      </c>
    </row>
    <row r="2" spans="1:2" x14ac:dyDescent="0.25">
      <c r="A2" t="s">
        <v>43</v>
      </c>
      <c r="B2">
        <v>0</v>
      </c>
    </row>
    <row r="3" spans="1:2" x14ac:dyDescent="0.25">
      <c r="A3" t="s">
        <v>44</v>
      </c>
      <c r="B3">
        <v>7</v>
      </c>
    </row>
    <row r="4" spans="1:2" x14ac:dyDescent="0.25">
      <c r="A4" t="s">
        <v>45</v>
      </c>
      <c r="B4">
        <v>0</v>
      </c>
    </row>
    <row r="5" spans="1:2" x14ac:dyDescent="0.25">
      <c r="A5" t="s">
        <v>46</v>
      </c>
      <c r="B5">
        <v>0</v>
      </c>
    </row>
    <row r="6" spans="1:2" x14ac:dyDescent="0.25">
      <c r="A6" t="s">
        <v>47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62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42</v>
      </c>
    </row>
    <row r="11" spans="1:2" x14ac:dyDescent="0.25">
      <c r="A11" t="s">
        <v>10</v>
      </c>
      <c r="B11">
        <v>71</v>
      </c>
    </row>
    <row r="12" spans="1:2" x14ac:dyDescent="0.25">
      <c r="A12" t="s">
        <v>11</v>
      </c>
      <c r="B12">
        <v>53</v>
      </c>
    </row>
    <row r="13" spans="1:2" x14ac:dyDescent="0.25">
      <c r="A13" t="s">
        <v>12</v>
      </c>
      <c r="B13">
        <v>56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47</v>
      </c>
    </row>
    <row r="17" spans="1:2" x14ac:dyDescent="0.25">
      <c r="A17" t="s">
        <v>16</v>
      </c>
      <c r="B17">
        <v>56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46</v>
      </c>
    </row>
    <row r="24" spans="1:2" x14ac:dyDescent="0.25">
      <c r="A24" t="s">
        <v>23</v>
      </c>
      <c r="B24">
        <v>50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55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67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47</v>
      </c>
    </row>
    <row r="32" spans="1:2" x14ac:dyDescent="0.25">
      <c r="A32" t="s">
        <v>31</v>
      </c>
      <c r="B32">
        <v>40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44</v>
      </c>
    </row>
    <row r="38" spans="1:2" x14ac:dyDescent="0.25">
      <c r="A38" t="s">
        <v>37</v>
      </c>
      <c r="B38">
        <v>41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66</v>
      </c>
    </row>
    <row r="41" spans="1:2" x14ac:dyDescent="0.25">
      <c r="A41" t="s">
        <v>40</v>
      </c>
      <c r="B41">
        <v>72</v>
      </c>
    </row>
    <row r="42" spans="1:2" x14ac:dyDescent="0.25">
      <c r="A42" s="1"/>
    </row>
    <row r="43" spans="1:2" x14ac:dyDescent="0.25">
      <c r="A43" s="1"/>
    </row>
    <row r="44" spans="1:2" x14ac:dyDescent="0.25">
      <c r="A44" s="1"/>
    </row>
    <row r="45" spans="1:2" x14ac:dyDescent="0.25">
      <c r="A45" s="1"/>
    </row>
    <row r="46" spans="1:2" x14ac:dyDescent="0.25">
      <c r="A46" s="1"/>
    </row>
    <row r="47" spans="1:2" x14ac:dyDescent="0.25">
      <c r="A47" s="1"/>
    </row>
    <row r="48" spans="1:2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93"/>
  <sheetViews>
    <sheetView topLeftCell="A24" workbookViewId="0">
      <selection activeCell="B34" sqref="B34"/>
    </sheetView>
  </sheetViews>
  <sheetFormatPr defaultRowHeight="15" x14ac:dyDescent="0.25"/>
  <cols>
    <col min="1" max="1" width="24.85546875" customWidth="1"/>
    <col min="2" max="2" width="22.42578125" bestFit="1" customWidth="1"/>
  </cols>
  <sheetData>
    <row r="1" spans="1:2" x14ac:dyDescent="0.25">
      <c r="A1" t="s">
        <v>0</v>
      </c>
      <c r="B1" t="s">
        <v>52</v>
      </c>
    </row>
    <row r="2" spans="1:2" x14ac:dyDescent="0.25">
      <c r="A2" t="s">
        <v>43</v>
      </c>
      <c r="B2">
        <v>2</v>
      </c>
    </row>
    <row r="3" spans="1:2" x14ac:dyDescent="0.25">
      <c r="A3" t="s">
        <v>44</v>
      </c>
      <c r="B3">
        <v>3</v>
      </c>
    </row>
    <row r="4" spans="1:2" x14ac:dyDescent="0.25">
      <c r="A4" t="s">
        <v>45</v>
      </c>
      <c r="B4">
        <v>2</v>
      </c>
    </row>
    <row r="5" spans="1:2" x14ac:dyDescent="0.25">
      <c r="A5" t="s">
        <v>46</v>
      </c>
      <c r="B5">
        <v>2</v>
      </c>
    </row>
    <row r="6" spans="1:2" x14ac:dyDescent="0.25">
      <c r="A6" t="s">
        <v>47</v>
      </c>
      <c r="B6">
        <v>2</v>
      </c>
    </row>
    <row r="7" spans="1:2" x14ac:dyDescent="0.25">
      <c r="A7" t="s">
        <v>6</v>
      </c>
      <c r="B7">
        <v>5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5</v>
      </c>
    </row>
    <row r="10" spans="1:2" x14ac:dyDescent="0.25">
      <c r="A10" t="s">
        <v>9</v>
      </c>
      <c r="B10">
        <v>5</v>
      </c>
    </row>
    <row r="11" spans="1:2" x14ac:dyDescent="0.25">
      <c r="A11" t="s">
        <v>10</v>
      </c>
      <c r="B11">
        <v>5</v>
      </c>
    </row>
    <row r="12" spans="1:2" x14ac:dyDescent="0.25">
      <c r="A12" t="s">
        <v>11</v>
      </c>
      <c r="B12">
        <v>5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5</v>
      </c>
    </row>
    <row r="15" spans="1:2" x14ac:dyDescent="0.25">
      <c r="A15" t="s">
        <v>14</v>
      </c>
      <c r="B15">
        <v>5</v>
      </c>
    </row>
    <row r="16" spans="1:2" x14ac:dyDescent="0.25">
      <c r="A16" t="s">
        <v>15</v>
      </c>
      <c r="B16">
        <v>5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3</v>
      </c>
    </row>
    <row r="19" spans="1:2" x14ac:dyDescent="0.25">
      <c r="A19" t="s">
        <v>18</v>
      </c>
      <c r="B19">
        <v>5</v>
      </c>
    </row>
    <row r="20" spans="1:2" x14ac:dyDescent="0.25">
      <c r="A20" t="s">
        <v>19</v>
      </c>
      <c r="B20">
        <v>4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</v>
      </c>
    </row>
    <row r="23" spans="1:2" x14ac:dyDescent="0.25">
      <c r="A23" t="s">
        <v>22</v>
      </c>
      <c r="B23">
        <v>1</v>
      </c>
    </row>
    <row r="24" spans="1:2" x14ac:dyDescent="0.25">
      <c r="A24" t="s">
        <v>23</v>
      </c>
      <c r="B24">
        <v>5</v>
      </c>
    </row>
    <row r="25" spans="1:2" x14ac:dyDescent="0.25">
      <c r="A25" t="s">
        <v>24</v>
      </c>
      <c r="B25">
        <v>3</v>
      </c>
    </row>
    <row r="26" spans="1:2" x14ac:dyDescent="0.25">
      <c r="A26" t="s">
        <v>25</v>
      </c>
      <c r="B26">
        <v>5</v>
      </c>
    </row>
    <row r="27" spans="1:2" x14ac:dyDescent="0.25">
      <c r="A27" t="s">
        <v>26</v>
      </c>
      <c r="B27">
        <v>5</v>
      </c>
    </row>
    <row r="28" spans="1:2" x14ac:dyDescent="0.25">
      <c r="A28" t="s">
        <v>27</v>
      </c>
      <c r="B28">
        <v>2</v>
      </c>
    </row>
    <row r="29" spans="1:2" x14ac:dyDescent="0.25">
      <c r="A29" t="s">
        <v>28</v>
      </c>
      <c r="B29">
        <v>3</v>
      </c>
    </row>
    <row r="30" spans="1:2" x14ac:dyDescent="0.25">
      <c r="A30" t="s">
        <v>29</v>
      </c>
      <c r="B30">
        <v>5</v>
      </c>
    </row>
    <row r="31" spans="1:2" x14ac:dyDescent="0.25">
      <c r="A31" t="s">
        <v>30</v>
      </c>
      <c r="B31">
        <v>5</v>
      </c>
    </row>
    <row r="32" spans="1:2" x14ac:dyDescent="0.25">
      <c r="A32" t="s">
        <v>31</v>
      </c>
      <c r="B32">
        <v>2</v>
      </c>
    </row>
    <row r="33" spans="1:2" x14ac:dyDescent="0.25">
      <c r="A33" t="s">
        <v>32</v>
      </c>
      <c r="B33">
        <v>5</v>
      </c>
    </row>
    <row r="34" spans="1:2" x14ac:dyDescent="0.25">
      <c r="A34" t="s">
        <v>33</v>
      </c>
      <c r="B34">
        <v>5</v>
      </c>
    </row>
    <row r="35" spans="1:2" x14ac:dyDescent="0.25">
      <c r="A35" t="s">
        <v>34</v>
      </c>
      <c r="B35">
        <v>5</v>
      </c>
    </row>
    <row r="36" spans="1:2" x14ac:dyDescent="0.25">
      <c r="A36" t="s">
        <v>35</v>
      </c>
      <c r="B36">
        <v>5</v>
      </c>
    </row>
    <row r="37" spans="1:2" x14ac:dyDescent="0.25">
      <c r="A37" t="s">
        <v>36</v>
      </c>
      <c r="B37">
        <v>5</v>
      </c>
    </row>
    <row r="38" spans="1:2" x14ac:dyDescent="0.25">
      <c r="A38" t="s">
        <v>37</v>
      </c>
      <c r="B38">
        <v>5</v>
      </c>
    </row>
    <row r="39" spans="1:2" x14ac:dyDescent="0.25">
      <c r="A39" t="s">
        <v>38</v>
      </c>
      <c r="B39">
        <v>1</v>
      </c>
    </row>
    <row r="40" spans="1:2" x14ac:dyDescent="0.25">
      <c r="A40" t="s">
        <v>39</v>
      </c>
      <c r="B40">
        <v>5</v>
      </c>
    </row>
    <row r="41" spans="1:2" x14ac:dyDescent="0.25">
      <c r="A41" t="s">
        <v>40</v>
      </c>
      <c r="B41">
        <v>5</v>
      </c>
    </row>
    <row r="42" spans="1:2" x14ac:dyDescent="0.25">
      <c r="A42" s="1"/>
    </row>
    <row r="43" spans="1:2" x14ac:dyDescent="0.25">
      <c r="A43" s="1"/>
    </row>
    <row r="44" spans="1:2" x14ac:dyDescent="0.25">
      <c r="A44" s="1"/>
    </row>
    <row r="45" spans="1:2" x14ac:dyDescent="0.25">
      <c r="A45" s="1"/>
    </row>
    <row r="46" spans="1:2" x14ac:dyDescent="0.25">
      <c r="A46" s="1"/>
    </row>
    <row r="47" spans="1:2" x14ac:dyDescent="0.25">
      <c r="A47" s="1"/>
    </row>
    <row r="48" spans="1:2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3"/>
  <sheetViews>
    <sheetView workbookViewId="0">
      <selection activeCell="F35" sqref="F35"/>
    </sheetView>
  </sheetViews>
  <sheetFormatPr defaultColWidth="23.28515625" defaultRowHeight="15" x14ac:dyDescent="0.25"/>
  <sheetData>
    <row r="1" spans="1:3" x14ac:dyDescent="0.25">
      <c r="A1" t="s">
        <v>0</v>
      </c>
      <c r="B1" t="s">
        <v>53</v>
      </c>
      <c r="C1" t="s">
        <v>54</v>
      </c>
    </row>
    <row r="2" spans="1:3" x14ac:dyDescent="0.25">
      <c r="A2" s="1" t="s">
        <v>43</v>
      </c>
      <c r="B2" s="3">
        <v>0</v>
      </c>
      <c r="C2">
        <v>1</v>
      </c>
    </row>
    <row r="3" spans="1:3" x14ac:dyDescent="0.25">
      <c r="A3" s="1" t="s">
        <v>44</v>
      </c>
      <c r="B3" s="3">
        <v>0</v>
      </c>
      <c r="C3">
        <v>1</v>
      </c>
    </row>
    <row r="4" spans="1:3" x14ac:dyDescent="0.25">
      <c r="A4" s="1" t="s">
        <v>45</v>
      </c>
      <c r="B4" s="3">
        <v>0</v>
      </c>
      <c r="C4">
        <v>1</v>
      </c>
    </row>
    <row r="5" spans="1:3" x14ac:dyDescent="0.25">
      <c r="A5" s="1" t="s">
        <v>46</v>
      </c>
      <c r="B5" s="3">
        <v>0</v>
      </c>
      <c r="C5">
        <v>1</v>
      </c>
    </row>
    <row r="6" spans="1:3" x14ac:dyDescent="0.25">
      <c r="A6" s="1" t="s">
        <v>47</v>
      </c>
      <c r="B6" s="3">
        <v>0</v>
      </c>
      <c r="C6">
        <v>1</v>
      </c>
    </row>
    <row r="7" spans="1:3" x14ac:dyDescent="0.25">
      <c r="A7" s="1" t="s">
        <v>6</v>
      </c>
      <c r="B7" s="3">
        <f>13.9+30.6</f>
        <v>44.5</v>
      </c>
      <c r="C7">
        <v>22.9</v>
      </c>
    </row>
    <row r="8" spans="1:3" x14ac:dyDescent="0.25">
      <c r="A8" s="1" t="s">
        <v>7</v>
      </c>
      <c r="B8" s="3">
        <v>35</v>
      </c>
      <c r="C8">
        <v>38</v>
      </c>
    </row>
    <row r="9" spans="1:3" x14ac:dyDescent="0.25">
      <c r="A9" s="1" t="s">
        <v>8</v>
      </c>
      <c r="B9" s="3">
        <v>37</v>
      </c>
      <c r="C9">
        <v>23</v>
      </c>
    </row>
    <row r="10" spans="1:3" x14ac:dyDescent="0.25">
      <c r="A10" s="1" t="s">
        <v>9</v>
      </c>
      <c r="B10" s="3">
        <v>26</v>
      </c>
      <c r="C10">
        <v>41</v>
      </c>
    </row>
    <row r="11" spans="1:3" x14ac:dyDescent="0.25">
      <c r="A11" s="1" t="s">
        <v>10</v>
      </c>
      <c r="B11" s="3">
        <v>35</v>
      </c>
      <c r="C11">
        <v>27</v>
      </c>
    </row>
    <row r="12" spans="1:3" x14ac:dyDescent="0.25">
      <c r="A12" s="1" t="s">
        <v>11</v>
      </c>
      <c r="B12" s="3">
        <v>57</v>
      </c>
      <c r="C12">
        <v>12</v>
      </c>
    </row>
    <row r="13" spans="1:3" x14ac:dyDescent="0.25">
      <c r="A13" s="1" t="s">
        <v>12</v>
      </c>
      <c r="B13" s="3">
        <v>55</v>
      </c>
      <c r="C13">
        <v>26</v>
      </c>
    </row>
    <row r="14" spans="1:3" x14ac:dyDescent="0.25">
      <c r="A14" s="1" t="s">
        <v>13</v>
      </c>
      <c r="B14" s="3">
        <v>49</v>
      </c>
      <c r="C14">
        <v>21</v>
      </c>
    </row>
    <row r="15" spans="1:3" x14ac:dyDescent="0.25">
      <c r="A15" s="1" t="s">
        <v>14</v>
      </c>
      <c r="B15" s="3">
        <v>50</v>
      </c>
      <c r="C15">
        <v>23</v>
      </c>
    </row>
    <row r="16" spans="1:3" x14ac:dyDescent="0.25">
      <c r="A16" s="1" t="s">
        <v>15</v>
      </c>
      <c r="B16" s="3">
        <v>46</v>
      </c>
      <c r="C16">
        <v>21</v>
      </c>
    </row>
    <row r="17" spans="1:3" x14ac:dyDescent="0.25">
      <c r="A17" s="1" t="s">
        <v>16</v>
      </c>
      <c r="B17" s="3">
        <v>40</v>
      </c>
      <c r="C17">
        <v>28</v>
      </c>
    </row>
    <row r="18" spans="1:3" x14ac:dyDescent="0.25">
      <c r="A18" s="1" t="s">
        <v>17</v>
      </c>
      <c r="B18" s="3">
        <v>0</v>
      </c>
      <c r="C18">
        <v>0</v>
      </c>
    </row>
    <row r="19" spans="1:3" x14ac:dyDescent="0.25">
      <c r="A19" s="1" t="s">
        <v>18</v>
      </c>
      <c r="B19" s="3">
        <v>49</v>
      </c>
      <c r="C19">
        <v>22</v>
      </c>
    </row>
    <row r="20" spans="1:3" x14ac:dyDescent="0.25">
      <c r="A20" s="1" t="s">
        <v>19</v>
      </c>
      <c r="B20" s="3">
        <v>26</v>
      </c>
      <c r="C20">
        <v>37</v>
      </c>
    </row>
    <row r="21" spans="1:3" x14ac:dyDescent="0.25">
      <c r="A21" s="1" t="s">
        <v>20</v>
      </c>
      <c r="B21" s="3">
        <v>57</v>
      </c>
      <c r="C21">
        <v>19</v>
      </c>
    </row>
    <row r="22" spans="1:3" x14ac:dyDescent="0.25">
      <c r="A22" s="1" t="s">
        <v>21</v>
      </c>
      <c r="B22" s="3">
        <v>52.4</v>
      </c>
      <c r="C22">
        <v>42.6</v>
      </c>
    </row>
    <row r="23" spans="1:3" x14ac:dyDescent="0.25">
      <c r="A23" s="1" t="s">
        <v>22</v>
      </c>
      <c r="B23" s="3">
        <v>28</v>
      </c>
      <c r="C23">
        <v>39</v>
      </c>
    </row>
    <row r="24" spans="1:3" x14ac:dyDescent="0.25">
      <c r="A24" s="1" t="s">
        <v>23</v>
      </c>
      <c r="B24" s="3">
        <v>25</v>
      </c>
      <c r="C24">
        <v>36</v>
      </c>
    </row>
    <row r="25" spans="1:3" x14ac:dyDescent="0.25">
      <c r="A25" s="1" t="s">
        <v>24</v>
      </c>
      <c r="B25" s="3">
        <f>16+23.8</f>
        <v>39.799999999999997</v>
      </c>
      <c r="C25">
        <f>15.1+25</f>
        <v>40.1</v>
      </c>
    </row>
    <row r="26" spans="1:3" x14ac:dyDescent="0.25">
      <c r="A26" s="1" t="s">
        <v>25</v>
      </c>
      <c r="B26" s="3">
        <v>67.099999999999994</v>
      </c>
      <c r="C26">
        <v>32.9</v>
      </c>
    </row>
    <row r="27" spans="1:3" x14ac:dyDescent="0.25">
      <c r="A27" s="1" t="s">
        <v>26</v>
      </c>
      <c r="B27" s="3">
        <v>45</v>
      </c>
      <c r="C27">
        <v>28</v>
      </c>
    </row>
    <row r="28" spans="1:3" x14ac:dyDescent="0.25">
      <c r="A28" s="1" t="s">
        <v>27</v>
      </c>
      <c r="B28" s="3">
        <v>0</v>
      </c>
      <c r="C28">
        <v>0</v>
      </c>
    </row>
    <row r="29" spans="1:3" x14ac:dyDescent="0.25">
      <c r="A29" s="1" t="s">
        <v>28</v>
      </c>
      <c r="B29" s="3">
        <v>41</v>
      </c>
      <c r="C29">
        <v>23</v>
      </c>
    </row>
    <row r="30" spans="1:3" x14ac:dyDescent="0.25">
      <c r="A30" s="1" t="s">
        <v>29</v>
      </c>
      <c r="B30" s="3">
        <v>0</v>
      </c>
      <c r="C30">
        <v>0</v>
      </c>
    </row>
    <row r="31" spans="1:3" x14ac:dyDescent="0.25">
      <c r="A31" s="1" t="s">
        <v>30</v>
      </c>
      <c r="B31" s="3">
        <v>55</v>
      </c>
      <c r="C31">
        <v>16</v>
      </c>
    </row>
    <row r="32" spans="1:3" x14ac:dyDescent="0.25">
      <c r="A32" s="1" t="s">
        <v>31</v>
      </c>
      <c r="B32" s="3">
        <v>0</v>
      </c>
      <c r="C32">
        <v>0</v>
      </c>
    </row>
    <row r="33" spans="1:3" x14ac:dyDescent="0.25">
      <c r="A33" s="1" t="s">
        <v>32</v>
      </c>
      <c r="B33" s="3">
        <v>51</v>
      </c>
      <c r="C33">
        <v>16</v>
      </c>
    </row>
    <row r="34" spans="1:3" x14ac:dyDescent="0.25">
      <c r="A34" s="1" t="s">
        <v>33</v>
      </c>
      <c r="B34" s="3">
        <f>16.1+25.3</f>
        <v>41.400000000000006</v>
      </c>
      <c r="C34">
        <v>35.9</v>
      </c>
    </row>
    <row r="35" spans="1:3" x14ac:dyDescent="0.25">
      <c r="A35" s="1" t="s">
        <v>34</v>
      </c>
      <c r="B35" s="3">
        <v>46</v>
      </c>
      <c r="C35">
        <v>27</v>
      </c>
    </row>
    <row r="36" spans="1:3" x14ac:dyDescent="0.25">
      <c r="A36" s="1" t="s">
        <v>35</v>
      </c>
      <c r="B36" s="3">
        <v>42</v>
      </c>
      <c r="C36">
        <v>27</v>
      </c>
    </row>
    <row r="37" spans="1:3" x14ac:dyDescent="0.25">
      <c r="A37" s="1" t="s">
        <v>36</v>
      </c>
      <c r="B37" s="3">
        <v>32</v>
      </c>
      <c r="C37">
        <v>42</v>
      </c>
    </row>
    <row r="38" spans="1:3" x14ac:dyDescent="0.25">
      <c r="A38" s="1" t="s">
        <v>37</v>
      </c>
      <c r="B38" s="3">
        <v>48</v>
      </c>
      <c r="C38">
        <v>28</v>
      </c>
    </row>
    <row r="39" spans="1:3" x14ac:dyDescent="0.25">
      <c r="A39" s="1" t="s">
        <v>38</v>
      </c>
      <c r="B39" s="3">
        <v>53</v>
      </c>
      <c r="C39">
        <v>43</v>
      </c>
    </row>
    <row r="40" spans="1:3" x14ac:dyDescent="0.25">
      <c r="A40" s="1" t="s">
        <v>39</v>
      </c>
      <c r="B40" s="3">
        <v>37</v>
      </c>
      <c r="C40">
        <v>25</v>
      </c>
    </row>
    <row r="41" spans="1:3" x14ac:dyDescent="0.25">
      <c r="A41" s="1" t="s">
        <v>40</v>
      </c>
      <c r="B41" s="3">
        <v>36</v>
      </c>
      <c r="C41">
        <v>27</v>
      </c>
    </row>
    <row r="42" spans="1:3" x14ac:dyDescent="0.25">
      <c r="A42" s="1"/>
      <c r="B42" s="3"/>
    </row>
    <row r="43" spans="1:3" x14ac:dyDescent="0.25">
      <c r="A43" s="1"/>
      <c r="B43" s="3"/>
    </row>
    <row r="44" spans="1:3" x14ac:dyDescent="0.25">
      <c r="A44" s="1"/>
      <c r="B44" s="3"/>
    </row>
    <row r="45" spans="1:3" x14ac:dyDescent="0.25">
      <c r="A45" s="1"/>
      <c r="B45" s="3"/>
    </row>
    <row r="46" spans="1:3" x14ac:dyDescent="0.25">
      <c r="A46" s="1"/>
      <c r="B46" s="3"/>
    </row>
    <row r="47" spans="1:3" x14ac:dyDescent="0.25">
      <c r="A47" s="1"/>
      <c r="B47" s="3"/>
    </row>
    <row r="48" spans="1:3" x14ac:dyDescent="0.25">
      <c r="A48" s="1"/>
      <c r="B48" s="3"/>
    </row>
    <row r="49" spans="1:2" x14ac:dyDescent="0.25">
      <c r="A49" s="1"/>
      <c r="B49" s="3"/>
    </row>
    <row r="50" spans="1:2" x14ac:dyDescent="0.25">
      <c r="A50" s="1"/>
      <c r="B50" s="3"/>
    </row>
    <row r="51" spans="1:2" x14ac:dyDescent="0.25">
      <c r="A51" s="1"/>
      <c r="B51" s="3"/>
    </row>
    <row r="52" spans="1:2" x14ac:dyDescent="0.25">
      <c r="A52" s="1"/>
      <c r="B52" s="3"/>
    </row>
    <row r="53" spans="1:2" x14ac:dyDescent="0.25">
      <c r="A53" s="1"/>
      <c r="B53" s="3"/>
    </row>
    <row r="54" spans="1:2" x14ac:dyDescent="0.25">
      <c r="A54" s="1"/>
      <c r="B54" s="3"/>
    </row>
    <row r="55" spans="1:2" x14ac:dyDescent="0.25">
      <c r="A55" s="1"/>
      <c r="B55" s="3"/>
    </row>
    <row r="56" spans="1:2" x14ac:dyDescent="0.25">
      <c r="A56" s="1"/>
      <c r="B56" s="3"/>
    </row>
    <row r="57" spans="1:2" x14ac:dyDescent="0.25">
      <c r="A57" s="1"/>
      <c r="B57" s="3"/>
    </row>
    <row r="58" spans="1:2" x14ac:dyDescent="0.25">
      <c r="A58" s="1"/>
      <c r="B58" s="3"/>
    </row>
    <row r="59" spans="1:2" x14ac:dyDescent="0.25">
      <c r="A59" s="1"/>
      <c r="B59" s="3"/>
    </row>
    <row r="60" spans="1:2" x14ac:dyDescent="0.25">
      <c r="A60" s="1"/>
      <c r="B60" s="3"/>
    </row>
    <row r="61" spans="1:2" x14ac:dyDescent="0.25">
      <c r="A61" s="1"/>
      <c r="B61" s="3"/>
    </row>
    <row r="62" spans="1:2" x14ac:dyDescent="0.25">
      <c r="A62" s="1"/>
      <c r="B62" s="3"/>
    </row>
    <row r="63" spans="1:2" x14ac:dyDescent="0.25">
      <c r="A63" s="1"/>
      <c r="B63" s="3"/>
    </row>
    <row r="64" spans="1:2" x14ac:dyDescent="0.25">
      <c r="A64" s="1"/>
      <c r="B64" s="3"/>
    </row>
    <row r="65" spans="1:2" x14ac:dyDescent="0.25">
      <c r="A65" s="1"/>
      <c r="B65" s="3"/>
    </row>
    <row r="66" spans="1:2" x14ac:dyDescent="0.25">
      <c r="A66" s="1"/>
      <c r="B66" s="3"/>
    </row>
    <row r="67" spans="1:2" x14ac:dyDescent="0.25">
      <c r="A67" s="1"/>
      <c r="B67" s="3"/>
    </row>
    <row r="68" spans="1:2" x14ac:dyDescent="0.25">
      <c r="A68" s="1"/>
      <c r="B68" s="3"/>
    </row>
    <row r="69" spans="1:2" x14ac:dyDescent="0.25">
      <c r="A69" s="1"/>
      <c r="B69" s="3"/>
    </row>
    <row r="70" spans="1:2" x14ac:dyDescent="0.25">
      <c r="A70" s="1"/>
      <c r="B70" s="3"/>
    </row>
    <row r="71" spans="1:2" x14ac:dyDescent="0.25">
      <c r="A71" s="1"/>
      <c r="B71" s="3"/>
    </row>
    <row r="72" spans="1:2" x14ac:dyDescent="0.25">
      <c r="A72" s="1"/>
      <c r="B72" s="3"/>
    </row>
    <row r="73" spans="1:2" x14ac:dyDescent="0.25">
      <c r="A73" s="1"/>
      <c r="B73" s="3"/>
    </row>
    <row r="74" spans="1:2" x14ac:dyDescent="0.25">
      <c r="A74" s="1"/>
      <c r="B74" s="3"/>
    </row>
    <row r="75" spans="1:2" x14ac:dyDescent="0.25">
      <c r="A75" s="1"/>
      <c r="B75" s="3"/>
    </row>
    <row r="76" spans="1:2" x14ac:dyDescent="0.25">
      <c r="A76" s="1"/>
      <c r="B76" s="3"/>
    </row>
    <row r="77" spans="1:2" x14ac:dyDescent="0.25">
      <c r="A77" s="1"/>
      <c r="B77" s="3"/>
    </row>
    <row r="78" spans="1:2" x14ac:dyDescent="0.25">
      <c r="A78" s="1"/>
      <c r="B78" s="3"/>
    </row>
    <row r="79" spans="1:2" x14ac:dyDescent="0.25">
      <c r="A79" s="1"/>
      <c r="B79" s="3"/>
    </row>
    <row r="80" spans="1:2" x14ac:dyDescent="0.25">
      <c r="A80" s="1"/>
      <c r="B80" s="3"/>
    </row>
    <row r="81" spans="1:2" x14ac:dyDescent="0.25">
      <c r="A81" s="1"/>
      <c r="B81" s="3"/>
    </row>
    <row r="82" spans="1:2" x14ac:dyDescent="0.25">
      <c r="A82" s="1"/>
      <c r="B82" s="3"/>
    </row>
    <row r="83" spans="1:2" x14ac:dyDescent="0.25">
      <c r="A83" s="1"/>
      <c r="B83" s="3"/>
    </row>
    <row r="84" spans="1:2" x14ac:dyDescent="0.25">
      <c r="A84" s="1"/>
      <c r="B84" s="3"/>
    </row>
    <row r="85" spans="1:2" x14ac:dyDescent="0.25">
      <c r="A85" s="1"/>
      <c r="B85" s="3"/>
    </row>
    <row r="86" spans="1:2" x14ac:dyDescent="0.25">
      <c r="A86" s="1"/>
      <c r="B86" s="3"/>
    </row>
    <row r="87" spans="1:2" x14ac:dyDescent="0.25">
      <c r="A87" s="1"/>
      <c r="B87" s="3"/>
    </row>
    <row r="88" spans="1:2" x14ac:dyDescent="0.25">
      <c r="A88" s="1"/>
      <c r="B88" s="3"/>
    </row>
    <row r="89" spans="1:2" x14ac:dyDescent="0.25">
      <c r="A89" s="1"/>
      <c r="B89" s="3"/>
    </row>
    <row r="90" spans="1:2" x14ac:dyDescent="0.25">
      <c r="A90" s="1"/>
      <c r="B90" s="3"/>
    </row>
    <row r="91" spans="1:2" x14ac:dyDescent="0.25">
      <c r="A91" s="1"/>
      <c r="B91" s="3"/>
    </row>
    <row r="92" spans="1:2" x14ac:dyDescent="0.25">
      <c r="A92" s="1"/>
      <c r="B92" s="3"/>
    </row>
    <row r="93" spans="1:2" x14ac:dyDescent="0.25">
      <c r="A93" s="1"/>
      <c r="B93" s="3"/>
    </row>
    <row r="94" spans="1:2" x14ac:dyDescent="0.25">
      <c r="A94" s="1"/>
      <c r="B94" s="3"/>
    </row>
    <row r="95" spans="1:2" x14ac:dyDescent="0.25">
      <c r="A95" s="1"/>
      <c r="B95" s="3"/>
    </row>
    <row r="96" spans="1:2" x14ac:dyDescent="0.25">
      <c r="A96" s="1"/>
      <c r="B96" s="3"/>
    </row>
    <row r="97" spans="1:2" x14ac:dyDescent="0.25">
      <c r="A97" s="1"/>
      <c r="B97" s="3"/>
    </row>
    <row r="98" spans="1:2" x14ac:dyDescent="0.25">
      <c r="A98" s="1"/>
      <c r="B98" s="3"/>
    </row>
    <row r="99" spans="1:2" x14ac:dyDescent="0.25">
      <c r="A99" s="1"/>
      <c r="B99" s="3"/>
    </row>
    <row r="100" spans="1:2" x14ac:dyDescent="0.25">
      <c r="A100" s="1"/>
      <c r="B100" s="3"/>
    </row>
    <row r="101" spans="1:2" x14ac:dyDescent="0.25">
      <c r="A101" s="1"/>
      <c r="B101" s="3"/>
    </row>
    <row r="102" spans="1:2" x14ac:dyDescent="0.25">
      <c r="A102" s="1"/>
      <c r="B102" s="3"/>
    </row>
    <row r="103" spans="1:2" x14ac:dyDescent="0.25">
      <c r="A103" s="1"/>
      <c r="B103" s="3"/>
    </row>
    <row r="104" spans="1:2" x14ac:dyDescent="0.25">
      <c r="A104" s="1"/>
      <c r="B104" s="3"/>
    </row>
    <row r="105" spans="1:2" x14ac:dyDescent="0.25">
      <c r="A105" s="1"/>
      <c r="B105" s="3"/>
    </row>
    <row r="106" spans="1:2" x14ac:dyDescent="0.25">
      <c r="A106" s="1"/>
      <c r="B106" s="3"/>
    </row>
    <row r="107" spans="1:2" x14ac:dyDescent="0.25">
      <c r="A107" s="1"/>
      <c r="B107" s="3"/>
    </row>
    <row r="108" spans="1:2" x14ac:dyDescent="0.25">
      <c r="A108" s="1"/>
      <c r="B108" s="3"/>
    </row>
    <row r="109" spans="1:2" x14ac:dyDescent="0.25">
      <c r="A109" s="1"/>
      <c r="B109" s="3"/>
    </row>
    <row r="110" spans="1:2" x14ac:dyDescent="0.25">
      <c r="A110" s="1"/>
      <c r="B110" s="3"/>
    </row>
    <row r="111" spans="1:2" x14ac:dyDescent="0.25">
      <c r="A111" s="1"/>
      <c r="B111" s="3"/>
    </row>
    <row r="112" spans="1:2" x14ac:dyDescent="0.25">
      <c r="A112" s="1"/>
      <c r="B112" s="3"/>
    </row>
    <row r="113" spans="1:2" x14ac:dyDescent="0.25">
      <c r="A113" s="1"/>
      <c r="B113" s="3"/>
    </row>
    <row r="114" spans="1:2" x14ac:dyDescent="0.25">
      <c r="A114" s="1"/>
      <c r="B114" s="3"/>
    </row>
    <row r="115" spans="1:2" x14ac:dyDescent="0.25">
      <c r="A115" s="1"/>
      <c r="B115" s="3"/>
    </row>
    <row r="116" spans="1:2" x14ac:dyDescent="0.25">
      <c r="A116" s="1"/>
      <c r="B116" s="3"/>
    </row>
    <row r="117" spans="1:2" x14ac:dyDescent="0.25">
      <c r="A117" s="1"/>
      <c r="B117" s="3"/>
    </row>
    <row r="118" spans="1:2" x14ac:dyDescent="0.25">
      <c r="A118" s="1"/>
      <c r="B118" s="3"/>
    </row>
    <row r="119" spans="1:2" x14ac:dyDescent="0.25">
      <c r="A119" s="1"/>
      <c r="B119" s="3"/>
    </row>
    <row r="120" spans="1:2" x14ac:dyDescent="0.25">
      <c r="A120" s="1"/>
      <c r="B120" s="3"/>
    </row>
    <row r="121" spans="1:2" x14ac:dyDescent="0.25">
      <c r="A121" s="1"/>
      <c r="B121" s="3"/>
    </row>
    <row r="122" spans="1:2" x14ac:dyDescent="0.25">
      <c r="A122" s="1"/>
      <c r="B122" s="3"/>
    </row>
    <row r="123" spans="1:2" x14ac:dyDescent="0.25">
      <c r="A123" s="1"/>
      <c r="B123" s="3"/>
    </row>
    <row r="124" spans="1:2" x14ac:dyDescent="0.25">
      <c r="A124" s="1"/>
      <c r="B124" s="3"/>
    </row>
    <row r="125" spans="1:2" x14ac:dyDescent="0.25">
      <c r="A125" s="1"/>
      <c r="B125" s="3"/>
    </row>
    <row r="126" spans="1:2" x14ac:dyDescent="0.25">
      <c r="A126" s="1"/>
      <c r="B126" s="3"/>
    </row>
    <row r="127" spans="1:2" x14ac:dyDescent="0.25">
      <c r="A127" s="1"/>
      <c r="B127" s="3"/>
    </row>
    <row r="128" spans="1:2" x14ac:dyDescent="0.25">
      <c r="A128" s="1"/>
      <c r="B128" s="3"/>
    </row>
    <row r="129" spans="1:2" x14ac:dyDescent="0.25">
      <c r="A129" s="1"/>
      <c r="B129" s="3"/>
    </row>
    <row r="130" spans="1:2" x14ac:dyDescent="0.25">
      <c r="A130" s="1"/>
      <c r="B130" s="3"/>
    </row>
    <row r="131" spans="1:2" x14ac:dyDescent="0.25">
      <c r="A131" s="1"/>
      <c r="B131" s="3"/>
    </row>
    <row r="132" spans="1:2" x14ac:dyDescent="0.25">
      <c r="A132" s="1"/>
      <c r="B132" s="3"/>
    </row>
    <row r="133" spans="1:2" x14ac:dyDescent="0.25">
      <c r="A133" s="1"/>
      <c r="B133" s="3"/>
    </row>
    <row r="134" spans="1:2" x14ac:dyDescent="0.25">
      <c r="A134" s="1"/>
      <c r="B134" s="3"/>
    </row>
    <row r="135" spans="1:2" x14ac:dyDescent="0.25">
      <c r="A135" s="1"/>
      <c r="B135" s="3"/>
    </row>
    <row r="136" spans="1:2" x14ac:dyDescent="0.25">
      <c r="A136" s="1"/>
      <c r="B136" s="3"/>
    </row>
    <row r="137" spans="1:2" x14ac:dyDescent="0.25">
      <c r="A137" s="1"/>
      <c r="B137" s="3"/>
    </row>
    <row r="138" spans="1:2" x14ac:dyDescent="0.25">
      <c r="A138" s="1"/>
      <c r="B138" s="3"/>
    </row>
    <row r="139" spans="1:2" x14ac:dyDescent="0.25">
      <c r="A139" s="1"/>
      <c r="B139" s="3"/>
    </row>
    <row r="140" spans="1:2" x14ac:dyDescent="0.25">
      <c r="A140" s="1"/>
      <c r="B140" s="3"/>
    </row>
    <row r="141" spans="1:2" x14ac:dyDescent="0.25">
      <c r="A141" s="1"/>
      <c r="B141" s="3"/>
    </row>
    <row r="142" spans="1:2" x14ac:dyDescent="0.25">
      <c r="A142" s="1"/>
      <c r="B142" s="3"/>
    </row>
    <row r="143" spans="1:2" x14ac:dyDescent="0.25">
      <c r="A143" s="1"/>
      <c r="B143" s="3"/>
    </row>
    <row r="144" spans="1:2" x14ac:dyDescent="0.25">
      <c r="A144" s="1"/>
      <c r="B144" s="3"/>
    </row>
    <row r="145" spans="1:2" x14ac:dyDescent="0.25">
      <c r="A145" s="1"/>
      <c r="B145" s="3"/>
    </row>
    <row r="146" spans="1:2" x14ac:dyDescent="0.25">
      <c r="A146" s="1"/>
      <c r="B146" s="3"/>
    </row>
    <row r="147" spans="1:2" x14ac:dyDescent="0.25">
      <c r="A147" s="1"/>
      <c r="B147" s="3"/>
    </row>
    <row r="148" spans="1:2" x14ac:dyDescent="0.25">
      <c r="A148" s="1"/>
      <c r="B148" s="3"/>
    </row>
    <row r="149" spans="1:2" x14ac:dyDescent="0.25">
      <c r="A149" s="1"/>
      <c r="B149" s="3"/>
    </row>
    <row r="150" spans="1:2" x14ac:dyDescent="0.25">
      <c r="A150" s="1"/>
      <c r="B150" s="3"/>
    </row>
    <row r="151" spans="1:2" x14ac:dyDescent="0.25">
      <c r="A151" s="1"/>
      <c r="B151" s="3"/>
    </row>
    <row r="152" spans="1:2" x14ac:dyDescent="0.25">
      <c r="A152" s="1"/>
      <c r="B152" s="3"/>
    </row>
    <row r="153" spans="1:2" x14ac:dyDescent="0.25">
      <c r="A153" s="1"/>
      <c r="B153" s="3"/>
    </row>
    <row r="154" spans="1:2" x14ac:dyDescent="0.25">
      <c r="A154" s="1"/>
      <c r="B154" s="3"/>
    </row>
    <row r="155" spans="1:2" x14ac:dyDescent="0.25">
      <c r="A155" s="1"/>
      <c r="B155" s="3"/>
    </row>
    <row r="156" spans="1:2" x14ac:dyDescent="0.25">
      <c r="A156" s="1"/>
      <c r="B156" s="3"/>
    </row>
    <row r="157" spans="1:2" x14ac:dyDescent="0.25">
      <c r="A157" s="1"/>
      <c r="B157" s="3"/>
    </row>
    <row r="158" spans="1:2" x14ac:dyDescent="0.25">
      <c r="A158" s="1"/>
      <c r="B158" s="3"/>
    </row>
    <row r="159" spans="1:2" x14ac:dyDescent="0.25">
      <c r="A159" s="1"/>
      <c r="B159" s="3"/>
    </row>
    <row r="160" spans="1:2" x14ac:dyDescent="0.25">
      <c r="A160" s="1"/>
      <c r="B160" s="3"/>
    </row>
    <row r="161" spans="1:2" x14ac:dyDescent="0.25">
      <c r="A161" s="1"/>
      <c r="B161" s="3"/>
    </row>
    <row r="162" spans="1:2" x14ac:dyDescent="0.25">
      <c r="A162" s="1"/>
      <c r="B162" s="3"/>
    </row>
    <row r="163" spans="1:2" x14ac:dyDescent="0.25">
      <c r="A163" s="1"/>
      <c r="B163" s="3"/>
    </row>
    <row r="164" spans="1:2" x14ac:dyDescent="0.25">
      <c r="A164" s="1"/>
      <c r="B164" s="3"/>
    </row>
    <row r="165" spans="1:2" x14ac:dyDescent="0.25">
      <c r="A165" s="1"/>
      <c r="B165" s="3"/>
    </row>
    <row r="166" spans="1:2" x14ac:dyDescent="0.25">
      <c r="A166" s="1"/>
      <c r="B166" s="3"/>
    </row>
    <row r="167" spans="1:2" x14ac:dyDescent="0.25">
      <c r="A167" s="1"/>
      <c r="B167" s="3"/>
    </row>
    <row r="168" spans="1:2" x14ac:dyDescent="0.25">
      <c r="A168" s="1"/>
      <c r="B168" s="3"/>
    </row>
    <row r="169" spans="1:2" x14ac:dyDescent="0.25">
      <c r="A169" s="1"/>
      <c r="B169" s="3"/>
    </row>
    <row r="170" spans="1:2" x14ac:dyDescent="0.25">
      <c r="A170" s="1"/>
      <c r="B170" s="3"/>
    </row>
    <row r="171" spans="1:2" x14ac:dyDescent="0.25">
      <c r="A171" s="1"/>
      <c r="B171" s="3"/>
    </row>
    <row r="172" spans="1:2" x14ac:dyDescent="0.25">
      <c r="A172" s="1"/>
      <c r="B172" s="3"/>
    </row>
    <row r="173" spans="1:2" x14ac:dyDescent="0.25">
      <c r="A173" s="1"/>
      <c r="B173" s="3"/>
    </row>
    <row r="174" spans="1:2" x14ac:dyDescent="0.25">
      <c r="A174" s="1"/>
      <c r="B174" s="3"/>
    </row>
    <row r="175" spans="1:2" x14ac:dyDescent="0.25">
      <c r="A175" s="1"/>
      <c r="B175" s="3"/>
    </row>
    <row r="176" spans="1:2" x14ac:dyDescent="0.25">
      <c r="A176" s="1"/>
      <c r="B176" s="3"/>
    </row>
    <row r="177" spans="1:2" x14ac:dyDescent="0.25">
      <c r="A177" s="1"/>
      <c r="B177" s="3"/>
    </row>
    <row r="178" spans="1:2" x14ac:dyDescent="0.25">
      <c r="A178" s="1"/>
      <c r="B178" s="3"/>
    </row>
    <row r="179" spans="1:2" x14ac:dyDescent="0.25">
      <c r="A179" s="1"/>
      <c r="B179" s="3"/>
    </row>
    <row r="180" spans="1:2" x14ac:dyDescent="0.25">
      <c r="A180" s="1"/>
      <c r="B180" s="3"/>
    </row>
    <row r="181" spans="1:2" x14ac:dyDescent="0.25">
      <c r="A181" s="1"/>
      <c r="B181" s="3"/>
    </row>
    <row r="182" spans="1:2" x14ac:dyDescent="0.25">
      <c r="A182" s="1"/>
      <c r="B182" s="3"/>
    </row>
    <row r="183" spans="1:2" x14ac:dyDescent="0.25">
      <c r="A183" s="1"/>
      <c r="B183" s="3"/>
    </row>
    <row r="184" spans="1:2" x14ac:dyDescent="0.25">
      <c r="A184" s="1"/>
      <c r="B184" s="3"/>
    </row>
    <row r="185" spans="1:2" x14ac:dyDescent="0.25">
      <c r="A185" s="1"/>
      <c r="B185" s="3"/>
    </row>
    <row r="186" spans="1:2" x14ac:dyDescent="0.25">
      <c r="A186" s="1"/>
      <c r="B186" s="3"/>
    </row>
    <row r="187" spans="1:2" x14ac:dyDescent="0.25">
      <c r="A187" s="1"/>
      <c r="B187" s="3"/>
    </row>
    <row r="188" spans="1:2" x14ac:dyDescent="0.25">
      <c r="A188" s="1"/>
      <c r="B188" s="3"/>
    </row>
    <row r="189" spans="1:2" x14ac:dyDescent="0.25">
      <c r="A189" s="1"/>
      <c r="B189" s="3"/>
    </row>
    <row r="190" spans="1:2" x14ac:dyDescent="0.25">
      <c r="A190" s="1"/>
      <c r="B190" s="3"/>
    </row>
    <row r="191" spans="1:2" x14ac:dyDescent="0.25">
      <c r="A191" s="1"/>
      <c r="B191" s="3"/>
    </row>
    <row r="192" spans="1:2" x14ac:dyDescent="0.25">
      <c r="A192" s="1"/>
      <c r="B192" s="3"/>
    </row>
    <row r="193" spans="1:2" x14ac:dyDescent="0.25">
      <c r="A193" s="1"/>
      <c r="B193" s="3"/>
    </row>
  </sheetData>
  <autoFilter ref="A1:C41" xr:uid="{00000000-0009-0000-0000-00000A000000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93"/>
  <sheetViews>
    <sheetView workbookViewId="0">
      <selection activeCell="C4" sqref="C4"/>
    </sheetView>
  </sheetViews>
  <sheetFormatPr defaultRowHeight="15" x14ac:dyDescent="0.25"/>
  <cols>
    <col min="1" max="1" width="25.85546875" customWidth="1"/>
    <col min="2" max="2" width="15.28515625" customWidth="1"/>
    <col min="3" max="3" width="11.7109375" bestFit="1" customWidth="1"/>
  </cols>
  <sheetData>
    <row r="1" spans="1:3" x14ac:dyDescent="0.25">
      <c r="A1" t="s">
        <v>0</v>
      </c>
      <c r="B1" s="4" t="s">
        <v>55</v>
      </c>
      <c r="C1" s="4" t="s">
        <v>56</v>
      </c>
    </row>
    <row r="2" spans="1:3" x14ac:dyDescent="0.25">
      <c r="A2" s="1" t="s">
        <v>43</v>
      </c>
      <c r="B2" s="4">
        <v>9645</v>
      </c>
      <c r="C2" s="4">
        <v>3914</v>
      </c>
    </row>
    <row r="3" spans="1:3" x14ac:dyDescent="0.25">
      <c r="A3" s="1" t="s">
        <v>44</v>
      </c>
      <c r="B3" s="4">
        <v>4432</v>
      </c>
      <c r="C3" s="4">
        <v>3736</v>
      </c>
    </row>
    <row r="4" spans="1:3" x14ac:dyDescent="0.25">
      <c r="A4" s="1" t="s">
        <v>45</v>
      </c>
      <c r="B4" s="4">
        <v>8041</v>
      </c>
      <c r="C4" s="4">
        <v>1884</v>
      </c>
    </row>
    <row r="5" spans="1:3" x14ac:dyDescent="0.25">
      <c r="A5" s="1" t="s">
        <v>46</v>
      </c>
      <c r="B5" s="4">
        <v>8484</v>
      </c>
      <c r="C5" s="4">
        <v>2703</v>
      </c>
    </row>
    <row r="6" spans="1:3" x14ac:dyDescent="0.25">
      <c r="A6" s="1" t="s">
        <v>47</v>
      </c>
      <c r="B6" s="4">
        <v>5669</v>
      </c>
      <c r="C6" s="4">
        <v>4322</v>
      </c>
    </row>
    <row r="7" spans="1:3" x14ac:dyDescent="0.25">
      <c r="A7" s="1" t="s">
        <v>6</v>
      </c>
      <c r="B7" s="4">
        <v>1035</v>
      </c>
      <c r="C7" s="4">
        <v>9721</v>
      </c>
    </row>
    <row r="8" spans="1:3" x14ac:dyDescent="0.25">
      <c r="A8" s="1" t="s">
        <v>7</v>
      </c>
      <c r="B8" s="4">
        <v>1821</v>
      </c>
      <c r="C8" s="4">
        <v>6356</v>
      </c>
    </row>
    <row r="9" spans="1:3" x14ac:dyDescent="0.25">
      <c r="A9" s="1" t="s">
        <v>8</v>
      </c>
      <c r="B9" s="4">
        <v>3235</v>
      </c>
      <c r="C9" s="4">
        <v>7575</v>
      </c>
    </row>
    <row r="10" spans="1:3" x14ac:dyDescent="0.25">
      <c r="A10" s="1" t="s">
        <v>9</v>
      </c>
      <c r="B10" s="4">
        <v>5095</v>
      </c>
      <c r="C10" s="4">
        <v>3887</v>
      </c>
    </row>
    <row r="11" spans="1:3" x14ac:dyDescent="0.25">
      <c r="A11" s="1" t="s">
        <v>10</v>
      </c>
      <c r="B11" s="4">
        <v>1679</v>
      </c>
      <c r="C11" s="4">
        <v>6908</v>
      </c>
    </row>
    <row r="12" spans="1:3" x14ac:dyDescent="0.25">
      <c r="A12" s="1" t="s">
        <v>11</v>
      </c>
      <c r="B12" s="4">
        <v>2155</v>
      </c>
      <c r="C12" s="4">
        <v>940</v>
      </c>
    </row>
    <row r="13" spans="1:3" x14ac:dyDescent="0.25">
      <c r="A13" s="1" t="s">
        <v>12</v>
      </c>
      <c r="B13" s="4">
        <v>9451</v>
      </c>
      <c r="C13" s="4">
        <v>988</v>
      </c>
    </row>
    <row r="14" spans="1:3" x14ac:dyDescent="0.25">
      <c r="A14" s="1" t="s">
        <v>13</v>
      </c>
      <c r="B14" s="4">
        <v>3132</v>
      </c>
      <c r="C14" s="4">
        <v>4014</v>
      </c>
    </row>
    <row r="15" spans="1:3" x14ac:dyDescent="0.25">
      <c r="A15" s="1" t="s">
        <v>14</v>
      </c>
      <c r="B15" s="4">
        <v>9560</v>
      </c>
      <c r="C15" s="4">
        <v>1871</v>
      </c>
    </row>
    <row r="16" spans="1:3" x14ac:dyDescent="0.25">
      <c r="A16" s="1" t="s">
        <v>15</v>
      </c>
      <c r="B16" s="4">
        <v>3472</v>
      </c>
      <c r="C16" s="4">
        <v>4234</v>
      </c>
    </row>
    <row r="17" spans="1:3" x14ac:dyDescent="0.25">
      <c r="A17" s="1" t="s">
        <v>16</v>
      </c>
      <c r="B17" s="4">
        <v>8356</v>
      </c>
      <c r="C17" s="4">
        <v>2337</v>
      </c>
    </row>
    <row r="18" spans="1:3" x14ac:dyDescent="0.25">
      <c r="A18" s="1" t="s">
        <v>17</v>
      </c>
      <c r="B18" s="4">
        <v>2201</v>
      </c>
      <c r="C18" s="4">
        <v>7356</v>
      </c>
    </row>
    <row r="19" spans="1:3" x14ac:dyDescent="0.25">
      <c r="A19" s="1" t="s">
        <v>18</v>
      </c>
      <c r="B19" s="4">
        <v>309</v>
      </c>
      <c r="C19" s="4">
        <v>5765</v>
      </c>
    </row>
    <row r="20" spans="1:3" x14ac:dyDescent="0.25">
      <c r="A20" s="1" t="s">
        <v>19</v>
      </c>
      <c r="B20" s="4">
        <v>5882</v>
      </c>
      <c r="C20" s="4">
        <v>2370</v>
      </c>
    </row>
    <row r="21" spans="1:3" x14ac:dyDescent="0.25">
      <c r="A21" s="1" t="s">
        <v>20</v>
      </c>
      <c r="B21" s="4">
        <v>4402</v>
      </c>
      <c r="C21" s="4">
        <v>8502</v>
      </c>
    </row>
    <row r="22" spans="1:3" x14ac:dyDescent="0.25">
      <c r="A22" s="1" t="s">
        <v>21</v>
      </c>
      <c r="B22" s="4">
        <v>5546</v>
      </c>
      <c r="C22" s="4">
        <v>58</v>
      </c>
    </row>
    <row r="23" spans="1:3" x14ac:dyDescent="0.25">
      <c r="A23" s="1" t="s">
        <v>22</v>
      </c>
      <c r="B23" s="4">
        <v>5879</v>
      </c>
      <c r="C23" s="4">
        <v>1918</v>
      </c>
    </row>
    <row r="24" spans="1:3" x14ac:dyDescent="0.25">
      <c r="A24" s="1" t="s">
        <v>23</v>
      </c>
      <c r="B24" s="4">
        <v>6746</v>
      </c>
      <c r="C24" s="4">
        <v>8554</v>
      </c>
    </row>
    <row r="25" spans="1:3" x14ac:dyDescent="0.25">
      <c r="A25" s="1" t="s">
        <v>24</v>
      </c>
      <c r="B25" s="4">
        <v>3428</v>
      </c>
      <c r="C25" s="4">
        <v>572</v>
      </c>
    </row>
    <row r="26" spans="1:3" x14ac:dyDescent="0.25">
      <c r="A26" s="1" t="s">
        <v>25</v>
      </c>
      <c r="B26" s="4">
        <v>4641</v>
      </c>
      <c r="C26" s="4">
        <v>2546</v>
      </c>
    </row>
    <row r="27" spans="1:3" x14ac:dyDescent="0.25">
      <c r="A27" s="1" t="s">
        <v>26</v>
      </c>
      <c r="B27" s="4">
        <v>7685</v>
      </c>
      <c r="C27" s="4">
        <v>7108</v>
      </c>
    </row>
    <row r="28" spans="1:3" x14ac:dyDescent="0.25">
      <c r="A28" s="1" t="s">
        <v>27</v>
      </c>
      <c r="B28" s="4">
        <v>5428</v>
      </c>
      <c r="C28" s="4">
        <v>9154</v>
      </c>
    </row>
    <row r="29" spans="1:3" x14ac:dyDescent="0.25">
      <c r="A29" s="1" t="s">
        <v>28</v>
      </c>
      <c r="B29" s="4">
        <v>9780</v>
      </c>
      <c r="C29" s="4">
        <v>2245</v>
      </c>
    </row>
    <row r="30" spans="1:3" x14ac:dyDescent="0.25">
      <c r="A30" s="1" t="s">
        <v>29</v>
      </c>
      <c r="B30" s="4">
        <v>2775</v>
      </c>
      <c r="C30" s="4">
        <v>1205</v>
      </c>
    </row>
    <row r="31" spans="1:3" x14ac:dyDescent="0.25">
      <c r="A31" s="1" t="s">
        <v>30</v>
      </c>
      <c r="B31" s="4">
        <v>5339</v>
      </c>
      <c r="C31" s="4">
        <v>6858</v>
      </c>
    </row>
    <row r="32" spans="1:3" x14ac:dyDescent="0.25">
      <c r="A32" s="1" t="s">
        <v>31</v>
      </c>
      <c r="B32" s="4">
        <v>3535</v>
      </c>
      <c r="C32" s="4">
        <v>8373</v>
      </c>
    </row>
    <row r="33" spans="1:3" x14ac:dyDescent="0.25">
      <c r="A33" s="1" t="s">
        <v>32</v>
      </c>
      <c r="B33" s="4">
        <v>3487</v>
      </c>
      <c r="C33" s="4">
        <v>419</v>
      </c>
    </row>
    <row r="34" spans="1:3" x14ac:dyDescent="0.25">
      <c r="A34" s="1" t="s">
        <v>33</v>
      </c>
      <c r="B34" s="4">
        <v>6101</v>
      </c>
      <c r="C34" s="4">
        <v>599</v>
      </c>
    </row>
    <row r="35" spans="1:3" x14ac:dyDescent="0.25">
      <c r="A35" s="1" t="s">
        <v>34</v>
      </c>
      <c r="B35" s="4">
        <v>8558</v>
      </c>
      <c r="C35" s="4">
        <v>6075</v>
      </c>
    </row>
    <row r="36" spans="1:3" x14ac:dyDescent="0.25">
      <c r="A36" s="1" t="s">
        <v>35</v>
      </c>
      <c r="B36" s="4">
        <v>3588</v>
      </c>
      <c r="C36" s="4">
        <v>7797</v>
      </c>
    </row>
    <row r="37" spans="1:3" x14ac:dyDescent="0.25">
      <c r="A37" s="1" t="s">
        <v>36</v>
      </c>
      <c r="B37" s="4">
        <v>8434</v>
      </c>
      <c r="C37" s="4">
        <v>3857</v>
      </c>
    </row>
    <row r="38" spans="1:3" x14ac:dyDescent="0.25">
      <c r="A38" s="1" t="s">
        <v>37</v>
      </c>
      <c r="B38" s="4">
        <v>4116</v>
      </c>
      <c r="C38" s="4">
        <v>5819</v>
      </c>
    </row>
    <row r="39" spans="1:3" x14ac:dyDescent="0.25">
      <c r="A39" s="1" t="s">
        <v>38</v>
      </c>
      <c r="B39" s="4">
        <v>9191</v>
      </c>
      <c r="C39" s="4">
        <v>407</v>
      </c>
    </row>
    <row r="40" spans="1:3" x14ac:dyDescent="0.25">
      <c r="A40" s="1" t="s">
        <v>39</v>
      </c>
      <c r="B40" s="4">
        <v>7710</v>
      </c>
      <c r="C40" s="4">
        <v>8169</v>
      </c>
    </row>
    <row r="41" spans="1:3" x14ac:dyDescent="0.25">
      <c r="A41" s="1" t="s">
        <v>40</v>
      </c>
      <c r="B41" s="4">
        <v>7430</v>
      </c>
      <c r="C41" s="4">
        <v>9083</v>
      </c>
    </row>
    <row r="42" spans="1:3" x14ac:dyDescent="0.25">
      <c r="A42" s="1"/>
      <c r="B42" s="4"/>
      <c r="C42" s="5"/>
    </row>
    <row r="43" spans="1:3" x14ac:dyDescent="0.25">
      <c r="A43" s="1"/>
      <c r="B43" s="4"/>
      <c r="C43" s="5"/>
    </row>
    <row r="44" spans="1:3" x14ac:dyDescent="0.25">
      <c r="A44" s="1"/>
      <c r="B44" s="4"/>
      <c r="C44" s="5"/>
    </row>
    <row r="45" spans="1:3" x14ac:dyDescent="0.25">
      <c r="A45" s="1"/>
      <c r="B45" s="4"/>
      <c r="C45" s="5"/>
    </row>
    <row r="46" spans="1:3" x14ac:dyDescent="0.25">
      <c r="A46" s="1"/>
      <c r="B46" s="4"/>
      <c r="C46" s="5"/>
    </row>
    <row r="47" spans="1:3" x14ac:dyDescent="0.25">
      <c r="A47" s="1"/>
      <c r="B47" s="4"/>
      <c r="C47" s="5"/>
    </row>
    <row r="48" spans="1:3" x14ac:dyDescent="0.25">
      <c r="A48" s="1"/>
      <c r="B48" s="4"/>
      <c r="C48" s="5"/>
    </row>
    <row r="49" spans="1:3" x14ac:dyDescent="0.25">
      <c r="A49" s="1"/>
      <c r="B49" s="4"/>
      <c r="C49" s="5"/>
    </row>
    <row r="50" spans="1:3" x14ac:dyDescent="0.25">
      <c r="A50" s="1"/>
      <c r="B50" s="4"/>
      <c r="C50" s="5"/>
    </row>
    <row r="51" spans="1:3" x14ac:dyDescent="0.25">
      <c r="A51" s="1"/>
      <c r="B51" s="4"/>
      <c r="C51" s="5"/>
    </row>
    <row r="52" spans="1:3" x14ac:dyDescent="0.25">
      <c r="A52" s="1"/>
      <c r="B52" s="4"/>
      <c r="C52" s="5"/>
    </row>
    <row r="53" spans="1:3" x14ac:dyDescent="0.25">
      <c r="A53" s="1"/>
      <c r="B53" s="4"/>
      <c r="C53" s="5"/>
    </row>
    <row r="54" spans="1:3" x14ac:dyDescent="0.25">
      <c r="A54" s="1"/>
      <c r="B54" s="4"/>
      <c r="C54" s="5"/>
    </row>
    <row r="55" spans="1:3" x14ac:dyDescent="0.25">
      <c r="A55" s="1"/>
      <c r="B55" s="4"/>
      <c r="C55" s="5"/>
    </row>
    <row r="56" spans="1:3" x14ac:dyDescent="0.25">
      <c r="A56" s="1"/>
      <c r="B56" s="4"/>
      <c r="C56" s="5"/>
    </row>
    <row r="57" spans="1:3" x14ac:dyDescent="0.25">
      <c r="A57" s="1"/>
      <c r="B57" s="4"/>
      <c r="C57" s="5"/>
    </row>
    <row r="58" spans="1:3" x14ac:dyDescent="0.25">
      <c r="A58" s="1"/>
      <c r="B58" s="4"/>
      <c r="C58" s="5"/>
    </row>
    <row r="59" spans="1:3" x14ac:dyDescent="0.25">
      <c r="A59" s="1"/>
      <c r="B59" s="4"/>
      <c r="C59" s="5"/>
    </row>
    <row r="60" spans="1:3" x14ac:dyDescent="0.25">
      <c r="A60" s="1"/>
      <c r="B60" s="4"/>
      <c r="C60" s="5"/>
    </row>
    <row r="61" spans="1:3" x14ac:dyDescent="0.25">
      <c r="A61" s="1"/>
      <c r="B61" s="4"/>
      <c r="C61" s="5"/>
    </row>
    <row r="62" spans="1:3" x14ac:dyDescent="0.25">
      <c r="A62" s="1"/>
      <c r="B62" s="4"/>
      <c r="C62" s="5"/>
    </row>
    <row r="63" spans="1:3" x14ac:dyDescent="0.25">
      <c r="A63" s="1"/>
      <c r="B63" s="4"/>
      <c r="C63" s="5"/>
    </row>
    <row r="64" spans="1:3" x14ac:dyDescent="0.25">
      <c r="A64" s="1"/>
      <c r="B64" s="4"/>
      <c r="C64" s="5"/>
    </row>
    <row r="65" spans="1:3" x14ac:dyDescent="0.25">
      <c r="A65" s="1"/>
      <c r="B65" s="4"/>
      <c r="C65" s="5"/>
    </row>
    <row r="66" spans="1:3" x14ac:dyDescent="0.25">
      <c r="A66" s="1"/>
      <c r="B66" s="4"/>
      <c r="C66" s="5"/>
    </row>
    <row r="67" spans="1:3" x14ac:dyDescent="0.25">
      <c r="A67" s="1"/>
      <c r="B67" s="4"/>
      <c r="C67" s="5"/>
    </row>
    <row r="68" spans="1:3" x14ac:dyDescent="0.25">
      <c r="A68" s="1"/>
      <c r="B68" s="4"/>
      <c r="C68" s="5"/>
    </row>
    <row r="69" spans="1:3" x14ac:dyDescent="0.25">
      <c r="A69" s="1"/>
      <c r="B69" s="4"/>
      <c r="C69" s="5"/>
    </row>
    <row r="70" spans="1:3" x14ac:dyDescent="0.25">
      <c r="A70" s="1"/>
      <c r="B70" s="4"/>
      <c r="C70" s="5"/>
    </row>
    <row r="71" spans="1:3" x14ac:dyDescent="0.25">
      <c r="A71" s="1"/>
      <c r="B71" s="4"/>
      <c r="C71" s="5"/>
    </row>
    <row r="72" spans="1:3" x14ac:dyDescent="0.25">
      <c r="A72" s="1"/>
      <c r="B72" s="4"/>
      <c r="C72" s="5"/>
    </row>
    <row r="73" spans="1:3" x14ac:dyDescent="0.25">
      <c r="A73" s="1"/>
      <c r="B73" s="4"/>
      <c r="C73" s="5"/>
    </row>
    <row r="74" spans="1:3" x14ac:dyDescent="0.25">
      <c r="A74" s="1"/>
      <c r="B74" s="4"/>
      <c r="C74" s="5"/>
    </row>
    <row r="75" spans="1:3" x14ac:dyDescent="0.25">
      <c r="A75" s="1"/>
      <c r="B75" s="4"/>
      <c r="C75" s="5"/>
    </row>
    <row r="76" spans="1:3" x14ac:dyDescent="0.25">
      <c r="A76" s="1"/>
      <c r="B76" s="4"/>
      <c r="C76" s="5"/>
    </row>
    <row r="77" spans="1:3" x14ac:dyDescent="0.25">
      <c r="A77" s="1"/>
      <c r="B77" s="4"/>
      <c r="C77" s="5"/>
    </row>
    <row r="78" spans="1:3" x14ac:dyDescent="0.25">
      <c r="A78" s="1"/>
      <c r="B78" s="4"/>
      <c r="C78" s="5"/>
    </row>
    <row r="79" spans="1:3" x14ac:dyDescent="0.25">
      <c r="A79" s="1"/>
      <c r="B79" s="4"/>
      <c r="C79" s="5"/>
    </row>
    <row r="80" spans="1:3" x14ac:dyDescent="0.25">
      <c r="A80" s="1"/>
      <c r="B80" s="4"/>
      <c r="C80" s="5"/>
    </row>
    <row r="81" spans="1:3" x14ac:dyDescent="0.25">
      <c r="A81" s="1"/>
      <c r="B81" s="4"/>
      <c r="C81" s="5"/>
    </row>
    <row r="82" spans="1:3" x14ac:dyDescent="0.25">
      <c r="A82" s="1"/>
      <c r="B82" s="4"/>
      <c r="C82" s="5"/>
    </row>
    <row r="83" spans="1:3" x14ac:dyDescent="0.25">
      <c r="A83" s="1"/>
      <c r="B83" s="4"/>
      <c r="C83" s="5"/>
    </row>
    <row r="84" spans="1:3" x14ac:dyDescent="0.25">
      <c r="A84" s="1"/>
      <c r="B84" s="4"/>
      <c r="C84" s="5"/>
    </row>
    <row r="85" spans="1:3" x14ac:dyDescent="0.25">
      <c r="A85" s="1"/>
      <c r="B85" s="4"/>
      <c r="C85" s="5"/>
    </row>
    <row r="86" spans="1:3" x14ac:dyDescent="0.25">
      <c r="A86" s="1"/>
      <c r="B86" s="4"/>
      <c r="C86" s="5"/>
    </row>
    <row r="87" spans="1:3" x14ac:dyDescent="0.25">
      <c r="A87" s="1"/>
      <c r="B87" s="4"/>
      <c r="C87" s="5"/>
    </row>
    <row r="88" spans="1:3" x14ac:dyDescent="0.25">
      <c r="A88" s="1"/>
      <c r="B88" s="4"/>
      <c r="C88" s="5"/>
    </row>
    <row r="89" spans="1:3" x14ac:dyDescent="0.25">
      <c r="A89" s="1"/>
      <c r="B89" s="4"/>
      <c r="C89" s="5"/>
    </row>
    <row r="90" spans="1:3" x14ac:dyDescent="0.25">
      <c r="A90" s="1"/>
      <c r="B90" s="4"/>
      <c r="C90" s="5"/>
    </row>
    <row r="91" spans="1:3" x14ac:dyDescent="0.25">
      <c r="A91" s="1"/>
      <c r="B91" s="4"/>
      <c r="C91" s="5"/>
    </row>
    <row r="92" spans="1:3" x14ac:dyDescent="0.25">
      <c r="A92" s="1"/>
      <c r="B92" s="4"/>
      <c r="C92" s="5"/>
    </row>
    <row r="93" spans="1:3" x14ac:dyDescent="0.25">
      <c r="A93" s="1"/>
      <c r="B93" s="4"/>
      <c r="C93" s="5"/>
    </row>
    <row r="94" spans="1:3" x14ac:dyDescent="0.25">
      <c r="A94" s="1"/>
      <c r="B94" s="4"/>
      <c r="C94" s="5"/>
    </row>
    <row r="95" spans="1:3" x14ac:dyDescent="0.25">
      <c r="A95" s="1"/>
      <c r="B95" s="4"/>
      <c r="C95" s="5"/>
    </row>
    <row r="96" spans="1:3" x14ac:dyDescent="0.25">
      <c r="A96" s="1"/>
      <c r="B96" s="4"/>
      <c r="C96" s="5"/>
    </row>
    <row r="97" spans="1:3" x14ac:dyDescent="0.25">
      <c r="A97" s="1"/>
      <c r="B97" s="4"/>
      <c r="C97" s="5"/>
    </row>
    <row r="98" spans="1:3" x14ac:dyDescent="0.25">
      <c r="A98" s="1"/>
      <c r="B98" s="4"/>
      <c r="C98" s="5"/>
    </row>
    <row r="99" spans="1:3" x14ac:dyDescent="0.25">
      <c r="A99" s="1"/>
      <c r="B99" s="4"/>
      <c r="C99" s="5"/>
    </row>
    <row r="100" spans="1:3" x14ac:dyDescent="0.25">
      <c r="A100" s="1"/>
      <c r="B100" s="4"/>
      <c r="C100" s="5"/>
    </row>
    <row r="101" spans="1:3" x14ac:dyDescent="0.25">
      <c r="A101" s="1"/>
      <c r="B101" s="4"/>
      <c r="C101" s="5"/>
    </row>
    <row r="102" spans="1:3" x14ac:dyDescent="0.25">
      <c r="A102" s="1"/>
      <c r="B102" s="4"/>
      <c r="C102" s="5"/>
    </row>
    <row r="103" spans="1:3" x14ac:dyDescent="0.25">
      <c r="A103" s="1"/>
      <c r="B103" s="4"/>
      <c r="C103" s="5"/>
    </row>
    <row r="104" spans="1:3" x14ac:dyDescent="0.25">
      <c r="A104" s="1"/>
      <c r="B104" s="4"/>
      <c r="C104" s="5"/>
    </row>
    <row r="105" spans="1:3" x14ac:dyDescent="0.25">
      <c r="A105" s="1"/>
      <c r="B105" s="4"/>
      <c r="C105" s="5"/>
    </row>
    <row r="106" spans="1:3" x14ac:dyDescent="0.25">
      <c r="A106" s="1"/>
      <c r="B106" s="4"/>
      <c r="C106" s="5"/>
    </row>
    <row r="107" spans="1:3" x14ac:dyDescent="0.25">
      <c r="A107" s="1"/>
      <c r="B107" s="4"/>
      <c r="C107" s="5"/>
    </row>
    <row r="108" spans="1:3" x14ac:dyDescent="0.25">
      <c r="A108" s="1"/>
      <c r="B108" s="4"/>
      <c r="C108" s="5"/>
    </row>
    <row r="109" spans="1:3" x14ac:dyDescent="0.25">
      <c r="A109" s="1"/>
      <c r="B109" s="4"/>
      <c r="C109" s="5"/>
    </row>
    <row r="110" spans="1:3" x14ac:dyDescent="0.25">
      <c r="A110" s="1"/>
      <c r="B110" s="4"/>
      <c r="C110" s="5"/>
    </row>
    <row r="111" spans="1:3" x14ac:dyDescent="0.25">
      <c r="A111" s="1"/>
      <c r="B111" s="4"/>
      <c r="C111" s="5"/>
    </row>
    <row r="112" spans="1:3" x14ac:dyDescent="0.25">
      <c r="A112" s="1"/>
      <c r="B112" s="4"/>
      <c r="C112" s="5"/>
    </row>
    <row r="113" spans="1:3" x14ac:dyDescent="0.25">
      <c r="A113" s="1"/>
      <c r="B113" s="4"/>
      <c r="C113" s="5"/>
    </row>
    <row r="114" spans="1:3" x14ac:dyDescent="0.25">
      <c r="A114" s="1"/>
      <c r="B114" s="4"/>
      <c r="C114" s="5"/>
    </row>
    <row r="115" spans="1:3" x14ac:dyDescent="0.25">
      <c r="A115" s="1"/>
      <c r="B115" s="4"/>
      <c r="C115" s="5"/>
    </row>
    <row r="116" spans="1:3" x14ac:dyDescent="0.25">
      <c r="A116" s="1"/>
      <c r="B116" s="4"/>
      <c r="C116" s="5"/>
    </row>
    <row r="117" spans="1:3" x14ac:dyDescent="0.25">
      <c r="A117" s="1"/>
      <c r="B117" s="4"/>
      <c r="C117" s="5"/>
    </row>
    <row r="118" spans="1:3" x14ac:dyDescent="0.25">
      <c r="A118" s="1"/>
      <c r="B118" s="4"/>
      <c r="C118" s="5"/>
    </row>
    <row r="119" spans="1:3" x14ac:dyDescent="0.25">
      <c r="A119" s="1"/>
      <c r="B119" s="4"/>
      <c r="C119" s="5"/>
    </row>
    <row r="120" spans="1:3" x14ac:dyDescent="0.25">
      <c r="A120" s="1"/>
      <c r="B120" s="4"/>
      <c r="C120" s="5"/>
    </row>
    <row r="121" spans="1:3" x14ac:dyDescent="0.25">
      <c r="A121" s="1"/>
      <c r="B121" s="4"/>
      <c r="C121" s="5"/>
    </row>
    <row r="122" spans="1:3" x14ac:dyDescent="0.25">
      <c r="A122" s="1"/>
      <c r="B122" s="4"/>
      <c r="C122" s="5"/>
    </row>
    <row r="123" spans="1:3" x14ac:dyDescent="0.25">
      <c r="A123" s="1"/>
      <c r="B123" s="4"/>
      <c r="C123" s="5"/>
    </row>
    <row r="124" spans="1:3" x14ac:dyDescent="0.25">
      <c r="A124" s="1"/>
      <c r="B124" s="4"/>
      <c r="C124" s="5"/>
    </row>
    <row r="125" spans="1:3" x14ac:dyDescent="0.25">
      <c r="A125" s="1"/>
      <c r="B125" s="4"/>
      <c r="C125" s="5"/>
    </row>
    <row r="126" spans="1:3" x14ac:dyDescent="0.25">
      <c r="A126" s="1"/>
      <c r="B126" s="4"/>
      <c r="C126" s="5"/>
    </row>
    <row r="127" spans="1:3" x14ac:dyDescent="0.25">
      <c r="A127" s="1"/>
      <c r="B127" s="4"/>
      <c r="C127" s="5"/>
    </row>
    <row r="128" spans="1:3" x14ac:dyDescent="0.25">
      <c r="A128" s="1"/>
      <c r="B128" s="4"/>
      <c r="C128" s="5"/>
    </row>
    <row r="129" spans="1:3" x14ac:dyDescent="0.25">
      <c r="A129" s="1"/>
      <c r="B129" s="4"/>
      <c r="C129" s="5"/>
    </row>
    <row r="130" spans="1:3" x14ac:dyDescent="0.25">
      <c r="A130" s="1"/>
      <c r="B130" s="4"/>
      <c r="C130" s="5"/>
    </row>
    <row r="131" spans="1:3" x14ac:dyDescent="0.25">
      <c r="A131" s="1"/>
      <c r="B131" s="4"/>
      <c r="C131" s="5"/>
    </row>
    <row r="132" spans="1:3" x14ac:dyDescent="0.25">
      <c r="A132" s="1"/>
      <c r="B132" s="4"/>
      <c r="C132" s="5"/>
    </row>
    <row r="133" spans="1:3" x14ac:dyDescent="0.25">
      <c r="A133" s="1"/>
      <c r="B133" s="4"/>
      <c r="C133" s="5"/>
    </row>
    <row r="134" spans="1:3" x14ac:dyDescent="0.25">
      <c r="A134" s="1"/>
      <c r="B134" s="4"/>
      <c r="C134" s="5"/>
    </row>
    <row r="135" spans="1:3" x14ac:dyDescent="0.25">
      <c r="A135" s="1"/>
      <c r="B135" s="4"/>
      <c r="C135" s="5"/>
    </row>
    <row r="136" spans="1:3" x14ac:dyDescent="0.25">
      <c r="A136" s="1"/>
      <c r="B136" s="4"/>
      <c r="C136" s="5"/>
    </row>
    <row r="137" spans="1:3" x14ac:dyDescent="0.25">
      <c r="A137" s="1"/>
      <c r="B137" s="4"/>
      <c r="C137" s="5"/>
    </row>
    <row r="138" spans="1:3" x14ac:dyDescent="0.25">
      <c r="A138" s="1"/>
      <c r="B138" s="4"/>
      <c r="C138" s="5"/>
    </row>
    <row r="139" spans="1:3" x14ac:dyDescent="0.25">
      <c r="A139" s="1"/>
      <c r="B139" s="4"/>
      <c r="C139" s="5"/>
    </row>
    <row r="140" spans="1:3" x14ac:dyDescent="0.25">
      <c r="A140" s="1"/>
      <c r="B140" s="4"/>
      <c r="C140" s="5"/>
    </row>
    <row r="141" spans="1:3" x14ac:dyDescent="0.25">
      <c r="A141" s="1"/>
      <c r="B141" s="4"/>
      <c r="C141" s="5"/>
    </row>
    <row r="142" spans="1:3" x14ac:dyDescent="0.25">
      <c r="A142" s="1"/>
      <c r="B142" s="4"/>
      <c r="C142" s="5"/>
    </row>
    <row r="143" spans="1:3" x14ac:dyDescent="0.25">
      <c r="A143" s="1"/>
      <c r="B143" s="4"/>
      <c r="C143" s="5"/>
    </row>
    <row r="144" spans="1:3" x14ac:dyDescent="0.25">
      <c r="A144" s="1"/>
      <c r="B144" s="4"/>
      <c r="C144" s="5"/>
    </row>
    <row r="145" spans="1:3" x14ac:dyDescent="0.25">
      <c r="A145" s="1"/>
      <c r="B145" s="4"/>
      <c r="C145" s="5"/>
    </row>
    <row r="146" spans="1:3" x14ac:dyDescent="0.25">
      <c r="A146" s="1"/>
      <c r="B146" s="4"/>
      <c r="C146" s="5"/>
    </row>
    <row r="147" spans="1:3" x14ac:dyDescent="0.25">
      <c r="A147" s="1"/>
      <c r="B147" s="4"/>
      <c r="C147" s="5"/>
    </row>
    <row r="148" spans="1:3" x14ac:dyDescent="0.25">
      <c r="A148" s="1"/>
      <c r="B148" s="4"/>
      <c r="C148" s="5"/>
    </row>
    <row r="149" spans="1:3" x14ac:dyDescent="0.25">
      <c r="A149" s="1"/>
      <c r="B149" s="4"/>
      <c r="C149" s="5"/>
    </row>
    <row r="150" spans="1:3" x14ac:dyDescent="0.25">
      <c r="A150" s="1"/>
      <c r="B150" s="4"/>
      <c r="C150" s="5"/>
    </row>
    <row r="151" spans="1:3" x14ac:dyDescent="0.25">
      <c r="A151" s="1"/>
      <c r="B151" s="4"/>
      <c r="C151" s="5"/>
    </row>
    <row r="152" spans="1:3" x14ac:dyDescent="0.25">
      <c r="A152" s="1"/>
      <c r="B152" s="4"/>
      <c r="C152" s="5"/>
    </row>
    <row r="153" spans="1:3" x14ac:dyDescent="0.25">
      <c r="A153" s="1"/>
      <c r="B153" s="4"/>
      <c r="C153" s="5"/>
    </row>
    <row r="154" spans="1:3" x14ac:dyDescent="0.25">
      <c r="A154" s="1"/>
      <c r="B154" s="4"/>
      <c r="C154" s="5"/>
    </row>
    <row r="155" spans="1:3" x14ac:dyDescent="0.25">
      <c r="A155" s="1"/>
      <c r="B155" s="4"/>
      <c r="C155" s="5"/>
    </row>
    <row r="156" spans="1:3" x14ac:dyDescent="0.25">
      <c r="A156" s="1"/>
      <c r="B156" s="4"/>
      <c r="C156" s="5"/>
    </row>
    <row r="157" spans="1:3" x14ac:dyDescent="0.25">
      <c r="A157" s="1"/>
      <c r="B157" s="4"/>
      <c r="C157" s="5"/>
    </row>
    <row r="158" spans="1:3" x14ac:dyDescent="0.25">
      <c r="A158" s="1"/>
      <c r="B158" s="4"/>
      <c r="C158" s="5"/>
    </row>
    <row r="159" spans="1:3" x14ac:dyDescent="0.25">
      <c r="A159" s="1"/>
      <c r="B159" s="4"/>
      <c r="C159" s="5"/>
    </row>
    <row r="160" spans="1:3" x14ac:dyDescent="0.25">
      <c r="A160" s="1"/>
      <c r="B160" s="4"/>
      <c r="C160" s="5"/>
    </row>
    <row r="161" spans="1:3" x14ac:dyDescent="0.25">
      <c r="A161" s="1"/>
      <c r="B161" s="4"/>
      <c r="C161" s="5"/>
    </row>
    <row r="162" spans="1:3" x14ac:dyDescent="0.25">
      <c r="A162" s="1"/>
      <c r="B162" s="4"/>
      <c r="C162" s="5"/>
    </row>
    <row r="163" spans="1:3" x14ac:dyDescent="0.25">
      <c r="A163" s="1"/>
      <c r="B163" s="4"/>
      <c r="C163" s="5"/>
    </row>
    <row r="164" spans="1:3" x14ac:dyDescent="0.25">
      <c r="A164" s="1"/>
      <c r="B164" s="4"/>
      <c r="C164" s="5"/>
    </row>
    <row r="165" spans="1:3" x14ac:dyDescent="0.25">
      <c r="A165" s="1"/>
      <c r="B165" s="4"/>
      <c r="C165" s="5"/>
    </row>
    <row r="166" spans="1:3" x14ac:dyDescent="0.25">
      <c r="A166" s="1"/>
      <c r="B166" s="4"/>
      <c r="C166" s="5"/>
    </row>
    <row r="167" spans="1:3" x14ac:dyDescent="0.25">
      <c r="A167" s="1"/>
      <c r="B167" s="4"/>
      <c r="C167" s="5"/>
    </row>
    <row r="168" spans="1:3" x14ac:dyDescent="0.25">
      <c r="A168" s="1"/>
      <c r="B168" s="4"/>
      <c r="C168" s="5"/>
    </row>
    <row r="169" spans="1:3" x14ac:dyDescent="0.25">
      <c r="A169" s="1"/>
      <c r="B169" s="4"/>
      <c r="C169" s="5"/>
    </row>
    <row r="170" spans="1:3" x14ac:dyDescent="0.25">
      <c r="A170" s="1"/>
      <c r="B170" s="4"/>
      <c r="C170" s="5"/>
    </row>
    <row r="171" spans="1:3" x14ac:dyDescent="0.25">
      <c r="A171" s="1"/>
      <c r="B171" s="4"/>
      <c r="C171" s="5"/>
    </row>
    <row r="172" spans="1:3" x14ac:dyDescent="0.25">
      <c r="A172" s="1"/>
      <c r="B172" s="4"/>
      <c r="C172" s="5"/>
    </row>
    <row r="173" spans="1:3" x14ac:dyDescent="0.25">
      <c r="A173" s="1"/>
      <c r="B173" s="4"/>
      <c r="C173" s="5"/>
    </row>
    <row r="174" spans="1:3" x14ac:dyDescent="0.25">
      <c r="A174" s="1"/>
      <c r="B174" s="4"/>
      <c r="C174" s="5"/>
    </row>
    <row r="175" spans="1:3" x14ac:dyDescent="0.25">
      <c r="A175" s="1"/>
      <c r="B175" s="4"/>
      <c r="C175" s="5"/>
    </row>
    <row r="176" spans="1:3" x14ac:dyDescent="0.25">
      <c r="A176" s="1"/>
      <c r="B176" s="4"/>
      <c r="C176" s="5"/>
    </row>
    <row r="177" spans="1:3" x14ac:dyDescent="0.25">
      <c r="A177" s="1"/>
      <c r="B177" s="4"/>
      <c r="C177" s="5"/>
    </row>
    <row r="178" spans="1:3" x14ac:dyDescent="0.25">
      <c r="A178" s="1"/>
      <c r="B178" s="4"/>
      <c r="C178" s="5"/>
    </row>
    <row r="179" spans="1:3" x14ac:dyDescent="0.25">
      <c r="A179" s="1"/>
      <c r="B179" s="4"/>
      <c r="C179" s="5"/>
    </row>
    <row r="180" spans="1:3" x14ac:dyDescent="0.25">
      <c r="A180" s="1"/>
      <c r="B180" s="4"/>
      <c r="C180" s="5"/>
    </row>
    <row r="181" spans="1:3" x14ac:dyDescent="0.25">
      <c r="A181" s="1"/>
      <c r="B181" s="4"/>
      <c r="C181" s="5"/>
    </row>
    <row r="182" spans="1:3" x14ac:dyDescent="0.25">
      <c r="A182" s="1"/>
      <c r="B182" s="4"/>
      <c r="C182" s="5"/>
    </row>
    <row r="183" spans="1:3" x14ac:dyDescent="0.25">
      <c r="A183" s="1"/>
      <c r="B183" s="4"/>
      <c r="C183" s="5"/>
    </row>
    <row r="184" spans="1:3" x14ac:dyDescent="0.25">
      <c r="A184" s="1"/>
      <c r="B184" s="4"/>
      <c r="C184" s="5"/>
    </row>
    <row r="185" spans="1:3" x14ac:dyDescent="0.25">
      <c r="A185" s="1"/>
      <c r="B185" s="4"/>
      <c r="C185" s="5"/>
    </row>
    <row r="186" spans="1:3" x14ac:dyDescent="0.25">
      <c r="A186" s="1"/>
      <c r="B186" s="4"/>
      <c r="C186" s="5"/>
    </row>
    <row r="187" spans="1:3" x14ac:dyDescent="0.25">
      <c r="A187" s="1"/>
      <c r="B187" s="4"/>
      <c r="C187" s="5"/>
    </row>
    <row r="188" spans="1:3" x14ac:dyDescent="0.25">
      <c r="A188" s="1"/>
      <c r="B188" s="4"/>
      <c r="C188" s="5"/>
    </row>
    <row r="189" spans="1:3" x14ac:dyDescent="0.25">
      <c r="A189" s="1"/>
      <c r="B189" s="4"/>
      <c r="C189" s="5"/>
    </row>
    <row r="190" spans="1:3" x14ac:dyDescent="0.25">
      <c r="A190" s="1"/>
      <c r="B190" s="4"/>
      <c r="C190" s="5"/>
    </row>
    <row r="191" spans="1:3" x14ac:dyDescent="0.25">
      <c r="A191" s="1"/>
      <c r="B191" s="4"/>
      <c r="C191" s="5"/>
    </row>
    <row r="192" spans="1:3" x14ac:dyDescent="0.25">
      <c r="A192" s="1"/>
      <c r="B192" s="4"/>
      <c r="C192" s="5"/>
    </row>
    <row r="193" spans="1:3" x14ac:dyDescent="0.25">
      <c r="A193" s="1"/>
      <c r="B193" s="4"/>
      <c r="C193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76"/>
  <sheetViews>
    <sheetView workbookViewId="0"/>
  </sheetViews>
  <sheetFormatPr defaultRowHeight="15" x14ac:dyDescent="0.25"/>
  <cols>
    <col min="1" max="1" width="24.85546875" customWidth="1"/>
  </cols>
  <sheetData>
    <row r="1" spans="1:1" x14ac:dyDescent="0.25">
      <c r="A1" t="s">
        <v>0</v>
      </c>
    </row>
    <row r="2" spans="1:1" x14ac:dyDescent="0.25">
      <c r="A2" s="1" t="s">
        <v>7</v>
      </c>
    </row>
    <row r="3" spans="1:1" x14ac:dyDescent="0.25">
      <c r="A3" s="1" t="s">
        <v>8</v>
      </c>
    </row>
    <row r="4" spans="1:1" x14ac:dyDescent="0.25">
      <c r="A4" s="1" t="s">
        <v>10</v>
      </c>
    </row>
    <row r="5" spans="1:1" x14ac:dyDescent="0.25">
      <c r="A5" s="1" t="s">
        <v>11</v>
      </c>
    </row>
    <row r="6" spans="1:1" x14ac:dyDescent="0.25">
      <c r="A6" s="1" t="s">
        <v>12</v>
      </c>
    </row>
    <row r="7" spans="1:1" x14ac:dyDescent="0.25">
      <c r="A7" s="1" t="s">
        <v>14</v>
      </c>
    </row>
    <row r="8" spans="1:1" x14ac:dyDescent="0.25">
      <c r="A8" s="1" t="s">
        <v>15</v>
      </c>
    </row>
    <row r="9" spans="1:1" x14ac:dyDescent="0.25">
      <c r="A9" s="1" t="s">
        <v>16</v>
      </c>
    </row>
    <row r="10" spans="1:1" x14ac:dyDescent="0.25">
      <c r="A10" s="1" t="s">
        <v>17</v>
      </c>
    </row>
    <row r="11" spans="1:1" x14ac:dyDescent="0.25">
      <c r="A11" s="1" t="s">
        <v>18</v>
      </c>
    </row>
    <row r="12" spans="1:1" x14ac:dyDescent="0.25">
      <c r="A12" s="1" t="s">
        <v>19</v>
      </c>
    </row>
    <row r="13" spans="1:1" x14ac:dyDescent="0.25">
      <c r="A13" s="1" t="s">
        <v>21</v>
      </c>
    </row>
    <row r="14" spans="1:1" x14ac:dyDescent="0.25">
      <c r="A14" s="1" t="s">
        <v>22</v>
      </c>
    </row>
    <row r="15" spans="1:1" x14ac:dyDescent="0.25">
      <c r="A15" s="1" t="s">
        <v>23</v>
      </c>
    </row>
    <row r="16" spans="1:1" x14ac:dyDescent="0.25">
      <c r="A16" s="1" t="s">
        <v>24</v>
      </c>
    </row>
    <row r="17" spans="1:1" x14ac:dyDescent="0.25">
      <c r="A17" s="1" t="s">
        <v>26</v>
      </c>
    </row>
    <row r="18" spans="1:1" x14ac:dyDescent="0.25">
      <c r="A18" s="1" t="s">
        <v>27</v>
      </c>
    </row>
    <row r="19" spans="1:1" x14ac:dyDescent="0.25">
      <c r="A19" s="1" t="s">
        <v>28</v>
      </c>
    </row>
    <row r="20" spans="1:1" x14ac:dyDescent="0.25">
      <c r="A20" s="1" t="s">
        <v>31</v>
      </c>
    </row>
    <row r="21" spans="1:1" x14ac:dyDescent="0.25">
      <c r="A21" s="1" t="s">
        <v>33</v>
      </c>
    </row>
    <row r="22" spans="1:1" x14ac:dyDescent="0.25">
      <c r="A22" s="1" t="s">
        <v>34</v>
      </c>
    </row>
    <row r="23" spans="1:1" x14ac:dyDescent="0.25">
      <c r="A23" s="1" t="s">
        <v>35</v>
      </c>
    </row>
    <row r="24" spans="1:1" x14ac:dyDescent="0.25">
      <c r="A24" s="1" t="s">
        <v>36</v>
      </c>
    </row>
    <row r="25" spans="1:1" x14ac:dyDescent="0.25">
      <c r="A25" s="1" t="s">
        <v>37</v>
      </c>
    </row>
    <row r="26" spans="1:1" x14ac:dyDescent="0.25">
      <c r="A26" s="1" t="s">
        <v>38</v>
      </c>
    </row>
    <row r="27" spans="1:1" x14ac:dyDescent="0.25">
      <c r="A27" s="1" t="s">
        <v>39</v>
      </c>
    </row>
    <row r="28" spans="1:1" x14ac:dyDescent="0.25">
      <c r="A28" s="1" t="s">
        <v>40</v>
      </c>
    </row>
    <row r="29" spans="1:1" x14ac:dyDescent="0.25">
      <c r="A29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</sheetData>
  <conditionalFormatting sqref="A2:A31">
    <cfRule type="duplicateValues" dxfId="1" priority="48"/>
  </conditionalFormatting>
  <conditionalFormatting sqref="A2:A1048576">
    <cfRule type="duplicateValues" dxfId="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tabSelected="1" workbookViewId="0">
      <selection activeCell="E8" sqref="E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18</v>
      </c>
    </row>
    <row r="3" spans="1:1" x14ac:dyDescent="0.25">
      <c r="A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country</vt:lpstr>
      <vt:lpstr>energy_duty</vt:lpstr>
      <vt:lpstr>env_condition</vt:lpstr>
      <vt:lpstr>co2_tax</vt:lpstr>
      <vt:lpstr>co2_storage_capacity</vt:lpstr>
      <vt:lpstr>capex</vt:lpstr>
      <vt:lpstr>gdp</vt:lpstr>
      <vt:lpstr>nuclear_allowed</vt:lpstr>
      <vt:lpstr>ccs_readiness</vt:lpstr>
      <vt:lpstr>nuclear_readiness</vt:lpstr>
      <vt:lpstr>nuclear_perception</vt:lpstr>
      <vt:lpstr>resource_reserve</vt:lpstr>
      <vt:lpstr>ccs_included</vt:lpstr>
      <vt:lpstr>non-NPT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(대학원생) AHMAD SYAUQI (School of Energy and Chemical Engineering)</dc:creator>
  <cp:lastModifiedBy>(대학원생) AHMAD SYAUQI (School of Energy and Chemical Eng</cp:lastModifiedBy>
  <dcterms:created xsi:type="dcterms:W3CDTF">2025-03-11T10:30:18Z</dcterms:created>
  <dcterms:modified xsi:type="dcterms:W3CDTF">2025-12-22T06:22:40Z</dcterms:modified>
</cp:coreProperties>
</file>