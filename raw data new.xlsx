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D:\Ahmad Syauqis Document\Paper - Nuclear DACSS\Code\"/>
    </mc:Choice>
  </mc:AlternateContent>
  <xr:revisionPtr revIDLastSave="0" documentId="8_{69272821-2FCC-44C2-BEF7-647BFE8B8048}" xr6:coauthVersionLast="47" xr6:coauthVersionMax="47" xr10:uidLastSave="{00000000-0000-0000-0000-000000000000}"/>
  <bookViews>
    <workbookView xWindow="11250" yWindow="15" windowWidth="17370" windowHeight="11385" activeTab="3" xr2:uid="{28484A98-90E1-4C0D-9340-C0BC68BC7311}"/>
  </bookViews>
  <sheets>
    <sheet name="storage capacity" sheetId="1" r:id="rId1"/>
    <sheet name="GDP" sheetId="2" r:id="rId2"/>
    <sheet name="lat lon" sheetId="3" r:id="rId3"/>
    <sheet name="etc" sheetId="4" r:id="rId4"/>
  </sheets>
  <externalReferences>
    <externalReference r:id="rId5"/>
  </externalReferences>
  <definedNames>
    <definedName name="_xlnm._FilterDatabase" localSheetId="2" hidden="1">'lat lon'!$A$1:$E$195</definedName>
    <definedName name="_xlnm._FilterDatabase" localSheetId="0" hidden="1">'storage capacity'!$A$1:$C$195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6" i="4" l="1"/>
  <c r="K8" i="4"/>
  <c r="K9" i="4"/>
  <c r="K10" i="4"/>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7" i="4"/>
  <c r="J7" i="4"/>
  <c r="K3" i="4"/>
  <c r="K4" i="4"/>
  <c r="K5" i="4"/>
  <c r="K6" i="4"/>
  <c r="K2" i="4"/>
  <c r="J2" i="4"/>
  <c r="E3" i="4"/>
  <c r="E4" i="4"/>
  <c r="E5" i="4"/>
  <c r="E6" i="4"/>
  <c r="E7" i="4"/>
  <c r="E8" i="4"/>
  <c r="E9" i="4"/>
  <c r="E10" i="4"/>
  <c r="E11" i="4"/>
  <c r="E12" i="4"/>
  <c r="E13" i="4"/>
  <c r="E14" i="4"/>
  <c r="E15" i="4"/>
  <c r="E16" i="4"/>
  <c r="E17" i="4"/>
  <c r="E18" i="4"/>
  <c r="E19" i="4"/>
  <c r="E20" i="4"/>
  <c r="E21" i="4"/>
  <c r="E22" i="4"/>
  <c r="E23" i="4"/>
  <c r="E24" i="4"/>
  <c r="E25" i="4"/>
  <c r="E26" i="4"/>
  <c r="E27" i="4"/>
  <c r="E28" i="4"/>
  <c r="E29" i="4"/>
  <c r="E30" i="4"/>
  <c r="E31" i="4"/>
  <c r="E32" i="4"/>
  <c r="E33" i="4"/>
  <c r="E34" i="4"/>
  <c r="E35" i="4"/>
  <c r="E36" i="4"/>
  <c r="E37" i="4"/>
  <c r="E38" i="4"/>
  <c r="E39" i="4"/>
  <c r="E40" i="4"/>
  <c r="E41" i="4"/>
  <c r="E42" i="4"/>
  <c r="E43" i="4"/>
  <c r="E44" i="4"/>
  <c r="E45" i="4"/>
  <c r="E46" i="4"/>
  <c r="E47" i="4"/>
  <c r="E48" i="4"/>
  <c r="E49" i="4"/>
  <c r="E50" i="4"/>
  <c r="E51" i="4"/>
  <c r="E52" i="4"/>
  <c r="E53" i="4"/>
  <c r="E54" i="4"/>
  <c r="E55" i="4"/>
  <c r="E56" i="4"/>
  <c r="E57" i="4"/>
  <c r="E58" i="4"/>
  <c r="E59" i="4"/>
  <c r="E60" i="4"/>
  <c r="E61" i="4"/>
  <c r="E62" i="4"/>
  <c r="E63" i="4"/>
  <c r="E64" i="4"/>
  <c r="E65" i="4"/>
  <c r="E66" i="4"/>
  <c r="E67" i="4"/>
  <c r="E68" i="4"/>
  <c r="E69" i="4"/>
  <c r="E70" i="4"/>
  <c r="E71" i="4"/>
  <c r="E72" i="4"/>
  <c r="E73" i="4"/>
  <c r="E74" i="4"/>
  <c r="E75" i="4"/>
  <c r="E76" i="4"/>
  <c r="E77" i="4"/>
  <c r="E78" i="4"/>
  <c r="E79" i="4"/>
  <c r="E80" i="4"/>
  <c r="E81" i="4"/>
  <c r="E82" i="4"/>
  <c r="E83" i="4"/>
  <c r="E84" i="4"/>
  <c r="E85" i="4"/>
  <c r="E86" i="4"/>
  <c r="E87" i="4"/>
  <c r="E88" i="4"/>
  <c r="E89" i="4"/>
  <c r="E90" i="4"/>
  <c r="E91" i="4"/>
  <c r="E92" i="4"/>
  <c r="E93" i="4"/>
  <c r="E94" i="4"/>
  <c r="E95" i="4"/>
  <c r="E96" i="4"/>
  <c r="E97" i="4"/>
  <c r="E98" i="4"/>
  <c r="E99" i="4"/>
  <c r="E100" i="4"/>
  <c r="E101" i="4"/>
  <c r="E102" i="4"/>
  <c r="E103" i="4"/>
  <c r="E104" i="4"/>
  <c r="E105" i="4"/>
  <c r="E106" i="4"/>
  <c r="E107" i="4"/>
  <c r="E108" i="4"/>
  <c r="E109" i="4"/>
  <c r="E110" i="4"/>
  <c r="E111" i="4"/>
  <c r="E112" i="4"/>
  <c r="E113" i="4"/>
  <c r="E114" i="4"/>
  <c r="E115" i="4"/>
  <c r="E116" i="4"/>
  <c r="E117" i="4"/>
  <c r="E118" i="4"/>
  <c r="E119" i="4"/>
  <c r="E120" i="4"/>
  <c r="E121" i="4"/>
  <c r="E122" i="4"/>
  <c r="E123" i="4"/>
  <c r="E124" i="4"/>
  <c r="E125" i="4"/>
  <c r="E126" i="4"/>
  <c r="E127" i="4"/>
  <c r="E128" i="4"/>
  <c r="E129" i="4"/>
  <c r="E130" i="4"/>
  <c r="E131" i="4"/>
  <c r="E132" i="4"/>
  <c r="E133" i="4"/>
  <c r="E134" i="4"/>
  <c r="E135" i="4"/>
  <c r="E136" i="4"/>
  <c r="E137" i="4"/>
  <c r="E138" i="4"/>
  <c r="E139" i="4"/>
  <c r="E140" i="4"/>
  <c r="E141" i="4"/>
  <c r="E142" i="4"/>
  <c r="E143" i="4"/>
  <c r="E144" i="4"/>
  <c r="E145" i="4"/>
  <c r="E146" i="4"/>
  <c r="E147" i="4"/>
  <c r="E148" i="4"/>
  <c r="E149" i="4"/>
  <c r="E150" i="4"/>
  <c r="E151" i="4"/>
  <c r="E152" i="4"/>
  <c r="E153" i="4"/>
  <c r="E154" i="4"/>
  <c r="E155" i="4"/>
  <c r="E156" i="4"/>
  <c r="E157" i="4"/>
  <c r="E158" i="4"/>
  <c r="E159" i="4"/>
  <c r="E160" i="4"/>
  <c r="E161" i="4"/>
  <c r="E162" i="4"/>
  <c r="E163" i="4"/>
  <c r="E164" i="4"/>
  <c r="E165" i="4"/>
  <c r="E166" i="4"/>
  <c r="E167" i="4"/>
  <c r="E168" i="4"/>
  <c r="E169" i="4"/>
  <c r="E170" i="4"/>
  <c r="E171" i="4"/>
  <c r="E172" i="4"/>
  <c r="E173" i="4"/>
  <c r="E174" i="4"/>
  <c r="E175" i="4"/>
  <c r="E176" i="4"/>
  <c r="E177" i="4"/>
  <c r="E178" i="4"/>
  <c r="E179" i="4"/>
  <c r="E180" i="4"/>
  <c r="E181" i="4"/>
  <c r="E182" i="4"/>
  <c r="E183" i="4"/>
  <c r="E184" i="4"/>
  <c r="E185" i="4"/>
  <c r="E186" i="4"/>
  <c r="E187" i="4"/>
  <c r="E188" i="4"/>
  <c r="E189" i="4"/>
  <c r="E190" i="4"/>
  <c r="E191" i="4"/>
  <c r="E192" i="4"/>
  <c r="E193" i="4"/>
  <c r="E194" i="4"/>
  <c r="E195" i="4"/>
  <c r="E196" i="4"/>
  <c r="E2" i="4"/>
  <c r="D2" i="4"/>
  <c r="D3" i="4"/>
  <c r="D4" i="4"/>
  <c r="D5" i="4"/>
  <c r="D6" i="4"/>
  <c r="D7" i="4"/>
  <c r="D8" i="4"/>
  <c r="D9" i="4"/>
  <c r="D10" i="4"/>
  <c r="J8" i="4" s="1"/>
  <c r="D11" i="4"/>
  <c r="D12" i="4"/>
  <c r="D13" i="4"/>
  <c r="D14" i="4"/>
  <c r="D15" i="4"/>
  <c r="D16" i="4"/>
  <c r="D17" i="4"/>
  <c r="D18" i="4"/>
  <c r="J9" i="4" s="1"/>
  <c r="D19" i="4"/>
  <c r="D20" i="4"/>
  <c r="D21" i="4"/>
  <c r="D22" i="4"/>
  <c r="D23" i="4"/>
  <c r="D24" i="4"/>
  <c r="D25" i="4"/>
  <c r="J10" i="4" s="1"/>
  <c r="D26" i="4"/>
  <c r="D27" i="4"/>
  <c r="D28" i="4"/>
  <c r="D29" i="4"/>
  <c r="D30" i="4"/>
  <c r="D31" i="4"/>
  <c r="D32" i="4"/>
  <c r="D33" i="4"/>
  <c r="J11" i="4" s="1"/>
  <c r="D34" i="4"/>
  <c r="D35" i="4"/>
  <c r="D36" i="4"/>
  <c r="D37" i="4"/>
  <c r="J12" i="4" s="1"/>
  <c r="D38" i="4"/>
  <c r="D39" i="4"/>
  <c r="D40" i="4"/>
  <c r="D41" i="4"/>
  <c r="D42" i="4"/>
  <c r="D43" i="4"/>
  <c r="D44" i="4"/>
  <c r="D45" i="4"/>
  <c r="D46" i="4"/>
  <c r="D47" i="4"/>
  <c r="J13" i="4" s="1"/>
  <c r="D48" i="4"/>
  <c r="D49" i="4"/>
  <c r="D50" i="4"/>
  <c r="D51" i="4"/>
  <c r="D52" i="4"/>
  <c r="D53" i="4"/>
  <c r="J14" i="4" s="1"/>
  <c r="D54" i="4"/>
  <c r="D55" i="4"/>
  <c r="D56" i="4"/>
  <c r="D57" i="4"/>
  <c r="D58" i="4"/>
  <c r="D59" i="4"/>
  <c r="D60" i="4"/>
  <c r="D61" i="4"/>
  <c r="J15" i="4" s="1"/>
  <c r="D62" i="4"/>
  <c r="J16" i="4" s="1"/>
  <c r="D63" i="4"/>
  <c r="D64" i="4"/>
  <c r="D65" i="4"/>
  <c r="D66" i="4"/>
  <c r="J17" i="4" s="1"/>
  <c r="D67" i="4"/>
  <c r="D68" i="4"/>
  <c r="D69" i="4"/>
  <c r="D70" i="4"/>
  <c r="D71" i="4"/>
  <c r="D72" i="4"/>
  <c r="D73" i="4"/>
  <c r="D74" i="4"/>
  <c r="D75" i="4"/>
  <c r="D76" i="4"/>
  <c r="D77" i="4"/>
  <c r="D78" i="4"/>
  <c r="J18" i="4" s="1"/>
  <c r="D79" i="4"/>
  <c r="J19" i="4" s="1"/>
  <c r="D80" i="4"/>
  <c r="J20" i="4" s="1"/>
  <c r="D81" i="4"/>
  <c r="J21" i="4" s="1"/>
  <c r="D82" i="4"/>
  <c r="D83" i="4"/>
  <c r="J22" i="4" s="1"/>
  <c r="D84" i="4"/>
  <c r="D85" i="4"/>
  <c r="J23" i="4" s="1"/>
  <c r="D86" i="4"/>
  <c r="D87" i="4"/>
  <c r="J24" i="4" s="1"/>
  <c r="D88" i="4"/>
  <c r="D89" i="4"/>
  <c r="D90" i="4"/>
  <c r="D91" i="4"/>
  <c r="D92" i="4"/>
  <c r="D93" i="4"/>
  <c r="D94" i="4"/>
  <c r="D95" i="4"/>
  <c r="D96" i="4"/>
  <c r="D97" i="4"/>
  <c r="D98" i="4"/>
  <c r="D99" i="4"/>
  <c r="D100" i="4"/>
  <c r="D101" i="4"/>
  <c r="D102" i="4"/>
  <c r="D103" i="4"/>
  <c r="D104" i="4"/>
  <c r="D105" i="4"/>
  <c r="J25" i="4" s="1"/>
  <c r="D106" i="4"/>
  <c r="D107" i="4"/>
  <c r="D108" i="4"/>
  <c r="D109" i="4"/>
  <c r="D110" i="4"/>
  <c r="D111" i="4"/>
  <c r="D112" i="4"/>
  <c r="J26" i="4" s="1"/>
  <c r="D113" i="4"/>
  <c r="D114" i="4"/>
  <c r="D115" i="4"/>
  <c r="D116" i="4"/>
  <c r="D117" i="4"/>
  <c r="D118" i="4"/>
  <c r="D119" i="4"/>
  <c r="D120" i="4"/>
  <c r="D121" i="4"/>
  <c r="D122" i="4"/>
  <c r="D123" i="4"/>
  <c r="D124" i="4"/>
  <c r="J27" i="4" s="1"/>
  <c r="D125" i="4"/>
  <c r="J28" i="4" s="1"/>
  <c r="D126" i="4"/>
  <c r="D127" i="4"/>
  <c r="D128" i="4"/>
  <c r="D129" i="4"/>
  <c r="D130" i="4"/>
  <c r="D131" i="4"/>
  <c r="J29" i="4" s="1"/>
  <c r="D132" i="4"/>
  <c r="D133" i="4"/>
  <c r="J30" i="4" s="1"/>
  <c r="D134" i="4"/>
  <c r="D135" i="4"/>
  <c r="D136" i="4"/>
  <c r="D137" i="4"/>
  <c r="D138" i="4"/>
  <c r="D139" i="4"/>
  <c r="J31" i="4" s="1"/>
  <c r="D140" i="4"/>
  <c r="J32" i="4" s="1"/>
  <c r="D141" i="4"/>
  <c r="J33" i="4" s="1"/>
  <c r="D142" i="4"/>
  <c r="D143" i="4"/>
  <c r="D144" i="4"/>
  <c r="J34" i="4" s="1"/>
  <c r="D145" i="4"/>
  <c r="D146" i="4"/>
  <c r="D147" i="4"/>
  <c r="D148" i="4"/>
  <c r="D149" i="4"/>
  <c r="D150" i="4"/>
  <c r="D151" i="4"/>
  <c r="J35" i="4" s="1"/>
  <c r="D152" i="4"/>
  <c r="D153" i="4"/>
  <c r="D154" i="4"/>
  <c r="D155" i="4"/>
  <c r="D156" i="4"/>
  <c r="D157" i="4"/>
  <c r="D158" i="4"/>
  <c r="D159" i="4"/>
  <c r="D160" i="4"/>
  <c r="D161" i="4"/>
  <c r="J36" i="4" s="1"/>
  <c r="D162" i="4"/>
  <c r="J37" i="4" s="1"/>
  <c r="D163" i="4"/>
  <c r="D164" i="4"/>
  <c r="J38" i="4" s="1"/>
  <c r="D165" i="4"/>
  <c r="D166" i="4"/>
  <c r="D167" i="4"/>
  <c r="D168" i="4"/>
  <c r="D169" i="4"/>
  <c r="D170" i="4"/>
  <c r="J39" i="4" s="1"/>
  <c r="D171" i="4"/>
  <c r="J40" i="4" s="1"/>
  <c r="D172" i="4"/>
  <c r="D173" i="4"/>
  <c r="D174" i="4"/>
  <c r="D175" i="4"/>
  <c r="J41" i="4" s="1"/>
  <c r="D176" i="4"/>
  <c r="D177" i="4"/>
  <c r="D178" i="4"/>
  <c r="D179" i="4"/>
  <c r="D180" i="4"/>
  <c r="D181" i="4"/>
  <c r="D182" i="4"/>
  <c r="D183" i="4"/>
  <c r="D184" i="4"/>
  <c r="D185" i="4"/>
  <c r="D186" i="4"/>
  <c r="D187" i="4"/>
  <c r="J42" i="4" s="1"/>
  <c r="D188" i="4"/>
  <c r="J43" i="4" s="1"/>
  <c r="D189" i="4"/>
  <c r="D190" i="4"/>
  <c r="D191" i="4"/>
  <c r="D192" i="4"/>
  <c r="D193" i="4"/>
  <c r="J44" i="4" s="1"/>
  <c r="D194" i="4"/>
  <c r="D195" i="4"/>
  <c r="D196" i="4"/>
  <c r="I8" i="4"/>
  <c r="I9" i="4"/>
  <c r="I10" i="4"/>
  <c r="I11" i="4"/>
  <c r="I12" i="4"/>
  <c r="I13" i="4"/>
  <c r="I14" i="4"/>
  <c r="I15" i="4"/>
  <c r="I16" i="4"/>
  <c r="I17" i="4"/>
  <c r="I18" i="4"/>
  <c r="I19" i="4"/>
  <c r="I20" i="4"/>
  <c r="I21" i="4"/>
  <c r="I22" i="4"/>
  <c r="I23" i="4"/>
  <c r="I24" i="4"/>
  <c r="I25" i="4"/>
  <c r="I26" i="4"/>
  <c r="I27" i="4"/>
  <c r="I28" i="4"/>
  <c r="I29" i="4"/>
  <c r="I30" i="4"/>
  <c r="I31" i="4"/>
  <c r="I32" i="4"/>
  <c r="I33" i="4"/>
  <c r="I34" i="4"/>
  <c r="I35" i="4"/>
  <c r="I36" i="4"/>
  <c r="I37" i="4"/>
  <c r="I38" i="4"/>
  <c r="I39" i="4"/>
  <c r="I40" i="4"/>
  <c r="I41" i="4"/>
  <c r="I42" i="4"/>
  <c r="I43" i="4"/>
  <c r="I44" i="4"/>
  <c r="I7" i="4"/>
  <c r="B3" i="4"/>
  <c r="B4" i="4"/>
  <c r="B5" i="4"/>
  <c r="B6" i="4"/>
  <c r="B7" i="4"/>
  <c r="B8" i="4"/>
  <c r="B9" i="4"/>
  <c r="B10" i="4"/>
  <c r="B11" i="4"/>
  <c r="B12" i="4"/>
  <c r="B13" i="4"/>
  <c r="B14" i="4"/>
  <c r="B15" i="4"/>
  <c r="B16" i="4"/>
  <c r="B17" i="4"/>
  <c r="B18" i="4"/>
  <c r="B19" i="4"/>
  <c r="B20" i="4"/>
  <c r="B21"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60" i="4"/>
  <c r="B61" i="4"/>
  <c r="B62" i="4"/>
  <c r="B63" i="4"/>
  <c r="B64" i="4"/>
  <c r="B65" i="4"/>
  <c r="B66" i="4"/>
  <c r="B67" i="4"/>
  <c r="B68" i="4"/>
  <c r="B69" i="4"/>
  <c r="B70" i="4"/>
  <c r="B71" i="4"/>
  <c r="B72" i="4"/>
  <c r="B73" i="4"/>
  <c r="B74" i="4"/>
  <c r="B75" i="4"/>
  <c r="B76" i="4"/>
  <c r="B77" i="4"/>
  <c r="B78" i="4"/>
  <c r="B79" i="4"/>
  <c r="B80" i="4"/>
  <c r="B81" i="4"/>
  <c r="B82" i="4"/>
  <c r="B83" i="4"/>
  <c r="B84" i="4"/>
  <c r="B85" i="4"/>
  <c r="B86" i="4"/>
  <c r="B87" i="4"/>
  <c r="B88" i="4"/>
  <c r="B89" i="4"/>
  <c r="B90" i="4"/>
  <c r="B91" i="4"/>
  <c r="B92" i="4"/>
  <c r="B93" i="4"/>
  <c r="B94" i="4"/>
  <c r="B95" i="4"/>
  <c r="B96" i="4"/>
  <c r="B97" i="4"/>
  <c r="B98" i="4"/>
  <c r="B99" i="4"/>
  <c r="B100" i="4"/>
  <c r="B101" i="4"/>
  <c r="B102" i="4"/>
  <c r="B103" i="4"/>
  <c r="B104" i="4"/>
  <c r="B105" i="4"/>
  <c r="B106" i="4"/>
  <c r="B107" i="4"/>
  <c r="B108" i="4"/>
  <c r="B109" i="4"/>
  <c r="B110" i="4"/>
  <c r="B111" i="4"/>
  <c r="B112" i="4"/>
  <c r="B113" i="4"/>
  <c r="B114" i="4"/>
  <c r="B115" i="4"/>
  <c r="B116" i="4"/>
  <c r="B117" i="4"/>
  <c r="B118" i="4"/>
  <c r="B119" i="4"/>
  <c r="B120" i="4"/>
  <c r="B121" i="4"/>
  <c r="B122" i="4"/>
  <c r="B123" i="4"/>
  <c r="B124" i="4"/>
  <c r="B125" i="4"/>
  <c r="B126" i="4"/>
  <c r="B127" i="4"/>
  <c r="B128" i="4"/>
  <c r="B129" i="4"/>
  <c r="B130" i="4"/>
  <c r="B131" i="4"/>
  <c r="B132" i="4"/>
  <c r="B133" i="4"/>
  <c r="B134" i="4"/>
  <c r="B135" i="4"/>
  <c r="B136" i="4"/>
  <c r="B137" i="4"/>
  <c r="B138" i="4"/>
  <c r="B139" i="4"/>
  <c r="B140" i="4"/>
  <c r="B141" i="4"/>
  <c r="B142" i="4"/>
  <c r="B143" i="4"/>
  <c r="B144" i="4"/>
  <c r="B145" i="4"/>
  <c r="B146" i="4"/>
  <c r="B147" i="4"/>
  <c r="B148" i="4"/>
  <c r="B149" i="4"/>
  <c r="B150" i="4"/>
  <c r="B151" i="4"/>
  <c r="B152" i="4"/>
  <c r="B153" i="4"/>
  <c r="B154" i="4"/>
  <c r="B155" i="4"/>
  <c r="B156" i="4"/>
  <c r="B157" i="4"/>
  <c r="B158" i="4"/>
  <c r="B159" i="4"/>
  <c r="B160" i="4"/>
  <c r="B161" i="4"/>
  <c r="B162" i="4"/>
  <c r="B163" i="4"/>
  <c r="B164" i="4"/>
  <c r="B165" i="4"/>
  <c r="B166" i="4"/>
  <c r="B167" i="4"/>
  <c r="B168" i="4"/>
  <c r="B169" i="4"/>
  <c r="B170" i="4"/>
  <c r="B171" i="4"/>
  <c r="B172" i="4"/>
  <c r="B173" i="4"/>
  <c r="B174" i="4"/>
  <c r="B175" i="4"/>
  <c r="B176" i="4"/>
  <c r="B177" i="4"/>
  <c r="B178" i="4"/>
  <c r="B179" i="4"/>
  <c r="B180" i="4"/>
  <c r="B181" i="4"/>
  <c r="B182" i="4"/>
  <c r="B183" i="4"/>
  <c r="B184" i="4"/>
  <c r="B185" i="4"/>
  <c r="B186" i="4"/>
  <c r="B187" i="4"/>
  <c r="B188" i="4"/>
  <c r="B189" i="4"/>
  <c r="B190" i="4"/>
  <c r="B191" i="4"/>
  <c r="B192" i="4"/>
  <c r="B193" i="4"/>
  <c r="B194" i="4"/>
  <c r="B195" i="4"/>
  <c r="B196" i="4"/>
  <c r="B2" i="4"/>
  <c r="F198" i="2"/>
  <c r="G198" i="2" s="1"/>
  <c r="H198" i="2" s="1"/>
  <c r="I198" i="2" s="1"/>
  <c r="J198" i="2" s="1"/>
  <c r="K198" i="2" s="1"/>
  <c r="L198" i="2" s="1"/>
  <c r="M198" i="2" s="1"/>
  <c r="N198" i="2" s="1"/>
  <c r="O198" i="2" s="1"/>
  <c r="P198" i="2" s="1"/>
  <c r="Q198" i="2" s="1"/>
  <c r="R198" i="2" s="1"/>
  <c r="S198" i="2" s="1"/>
  <c r="T198" i="2" s="1"/>
  <c r="U198" i="2" s="1"/>
  <c r="V198" i="2" s="1"/>
  <c r="W198" i="2" s="1"/>
  <c r="X198" i="2" s="1"/>
  <c r="Y198" i="2" s="1"/>
  <c r="Z198" i="2" s="1"/>
  <c r="AA198" i="2" s="1"/>
  <c r="AB198" i="2" s="1"/>
  <c r="AC198" i="2" s="1"/>
  <c r="AD198" i="2" s="1"/>
  <c r="AE198" i="2" s="1"/>
  <c r="AF198" i="2" s="1"/>
  <c r="AG198" i="2" s="1"/>
  <c r="AH198" i="2" s="1"/>
  <c r="AI198" i="2" s="1"/>
  <c r="AJ198" i="2" s="1"/>
  <c r="AK198" i="2" s="1"/>
  <c r="AL198" i="2" s="1"/>
  <c r="AM198" i="2" s="1"/>
  <c r="AN198" i="2" s="1"/>
  <c r="AO198" i="2" s="1"/>
  <c r="AP198" i="2" s="1"/>
  <c r="AQ198" i="2" s="1"/>
  <c r="AR198" i="2" s="1"/>
  <c r="AS198" i="2" s="1"/>
  <c r="AT198" i="2" s="1"/>
  <c r="AU198" i="2" s="1"/>
  <c r="AV198" i="2" s="1"/>
  <c r="AW198" i="2" s="1"/>
  <c r="AX198" i="2" s="1"/>
  <c r="AY198" i="2" s="1"/>
  <c r="AZ198" i="2" s="1"/>
  <c r="BA198" i="2" s="1"/>
  <c r="BB198" i="2" s="1"/>
  <c r="BC198" i="2" s="1"/>
  <c r="BD198" i="2" s="1"/>
  <c r="BE198" i="2" s="1"/>
  <c r="BF198" i="2" s="1"/>
  <c r="BG198" i="2" s="1"/>
  <c r="BH198" i="2" s="1"/>
  <c r="BI198" i="2" s="1"/>
  <c r="BJ198" i="2" s="1"/>
  <c r="BK198" i="2" s="1"/>
  <c r="BL198" i="2" s="1"/>
  <c r="BM198" i="2" s="1"/>
  <c r="BN198" i="2" s="1"/>
  <c r="BO198" i="2" s="1"/>
  <c r="BP198" i="2" s="1"/>
  <c r="BQ198" i="2" s="1"/>
  <c r="BR198" i="2" s="1"/>
  <c r="BS198" i="2" s="1"/>
  <c r="BT198" i="2" s="1"/>
  <c r="BU198" i="2" s="1"/>
  <c r="E198" i="2"/>
  <c r="B3" i="2"/>
  <c r="B4" i="2"/>
  <c r="B5"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107" i="2"/>
  <c r="B108" i="2"/>
  <c r="B109" i="2"/>
  <c r="B110" i="2"/>
  <c r="B111" i="2"/>
  <c r="B112" i="2"/>
  <c r="B113" i="2"/>
  <c r="B114" i="2"/>
  <c r="B115" i="2"/>
  <c r="B116" i="2"/>
  <c r="B117" i="2"/>
  <c r="B118" i="2"/>
  <c r="B119" i="2"/>
  <c r="B120" i="2"/>
  <c r="B121" i="2"/>
  <c r="B122" i="2"/>
  <c r="B123" i="2"/>
  <c r="B124" i="2"/>
  <c r="B125" i="2"/>
  <c r="B126" i="2"/>
  <c r="B127" i="2"/>
  <c r="B128" i="2"/>
  <c r="B129" i="2"/>
  <c r="B130" i="2"/>
  <c r="B131" i="2"/>
  <c r="B132" i="2"/>
  <c r="B133" i="2"/>
  <c r="B134" i="2"/>
  <c r="B135" i="2"/>
  <c r="B136" i="2"/>
  <c r="B137" i="2"/>
  <c r="B138" i="2"/>
  <c r="B139" i="2"/>
  <c r="B140" i="2"/>
  <c r="B141" i="2"/>
  <c r="B142" i="2"/>
  <c r="B143" i="2"/>
  <c r="B144" i="2"/>
  <c r="B145" i="2"/>
  <c r="B146" i="2"/>
  <c r="B147" i="2"/>
  <c r="B148" i="2"/>
  <c r="B149" i="2"/>
  <c r="B150" i="2"/>
  <c r="B151" i="2"/>
  <c r="B152" i="2"/>
  <c r="B153" i="2"/>
  <c r="B154" i="2"/>
  <c r="B155" i="2"/>
  <c r="B156" i="2"/>
  <c r="B157" i="2"/>
  <c r="B158" i="2"/>
  <c r="B159" i="2"/>
  <c r="B160" i="2"/>
  <c r="B161" i="2"/>
  <c r="B162" i="2"/>
  <c r="B163" i="2"/>
  <c r="B164" i="2"/>
  <c r="B165" i="2"/>
  <c r="B166" i="2"/>
  <c r="B167" i="2"/>
  <c r="B168" i="2"/>
  <c r="B169" i="2"/>
  <c r="B170" i="2"/>
  <c r="B171" i="2"/>
  <c r="B172" i="2"/>
  <c r="B173" i="2"/>
  <c r="B174" i="2"/>
  <c r="B175" i="2"/>
  <c r="B176" i="2"/>
  <c r="B177" i="2"/>
  <c r="B178" i="2"/>
  <c r="B179" i="2"/>
  <c r="B180" i="2"/>
  <c r="B181" i="2"/>
  <c r="B182" i="2"/>
  <c r="B183" i="2"/>
  <c r="B184" i="2"/>
  <c r="B185" i="2"/>
  <c r="B186" i="2"/>
  <c r="B187" i="2"/>
  <c r="B188" i="2"/>
  <c r="B189" i="2"/>
  <c r="B190" i="2"/>
  <c r="B191" i="2"/>
  <c r="B192" i="2"/>
  <c r="B193" i="2"/>
  <c r="B194" i="2"/>
  <c r="B195" i="2"/>
  <c r="B196" i="2"/>
  <c r="B2" i="2"/>
  <c r="A200" i="2"/>
  <c r="A201" i="2"/>
  <c r="A202" i="2"/>
  <c r="A203" i="2"/>
  <c r="A199" i="2"/>
  <c r="Q7" i="1" a="1"/>
  <c r="Q7" i="1" s="1"/>
  <c r="T7" i="1" s="1"/>
  <c r="A3" i="3"/>
  <c r="A4" i="3"/>
  <c r="A5" i="3"/>
  <c r="A6" i="3"/>
  <c r="A7" i="3"/>
  <c r="A8" i="3"/>
  <c r="A9" i="3"/>
  <c r="A10" i="3"/>
  <c r="A11" i="3"/>
  <c r="A12" i="3"/>
  <c r="A13" i="3"/>
  <c r="A14" i="3"/>
  <c r="A15" i="3"/>
  <c r="A16" i="3"/>
  <c r="A17" i="3"/>
  <c r="A18" i="3"/>
  <c r="A19" i="3"/>
  <c r="A20" i="3"/>
  <c r="A21" i="3"/>
  <c r="A22" i="3"/>
  <c r="A23" i="3"/>
  <c r="A24" i="3"/>
  <c r="A25" i="3"/>
  <c r="A26" i="3"/>
  <c r="A27" i="3"/>
  <c r="A28" i="3"/>
  <c r="A29" i="3"/>
  <c r="A30" i="3"/>
  <c r="A31" i="3"/>
  <c r="A32" i="3"/>
  <c r="A33" i="3"/>
  <c r="A34" i="3"/>
  <c r="A35" i="3"/>
  <c r="A36" i="3"/>
  <c r="A37" i="3"/>
  <c r="A38" i="3"/>
  <c r="A39" i="3"/>
  <c r="A40" i="3"/>
  <c r="A41" i="3"/>
  <c r="A42" i="3"/>
  <c r="A43" i="3"/>
  <c r="A44" i="3"/>
  <c r="A45" i="3"/>
  <c r="A46" i="3"/>
  <c r="A47" i="3"/>
  <c r="A48" i="3"/>
  <c r="A49" i="3"/>
  <c r="A50" i="3"/>
  <c r="A51" i="3"/>
  <c r="A52" i="3"/>
  <c r="A53" i="3"/>
  <c r="A54" i="3"/>
  <c r="A55" i="3"/>
  <c r="A56" i="3"/>
  <c r="A57" i="3"/>
  <c r="A58" i="3"/>
  <c r="A59" i="3"/>
  <c r="A60" i="3"/>
  <c r="A61" i="3"/>
  <c r="A62" i="3"/>
  <c r="A63" i="3"/>
  <c r="A64" i="3"/>
  <c r="A65" i="3"/>
  <c r="A66" i="3"/>
  <c r="A67" i="3"/>
  <c r="A68" i="3"/>
  <c r="A69" i="3"/>
  <c r="A70" i="3"/>
  <c r="A71" i="3"/>
  <c r="A72" i="3"/>
  <c r="A73" i="3"/>
  <c r="A74" i="3"/>
  <c r="A75" i="3"/>
  <c r="A76" i="3"/>
  <c r="A77" i="3"/>
  <c r="A78" i="3"/>
  <c r="A79" i="3"/>
  <c r="A80" i="3"/>
  <c r="A81" i="3"/>
  <c r="A82" i="3"/>
  <c r="A83" i="3"/>
  <c r="A84" i="3"/>
  <c r="A85" i="3"/>
  <c r="A86" i="3"/>
  <c r="A87" i="3"/>
  <c r="A88" i="3"/>
  <c r="A89" i="3"/>
  <c r="A90" i="3"/>
  <c r="A91" i="3"/>
  <c r="A92" i="3"/>
  <c r="A93" i="3"/>
  <c r="A94" i="3"/>
  <c r="A95" i="3"/>
  <c r="A96" i="3"/>
  <c r="A97" i="3"/>
  <c r="A98" i="3"/>
  <c r="A99" i="3"/>
  <c r="A100" i="3"/>
  <c r="A101" i="3"/>
  <c r="A102" i="3"/>
  <c r="A103" i="3"/>
  <c r="A104" i="3"/>
  <c r="A105" i="3"/>
  <c r="A106" i="3"/>
  <c r="A107" i="3"/>
  <c r="A108" i="3"/>
  <c r="A109" i="3"/>
  <c r="A110" i="3"/>
  <c r="A111" i="3"/>
  <c r="A112" i="3"/>
  <c r="A113" i="3"/>
  <c r="A114" i="3"/>
  <c r="A115" i="3"/>
  <c r="A116" i="3"/>
  <c r="A117" i="3"/>
  <c r="A118" i="3"/>
  <c r="A119" i="3"/>
  <c r="A120" i="3"/>
  <c r="A121" i="3"/>
  <c r="A122" i="3"/>
  <c r="A123" i="3"/>
  <c r="A124" i="3"/>
  <c r="A125" i="3"/>
  <c r="A126" i="3"/>
  <c r="A127" i="3"/>
  <c r="A128" i="3"/>
  <c r="A129" i="3"/>
  <c r="A130" i="3"/>
  <c r="A131" i="3"/>
  <c r="A132" i="3"/>
  <c r="A133" i="3"/>
  <c r="A134" i="3"/>
  <c r="A135" i="3"/>
  <c r="A136" i="3"/>
  <c r="A137" i="3"/>
  <c r="A138" i="3"/>
  <c r="A139" i="3"/>
  <c r="A140" i="3"/>
  <c r="A141" i="3"/>
  <c r="A142" i="3"/>
  <c r="A143" i="3"/>
  <c r="A144" i="3"/>
  <c r="A145" i="3"/>
  <c r="A146" i="3"/>
  <c r="A147" i="3"/>
  <c r="A148" i="3"/>
  <c r="A149" i="3"/>
  <c r="A150" i="3"/>
  <c r="A151" i="3"/>
  <c r="A152" i="3"/>
  <c r="A153" i="3"/>
  <c r="A154" i="3"/>
  <c r="A155" i="3"/>
  <c r="A156" i="3"/>
  <c r="A157" i="3"/>
  <c r="A158" i="3"/>
  <c r="A159" i="3"/>
  <c r="A160" i="3"/>
  <c r="A161" i="3"/>
  <c r="A162" i="3"/>
  <c r="A163" i="3"/>
  <c r="A164" i="3"/>
  <c r="A165" i="3"/>
  <c r="A166" i="3"/>
  <c r="A167" i="3"/>
  <c r="A168" i="3"/>
  <c r="A169" i="3"/>
  <c r="A170" i="3"/>
  <c r="A171" i="3"/>
  <c r="A172" i="3"/>
  <c r="A173" i="3"/>
  <c r="A174" i="3"/>
  <c r="A175" i="3"/>
  <c r="A176" i="3"/>
  <c r="A177" i="3"/>
  <c r="A178" i="3"/>
  <c r="A179" i="3"/>
  <c r="A180" i="3"/>
  <c r="A181" i="3"/>
  <c r="A182" i="3"/>
  <c r="A183" i="3"/>
  <c r="A184" i="3"/>
  <c r="A185" i="3"/>
  <c r="A186" i="3"/>
  <c r="A187" i="3"/>
  <c r="A188" i="3"/>
  <c r="A189" i="3"/>
  <c r="A190" i="3"/>
  <c r="A191" i="3"/>
  <c r="A192" i="3"/>
  <c r="A193" i="3"/>
  <c r="A194" i="3"/>
  <c r="A195" i="3"/>
  <c r="A2" i="3"/>
  <c r="B3" i="3"/>
  <c r="B4" i="3"/>
  <c r="B5" i="3"/>
  <c r="B6" i="3"/>
  <c r="B7" i="3"/>
  <c r="B8" i="3"/>
  <c r="B9" i="3"/>
  <c r="B10" i="3"/>
  <c r="B11" i="3"/>
  <c r="B12" i="3"/>
  <c r="B13" i="3"/>
  <c r="B14" i="3"/>
  <c r="B15" i="3"/>
  <c r="B16" i="3"/>
  <c r="B17" i="3"/>
  <c r="B18" i="3"/>
  <c r="B19" i="3"/>
  <c r="B20" i="3"/>
  <c r="B21" i="3"/>
  <c r="B22" i="3"/>
  <c r="B23" i="3"/>
  <c r="B24" i="3"/>
  <c r="B25" i="3"/>
  <c r="B26" i="3"/>
  <c r="B27" i="3"/>
  <c r="B28" i="3"/>
  <c r="B29" i="3"/>
  <c r="B30" i="3"/>
  <c r="B31" i="3"/>
  <c r="B32" i="3"/>
  <c r="B33" i="3"/>
  <c r="B34" i="3"/>
  <c r="B35" i="3"/>
  <c r="B36" i="3"/>
  <c r="B37" i="3"/>
  <c r="B38" i="3"/>
  <c r="B39" i="3"/>
  <c r="B40" i="3"/>
  <c r="B41" i="3"/>
  <c r="B42" i="3"/>
  <c r="B43" i="3"/>
  <c r="B44" i="3"/>
  <c r="B45" i="3"/>
  <c r="B46" i="3"/>
  <c r="B47" i="3"/>
  <c r="B48" i="3"/>
  <c r="B49" i="3"/>
  <c r="B50" i="3"/>
  <c r="B51" i="3"/>
  <c r="B52" i="3"/>
  <c r="B53" i="3"/>
  <c r="B54" i="3"/>
  <c r="B55" i="3"/>
  <c r="B56" i="3"/>
  <c r="B57" i="3"/>
  <c r="B58" i="3"/>
  <c r="B59" i="3"/>
  <c r="B60" i="3"/>
  <c r="B61" i="3"/>
  <c r="B62" i="3"/>
  <c r="B63" i="3"/>
  <c r="B64" i="3"/>
  <c r="B65" i="3"/>
  <c r="B66" i="3"/>
  <c r="B67" i="3"/>
  <c r="B68" i="3"/>
  <c r="B69" i="3"/>
  <c r="B70" i="3"/>
  <c r="B71" i="3"/>
  <c r="B72" i="3"/>
  <c r="B73" i="3"/>
  <c r="B74" i="3"/>
  <c r="B75" i="3"/>
  <c r="B76" i="3"/>
  <c r="B77" i="3"/>
  <c r="B78" i="3"/>
  <c r="B79" i="3"/>
  <c r="B80" i="3"/>
  <c r="B81" i="3"/>
  <c r="B82" i="3"/>
  <c r="B83" i="3"/>
  <c r="B84" i="3"/>
  <c r="B85" i="3"/>
  <c r="B86" i="3"/>
  <c r="B87" i="3"/>
  <c r="B88" i="3"/>
  <c r="B89" i="3"/>
  <c r="B90" i="3"/>
  <c r="B91" i="3"/>
  <c r="B92" i="3"/>
  <c r="B93" i="3"/>
  <c r="B94" i="3"/>
  <c r="B95" i="3"/>
  <c r="B96" i="3"/>
  <c r="B97" i="3"/>
  <c r="B98" i="3"/>
  <c r="B99" i="3"/>
  <c r="B100" i="3"/>
  <c r="B101" i="3"/>
  <c r="B102" i="3"/>
  <c r="B103" i="3"/>
  <c r="B104" i="3"/>
  <c r="B105" i="3"/>
  <c r="B106" i="3"/>
  <c r="B107" i="3"/>
  <c r="B108" i="3"/>
  <c r="B109" i="3"/>
  <c r="B110" i="3"/>
  <c r="B111" i="3"/>
  <c r="B112" i="3"/>
  <c r="B113" i="3"/>
  <c r="B114" i="3"/>
  <c r="B115" i="3"/>
  <c r="B116" i="3"/>
  <c r="B117" i="3"/>
  <c r="B118" i="3"/>
  <c r="B119" i="3"/>
  <c r="B120" i="3"/>
  <c r="B121" i="3"/>
  <c r="B122" i="3"/>
  <c r="B123" i="3"/>
  <c r="B124" i="3"/>
  <c r="B125" i="3"/>
  <c r="B126" i="3"/>
  <c r="B127" i="3"/>
  <c r="B128" i="3"/>
  <c r="B129" i="3"/>
  <c r="B130" i="3"/>
  <c r="B131" i="3"/>
  <c r="B132" i="3"/>
  <c r="B133" i="3"/>
  <c r="B134" i="3"/>
  <c r="B135" i="3"/>
  <c r="B136" i="3"/>
  <c r="B137" i="3"/>
  <c r="B138" i="3"/>
  <c r="B139" i="3"/>
  <c r="B140" i="3"/>
  <c r="B141" i="3"/>
  <c r="B142" i="3"/>
  <c r="B143" i="3"/>
  <c r="B144" i="3"/>
  <c r="B145" i="3"/>
  <c r="B146" i="3"/>
  <c r="B147" i="3"/>
  <c r="B148" i="3"/>
  <c r="B149" i="3"/>
  <c r="B150" i="3"/>
  <c r="B151" i="3"/>
  <c r="B152" i="3"/>
  <c r="B153" i="3"/>
  <c r="B154" i="3"/>
  <c r="B155" i="3"/>
  <c r="B156" i="3"/>
  <c r="B157" i="3"/>
  <c r="B158" i="3"/>
  <c r="B159" i="3"/>
  <c r="B160" i="3"/>
  <c r="B161" i="3"/>
  <c r="B162" i="3"/>
  <c r="B163" i="3"/>
  <c r="B164" i="3"/>
  <c r="B165" i="3"/>
  <c r="B166" i="3"/>
  <c r="B167" i="3"/>
  <c r="B168" i="3"/>
  <c r="B169" i="3"/>
  <c r="B170" i="3"/>
  <c r="B171" i="3"/>
  <c r="B172" i="3"/>
  <c r="B173" i="3"/>
  <c r="B174" i="3"/>
  <c r="B175" i="3"/>
  <c r="B176" i="3"/>
  <c r="B177" i="3"/>
  <c r="B178" i="3"/>
  <c r="B179" i="3"/>
  <c r="B180" i="3"/>
  <c r="B181" i="3"/>
  <c r="B182" i="3"/>
  <c r="B183" i="3"/>
  <c r="B184" i="3"/>
  <c r="B185" i="3"/>
  <c r="B186" i="3"/>
  <c r="B187" i="3"/>
  <c r="B188" i="3"/>
  <c r="B189" i="3"/>
  <c r="B190" i="3"/>
  <c r="B191" i="3"/>
  <c r="B192" i="3"/>
  <c r="B193" i="3"/>
  <c r="B194" i="3"/>
  <c r="B195" i="3"/>
  <c r="B2" i="3"/>
  <c r="BU1" i="2"/>
  <c r="BT1" i="2"/>
  <c r="BS1" i="2"/>
  <c r="BR1" i="2"/>
  <c r="BQ1" i="2"/>
  <c r="BP1" i="2"/>
  <c r="BO1" i="2"/>
  <c r="BN1" i="2"/>
  <c r="BM1" i="2"/>
  <c r="BL1" i="2"/>
  <c r="BK1" i="2"/>
  <c r="BJ1" i="2"/>
  <c r="BI1" i="2"/>
  <c r="BH1" i="2"/>
  <c r="BG1" i="2"/>
  <c r="BF1" i="2"/>
  <c r="BE1" i="2"/>
  <c r="BD1" i="2"/>
  <c r="BC1" i="2"/>
  <c r="BB1" i="2"/>
  <c r="BA1" i="2"/>
  <c r="AZ1" i="2"/>
  <c r="AY1" i="2"/>
  <c r="AX1" i="2"/>
  <c r="AW1" i="2"/>
  <c r="AV1" i="2"/>
  <c r="AU1" i="2"/>
  <c r="AT1" i="2"/>
  <c r="AS1" i="2"/>
  <c r="AR1" i="2"/>
  <c r="AQ1" i="2"/>
  <c r="AP1" i="2"/>
  <c r="AO1" i="2"/>
  <c r="AN1" i="2"/>
  <c r="AM1" i="2"/>
  <c r="AL1" i="2"/>
  <c r="AK1" i="2"/>
  <c r="AJ1" i="2"/>
  <c r="AI1" i="2"/>
  <c r="AH1" i="2"/>
  <c r="AG1" i="2"/>
  <c r="AF1" i="2"/>
  <c r="AE1" i="2"/>
  <c r="AD1" i="2"/>
  <c r="AC1" i="2"/>
  <c r="AB1" i="2"/>
  <c r="AA1" i="2"/>
  <c r="Z1" i="2"/>
  <c r="Y1" i="2"/>
  <c r="X1" i="2"/>
  <c r="W1" i="2"/>
  <c r="V1" i="2"/>
  <c r="U1" i="2"/>
  <c r="T1" i="2"/>
  <c r="S1" i="2"/>
  <c r="R1" i="2"/>
  <c r="Q1" i="2"/>
  <c r="P1" i="2"/>
  <c r="O1" i="2"/>
  <c r="N1" i="2"/>
  <c r="M1" i="2"/>
  <c r="L1" i="2"/>
  <c r="K1" i="2"/>
  <c r="J1" i="2"/>
  <c r="I1" i="2"/>
  <c r="H1" i="2"/>
  <c r="G1" i="2"/>
  <c r="F1" i="2"/>
  <c r="E1" i="2"/>
  <c r="D1" i="2"/>
  <c r="C1" i="2"/>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2" i="1"/>
  <c r="H3" i="1"/>
  <c r="H4" i="1"/>
  <c r="H5" i="1"/>
  <c r="H6" i="1"/>
  <c r="H7" i="1"/>
  <c r="H8" i="1"/>
  <c r="H9" i="1"/>
  <c r="H2" i="1"/>
  <c r="J3" i="4" l="1"/>
  <c r="J5" i="4"/>
  <c r="J4" i="4"/>
  <c r="I3" i="4"/>
  <c r="I6" i="4"/>
  <c r="R201" i="2"/>
  <c r="I5" i="4"/>
  <c r="J203" i="2"/>
  <c r="R199" i="2"/>
  <c r="N202" i="2"/>
  <c r="I2" i="4"/>
  <c r="L200" i="2"/>
  <c r="I4" i="4"/>
  <c r="E202" i="2"/>
  <c r="AC200" i="2"/>
  <c r="AB200" i="2"/>
  <c r="E200" i="2"/>
  <c r="AK202" i="2"/>
  <c r="BD200" i="2"/>
  <c r="D202" i="2"/>
  <c r="BT202" i="2"/>
  <c r="BL201" i="2"/>
  <c r="AO200" i="2"/>
  <c r="AD199" i="2"/>
  <c r="I203" i="2"/>
  <c r="I201" i="2"/>
  <c r="H199" i="2"/>
  <c r="BO203" i="2"/>
  <c r="BC203" i="2"/>
  <c r="AQ203" i="2"/>
  <c r="AE203" i="2"/>
  <c r="S203" i="2"/>
  <c r="BS202" i="2"/>
  <c r="BG202" i="2"/>
  <c r="AU202" i="2"/>
  <c r="AI202" i="2"/>
  <c r="W202" i="2"/>
  <c r="K202" i="2"/>
  <c r="BK201" i="2"/>
  <c r="AY201" i="2"/>
  <c r="AM201" i="2"/>
  <c r="AA201" i="2"/>
  <c r="O201" i="2"/>
  <c r="BN200" i="2"/>
  <c r="BA200" i="2"/>
  <c r="AN200" i="2"/>
  <c r="AA200" i="2"/>
  <c r="N200" i="2"/>
  <c r="BM199" i="2"/>
  <c r="AS199" i="2"/>
  <c r="AC199" i="2"/>
  <c r="AS203" i="2"/>
  <c r="BA201" i="2"/>
  <c r="O199" i="2"/>
  <c r="C200" i="2"/>
  <c r="BH202" i="2"/>
  <c r="AZ201" i="2"/>
  <c r="BP200" i="2"/>
  <c r="AT199" i="2"/>
  <c r="H203" i="2"/>
  <c r="H201" i="2"/>
  <c r="G199" i="2"/>
  <c r="BN203" i="2"/>
  <c r="BB203" i="2"/>
  <c r="AP203" i="2"/>
  <c r="AD203" i="2"/>
  <c r="R203" i="2"/>
  <c r="BR202" i="2"/>
  <c r="BF202" i="2"/>
  <c r="AT202" i="2"/>
  <c r="AH202" i="2"/>
  <c r="V202" i="2"/>
  <c r="J202" i="2"/>
  <c r="BJ201" i="2"/>
  <c r="AX201" i="2"/>
  <c r="AL201" i="2"/>
  <c r="Z201" i="2"/>
  <c r="N201" i="2"/>
  <c r="BM200" i="2"/>
  <c r="AZ200" i="2"/>
  <c r="AM200" i="2"/>
  <c r="Z200" i="2"/>
  <c r="M200" i="2"/>
  <c r="BL199" i="2"/>
  <c r="AR199" i="2"/>
  <c r="AB199" i="2"/>
  <c r="BI202" i="2"/>
  <c r="Q201" i="2"/>
  <c r="AY199" i="2"/>
  <c r="BP203" i="2"/>
  <c r="AV202" i="2"/>
  <c r="AN201" i="2"/>
  <c r="BB200" i="2"/>
  <c r="G203" i="2"/>
  <c r="G201" i="2"/>
  <c r="F199" i="2"/>
  <c r="BM203" i="2"/>
  <c r="BA203" i="2"/>
  <c r="AO203" i="2"/>
  <c r="AC203" i="2"/>
  <c r="Q203" i="2"/>
  <c r="BQ202" i="2"/>
  <c r="BE202" i="2"/>
  <c r="AS202" i="2"/>
  <c r="AG202" i="2"/>
  <c r="U202" i="2"/>
  <c r="BU201" i="2"/>
  <c r="BI201" i="2"/>
  <c r="AW201" i="2"/>
  <c r="AK201" i="2"/>
  <c r="Y201" i="2"/>
  <c r="M201" i="2"/>
  <c r="BL200" i="2"/>
  <c r="AY200" i="2"/>
  <c r="AL200" i="2"/>
  <c r="Y200" i="2"/>
  <c r="BK199" i="2"/>
  <c r="AQ199" i="2"/>
  <c r="AA199" i="2"/>
  <c r="U203" i="2"/>
  <c r="BM201" i="2"/>
  <c r="P200" i="2"/>
  <c r="T203" i="2"/>
  <c r="L202" i="2"/>
  <c r="AB201" i="2"/>
  <c r="S200" i="2"/>
  <c r="AE200" i="2"/>
  <c r="AQ200" i="2"/>
  <c r="BC200" i="2"/>
  <c r="BO200" i="2"/>
  <c r="F203" i="2"/>
  <c r="F201" i="2"/>
  <c r="E199" i="2"/>
  <c r="BL203" i="2"/>
  <c r="AZ203" i="2"/>
  <c r="AN203" i="2"/>
  <c r="AB203" i="2"/>
  <c r="P203" i="2"/>
  <c r="BP202" i="2"/>
  <c r="BD202" i="2"/>
  <c r="AR202" i="2"/>
  <c r="AF202" i="2"/>
  <c r="T202" i="2"/>
  <c r="BT201" i="2"/>
  <c r="BH201" i="2"/>
  <c r="AV201" i="2"/>
  <c r="AJ201" i="2"/>
  <c r="X201" i="2"/>
  <c r="L201" i="2"/>
  <c r="BK200" i="2"/>
  <c r="AX200" i="2"/>
  <c r="AK200" i="2"/>
  <c r="X200" i="2"/>
  <c r="K200" i="2"/>
  <c r="BF199" i="2"/>
  <c r="AP199" i="2"/>
  <c r="V199" i="2"/>
  <c r="P201" i="2"/>
  <c r="E203" i="2"/>
  <c r="E201" i="2"/>
  <c r="D199" i="2"/>
  <c r="BK203" i="2"/>
  <c r="AY203" i="2"/>
  <c r="AM203" i="2"/>
  <c r="AA203" i="2"/>
  <c r="O203" i="2"/>
  <c r="BO202" i="2"/>
  <c r="BC202" i="2"/>
  <c r="AQ202" i="2"/>
  <c r="AE202" i="2"/>
  <c r="S202" i="2"/>
  <c r="BS201" i="2"/>
  <c r="BG201" i="2"/>
  <c r="AU201" i="2"/>
  <c r="AI201" i="2"/>
  <c r="W201" i="2"/>
  <c r="K201" i="2"/>
  <c r="BJ200" i="2"/>
  <c r="AW200" i="2"/>
  <c r="AJ200" i="2"/>
  <c r="W200" i="2"/>
  <c r="J200" i="2"/>
  <c r="BE199" i="2"/>
  <c r="AO199" i="2"/>
  <c r="U199" i="2"/>
  <c r="C201" i="2"/>
  <c r="AW202" i="2"/>
  <c r="AC201" i="2"/>
  <c r="BO199" i="2"/>
  <c r="BD203" i="2"/>
  <c r="X202" i="2"/>
  <c r="D203" i="2"/>
  <c r="D201" i="2"/>
  <c r="I199" i="2"/>
  <c r="BJ203" i="2"/>
  <c r="AX203" i="2"/>
  <c r="AL203" i="2"/>
  <c r="Z203" i="2"/>
  <c r="N203" i="2"/>
  <c r="BN202" i="2"/>
  <c r="BB202" i="2"/>
  <c r="AP202" i="2"/>
  <c r="AD202" i="2"/>
  <c r="R202" i="2"/>
  <c r="BR201" i="2"/>
  <c r="BF201" i="2"/>
  <c r="AT201" i="2"/>
  <c r="AH201" i="2"/>
  <c r="V201" i="2"/>
  <c r="J201" i="2"/>
  <c r="BI200" i="2"/>
  <c r="AV200" i="2"/>
  <c r="AI200" i="2"/>
  <c r="V200" i="2"/>
  <c r="BU199" i="2"/>
  <c r="BD199" i="2"/>
  <c r="AN199" i="2"/>
  <c r="T199" i="2"/>
  <c r="BU202" i="2"/>
  <c r="AP200" i="2"/>
  <c r="AR203" i="2"/>
  <c r="J199" i="2"/>
  <c r="I202" i="2"/>
  <c r="I200" i="2"/>
  <c r="BU203" i="2"/>
  <c r="BI203" i="2"/>
  <c r="AW203" i="2"/>
  <c r="AK203" i="2"/>
  <c r="Y203" i="2"/>
  <c r="M203" i="2"/>
  <c r="BM202" i="2"/>
  <c r="BA202" i="2"/>
  <c r="AO202" i="2"/>
  <c r="AC202" i="2"/>
  <c r="Q202" i="2"/>
  <c r="BQ201" i="2"/>
  <c r="BE201" i="2"/>
  <c r="AS201" i="2"/>
  <c r="AG201" i="2"/>
  <c r="U201" i="2"/>
  <c r="BU200" i="2"/>
  <c r="BH200" i="2"/>
  <c r="AU200" i="2"/>
  <c r="AH200" i="2"/>
  <c r="U200" i="2"/>
  <c r="BT199" i="2"/>
  <c r="BC199" i="2"/>
  <c r="AM199" i="2"/>
  <c r="S199" i="2"/>
  <c r="BE203" i="2"/>
  <c r="AO201" i="2"/>
  <c r="AE199" i="2"/>
  <c r="AJ202" i="2"/>
  <c r="BN199" i="2"/>
  <c r="C199" i="2"/>
  <c r="H202" i="2"/>
  <c r="H200" i="2"/>
  <c r="BT203" i="2"/>
  <c r="BH203" i="2"/>
  <c r="AV203" i="2"/>
  <c r="AJ203" i="2"/>
  <c r="X203" i="2"/>
  <c r="L203" i="2"/>
  <c r="BL202" i="2"/>
  <c r="AZ202" i="2"/>
  <c r="AN202" i="2"/>
  <c r="AB202" i="2"/>
  <c r="P202" i="2"/>
  <c r="BP201" i="2"/>
  <c r="BD201" i="2"/>
  <c r="AR201" i="2"/>
  <c r="AF201" i="2"/>
  <c r="T201" i="2"/>
  <c r="BT200" i="2"/>
  <c r="BG200" i="2"/>
  <c r="AT200" i="2"/>
  <c r="AG200" i="2"/>
  <c r="T200" i="2"/>
  <c r="BR199" i="2"/>
  <c r="BB199" i="2"/>
  <c r="AH199" i="2"/>
  <c r="BQ203" i="2"/>
  <c r="Y202" i="2"/>
  <c r="BQ200" i="2"/>
  <c r="K199" i="2"/>
  <c r="W199" i="2"/>
  <c r="AI199" i="2"/>
  <c r="AU199" i="2"/>
  <c r="BG199" i="2"/>
  <c r="BS199" i="2"/>
  <c r="L199" i="2"/>
  <c r="X199" i="2"/>
  <c r="AJ199" i="2"/>
  <c r="AV199" i="2"/>
  <c r="BH199" i="2"/>
  <c r="M199" i="2"/>
  <c r="Y199" i="2"/>
  <c r="AK199" i="2"/>
  <c r="AW199" i="2"/>
  <c r="BI199" i="2"/>
  <c r="N199" i="2"/>
  <c r="Z199" i="2"/>
  <c r="AL199" i="2"/>
  <c r="AX199" i="2"/>
  <c r="BJ199" i="2"/>
  <c r="D200" i="2"/>
  <c r="O200" i="2"/>
  <c r="C203" i="2"/>
  <c r="G202" i="2"/>
  <c r="G200" i="2"/>
  <c r="BS203" i="2"/>
  <c r="BG203" i="2"/>
  <c r="AU203" i="2"/>
  <c r="AI203" i="2"/>
  <c r="W203" i="2"/>
  <c r="K203" i="2"/>
  <c r="BK202" i="2"/>
  <c r="AY202" i="2"/>
  <c r="AM202" i="2"/>
  <c r="AA202" i="2"/>
  <c r="O202" i="2"/>
  <c r="BO201" i="2"/>
  <c r="BC201" i="2"/>
  <c r="AQ201" i="2"/>
  <c r="AE201" i="2"/>
  <c r="S201" i="2"/>
  <c r="BS200" i="2"/>
  <c r="BF200" i="2"/>
  <c r="AS200" i="2"/>
  <c r="AF200" i="2"/>
  <c r="R200" i="2"/>
  <c r="BQ199" i="2"/>
  <c r="BA199" i="2"/>
  <c r="AG199" i="2"/>
  <c r="Q199" i="2"/>
  <c r="AG203" i="2"/>
  <c r="M202" i="2"/>
  <c r="AF203" i="2"/>
  <c r="C202" i="2"/>
  <c r="F202" i="2"/>
  <c r="F200" i="2"/>
  <c r="BR203" i="2"/>
  <c r="BF203" i="2"/>
  <c r="AT203" i="2"/>
  <c r="AH203" i="2"/>
  <c r="V203" i="2"/>
  <c r="BJ202" i="2"/>
  <c r="AX202" i="2"/>
  <c r="AL202" i="2"/>
  <c r="Z202" i="2"/>
  <c r="BN201" i="2"/>
  <c r="BB201" i="2"/>
  <c r="AP201" i="2"/>
  <c r="AD201" i="2"/>
  <c r="BR200" i="2"/>
  <c r="BE200" i="2"/>
  <c r="AR200" i="2"/>
  <c r="AD200" i="2"/>
  <c r="Q200" i="2"/>
  <c r="BP199" i="2"/>
  <c r="AZ199" i="2"/>
  <c r="AF199" i="2"/>
  <c r="P199" i="2"/>
  <c r="A238" i="2"/>
  <c r="A226" i="2"/>
  <c r="A214" i="2"/>
  <c r="A237" i="2"/>
  <c r="A225" i="2"/>
  <c r="A213" i="2"/>
  <c r="A236" i="2"/>
  <c r="A224" i="2"/>
  <c r="A212" i="2"/>
  <c r="A235" i="2"/>
  <c r="A223" i="2"/>
  <c r="A211" i="2"/>
  <c r="A234" i="2"/>
  <c r="A222" i="2"/>
  <c r="A210" i="2"/>
  <c r="A227" i="2"/>
  <c r="A215" i="2"/>
  <c r="A233" i="2"/>
  <c r="A221" i="2"/>
  <c r="A209" i="2"/>
  <c r="A232" i="2"/>
  <c r="A220" i="2"/>
  <c r="A208" i="2"/>
  <c r="A231" i="2"/>
  <c r="A219" i="2"/>
  <c r="A207" i="2"/>
  <c r="A230" i="2"/>
  <c r="A218" i="2"/>
  <c r="A206" i="2"/>
  <c r="A229" i="2"/>
  <c r="A217" i="2"/>
  <c r="A205" i="2"/>
  <c r="A228" i="2"/>
  <c r="A216" i="2"/>
  <c r="A204" i="2"/>
  <c r="V36" i="1"/>
  <c r="V35" i="1"/>
  <c r="U29" i="1"/>
  <c r="U23" i="1"/>
  <c r="V24" i="1"/>
  <c r="U36" i="1"/>
  <c r="V29" i="1"/>
  <c r="V37" i="1"/>
  <c r="V31" i="1"/>
  <c r="V25" i="1"/>
  <c r="V19" i="1"/>
  <c r="V13" i="1"/>
  <c r="V30" i="1"/>
  <c r="U30" i="1"/>
  <c r="V23" i="1"/>
  <c r="U37" i="1"/>
  <c r="U31" i="1"/>
  <c r="U25" i="1"/>
  <c r="U19" i="1"/>
  <c r="U13" i="1"/>
  <c r="V12" i="1"/>
  <c r="U12" i="1"/>
  <c r="V11" i="1"/>
  <c r="U11" i="1"/>
  <c r="V10" i="1"/>
  <c r="U10" i="1"/>
  <c r="V9" i="1"/>
  <c r="V18" i="1"/>
  <c r="V41" i="1"/>
  <c r="V17" i="1"/>
  <c r="V22" i="1"/>
  <c r="U28" i="1"/>
  <c r="V27" i="1"/>
  <c r="U9" i="1"/>
  <c r="U24" i="1"/>
  <c r="U41" i="1"/>
  <c r="U17" i="1"/>
  <c r="V40" i="1"/>
  <c r="V34" i="1"/>
  <c r="V28" i="1"/>
  <c r="V16" i="1"/>
  <c r="U34" i="1"/>
  <c r="U22" i="1"/>
  <c r="U7" i="1"/>
  <c r="V33" i="1"/>
  <c r="V15" i="1"/>
  <c r="U15" i="1"/>
  <c r="V38" i="1"/>
  <c r="V32" i="1"/>
  <c r="V26" i="1"/>
  <c r="V20" i="1"/>
  <c r="V14" i="1"/>
  <c r="V8" i="1"/>
  <c r="U18" i="1"/>
  <c r="U35" i="1"/>
  <c r="U40" i="1"/>
  <c r="U16" i="1"/>
  <c r="V39" i="1"/>
  <c r="V21" i="1"/>
  <c r="V7" i="1"/>
  <c r="U39" i="1"/>
  <c r="U33" i="1"/>
  <c r="U27" i="1"/>
  <c r="U21" i="1"/>
  <c r="U38" i="1"/>
  <c r="U32" i="1"/>
  <c r="U26" i="1"/>
  <c r="U20" i="1"/>
  <c r="U14" i="1"/>
  <c r="U8" i="1"/>
  <c r="T2" i="1"/>
  <c r="T6" i="1"/>
  <c r="T5" i="1"/>
  <c r="T3" i="1"/>
  <c r="T38" i="1"/>
  <c r="T33" i="1"/>
  <c r="T21" i="1"/>
  <c r="T9" i="1"/>
  <c r="T32" i="1"/>
  <c r="T20" i="1"/>
  <c r="T19" i="1"/>
  <c r="T18" i="1"/>
  <c r="T31" i="1"/>
  <c r="T30" i="1"/>
  <c r="T4" i="1"/>
  <c r="T41" i="1"/>
  <c r="T29" i="1"/>
  <c r="T17" i="1"/>
  <c r="T40" i="1"/>
  <c r="T28" i="1"/>
  <c r="T16" i="1"/>
  <c r="T15" i="1"/>
  <c r="T14" i="1"/>
  <c r="T13" i="1"/>
  <c r="T27" i="1"/>
  <c r="T26" i="1"/>
  <c r="T25" i="1"/>
  <c r="T36" i="1"/>
  <c r="T24" i="1"/>
  <c r="T12" i="1"/>
  <c r="T39" i="1"/>
  <c r="T37" i="1"/>
  <c r="T35" i="1"/>
  <c r="T23" i="1"/>
  <c r="T11" i="1"/>
  <c r="T8" i="1"/>
  <c r="T34" i="1"/>
  <c r="T22" i="1"/>
  <c r="T10" i="1"/>
  <c r="BT228" i="2" l="1"/>
  <c r="BU228" i="2"/>
  <c r="J228" i="2"/>
  <c r="V228" i="2"/>
  <c r="AH228" i="2"/>
  <c r="AT228" i="2"/>
  <c r="BF228" i="2"/>
  <c r="BR228" i="2"/>
  <c r="K228" i="2"/>
  <c r="W228" i="2"/>
  <c r="AI228" i="2"/>
  <c r="AU228" i="2"/>
  <c r="BG228" i="2"/>
  <c r="BS228" i="2"/>
  <c r="L228" i="2"/>
  <c r="X228" i="2"/>
  <c r="AJ228" i="2"/>
  <c r="AV228" i="2"/>
  <c r="BH228" i="2"/>
  <c r="M228" i="2"/>
  <c r="Y228" i="2"/>
  <c r="AK228" i="2"/>
  <c r="AW228" i="2"/>
  <c r="BI228" i="2"/>
  <c r="N228" i="2"/>
  <c r="Z228" i="2"/>
  <c r="AL228" i="2"/>
  <c r="AX228" i="2"/>
  <c r="BJ228" i="2"/>
  <c r="O228" i="2"/>
  <c r="AA228" i="2"/>
  <c r="AM228" i="2"/>
  <c r="AY228" i="2"/>
  <c r="BK228" i="2"/>
  <c r="D228" i="2"/>
  <c r="P228" i="2"/>
  <c r="AB228" i="2"/>
  <c r="AN228" i="2"/>
  <c r="AZ228" i="2"/>
  <c r="BL228" i="2"/>
  <c r="F228" i="2"/>
  <c r="R228" i="2"/>
  <c r="AD228" i="2"/>
  <c r="G228" i="2"/>
  <c r="S228" i="2"/>
  <c r="AE228" i="2"/>
  <c r="AQ228" i="2"/>
  <c r="BC228" i="2"/>
  <c r="AG228" i="2"/>
  <c r="BP228" i="2"/>
  <c r="AO228" i="2"/>
  <c r="BQ228" i="2"/>
  <c r="AP228" i="2"/>
  <c r="AR228" i="2"/>
  <c r="E228" i="2"/>
  <c r="AS228" i="2"/>
  <c r="H228" i="2"/>
  <c r="BA228" i="2"/>
  <c r="I228" i="2"/>
  <c r="BB228" i="2"/>
  <c r="Q228" i="2"/>
  <c r="BD228" i="2"/>
  <c r="T228" i="2"/>
  <c r="BE228" i="2"/>
  <c r="U228" i="2"/>
  <c r="BM228" i="2"/>
  <c r="BO228" i="2"/>
  <c r="AC228" i="2"/>
  <c r="BN228" i="2"/>
  <c r="AF228" i="2"/>
  <c r="C228" i="2"/>
  <c r="BT238" i="2"/>
  <c r="BU238" i="2"/>
  <c r="E238" i="2"/>
  <c r="Q238" i="2"/>
  <c r="AC238" i="2"/>
  <c r="AO238" i="2"/>
  <c r="BA238" i="2"/>
  <c r="BM238" i="2"/>
  <c r="F238" i="2"/>
  <c r="R238" i="2"/>
  <c r="AD238" i="2"/>
  <c r="AP238" i="2"/>
  <c r="BB238" i="2"/>
  <c r="BN238" i="2"/>
  <c r="G238" i="2"/>
  <c r="S238" i="2"/>
  <c r="AE238" i="2"/>
  <c r="AQ238" i="2"/>
  <c r="BC238" i="2"/>
  <c r="BO238" i="2"/>
  <c r="H238" i="2"/>
  <c r="T238" i="2"/>
  <c r="AF238" i="2"/>
  <c r="AR238" i="2"/>
  <c r="BD238" i="2"/>
  <c r="BP238" i="2"/>
  <c r="I238" i="2"/>
  <c r="U238" i="2"/>
  <c r="AG238" i="2"/>
  <c r="AS238" i="2"/>
  <c r="BE238" i="2"/>
  <c r="BQ238" i="2"/>
  <c r="J238" i="2"/>
  <c r="V238" i="2"/>
  <c r="AH238" i="2"/>
  <c r="AT238" i="2"/>
  <c r="BF238" i="2"/>
  <c r="BR238" i="2"/>
  <c r="K238" i="2"/>
  <c r="W238" i="2"/>
  <c r="AI238" i="2"/>
  <c r="AU238" i="2"/>
  <c r="BG238" i="2"/>
  <c r="BS238" i="2"/>
  <c r="L238" i="2"/>
  <c r="X238" i="2"/>
  <c r="AJ238" i="2"/>
  <c r="AV238" i="2"/>
  <c r="BH238" i="2"/>
  <c r="M238" i="2"/>
  <c r="Y238" i="2"/>
  <c r="AK238" i="2"/>
  <c r="AW238" i="2"/>
  <c r="BI238" i="2"/>
  <c r="N238" i="2"/>
  <c r="Z238" i="2"/>
  <c r="AL238" i="2"/>
  <c r="AX238" i="2"/>
  <c r="BJ238" i="2"/>
  <c r="O238" i="2"/>
  <c r="P238" i="2"/>
  <c r="D238" i="2"/>
  <c r="AA238" i="2"/>
  <c r="AB238" i="2"/>
  <c r="C238" i="2"/>
  <c r="AM238" i="2"/>
  <c r="AN238" i="2"/>
  <c r="AY238" i="2"/>
  <c r="AZ238" i="2"/>
  <c r="BK238" i="2"/>
  <c r="BL238" i="2"/>
  <c r="L220" i="2"/>
  <c r="X220" i="2"/>
  <c r="AJ220" i="2"/>
  <c r="AV220" i="2"/>
  <c r="BH220" i="2"/>
  <c r="M220" i="2"/>
  <c r="Y220" i="2"/>
  <c r="AK220" i="2"/>
  <c r="AW220" i="2"/>
  <c r="BI220" i="2"/>
  <c r="N220" i="2"/>
  <c r="Z220" i="2"/>
  <c r="AL220" i="2"/>
  <c r="AX220" i="2"/>
  <c r="BJ220" i="2"/>
  <c r="O220" i="2"/>
  <c r="AA220" i="2"/>
  <c r="AM220" i="2"/>
  <c r="AY220" i="2"/>
  <c r="BK220" i="2"/>
  <c r="D220" i="2"/>
  <c r="P220" i="2"/>
  <c r="AB220" i="2"/>
  <c r="AN220" i="2"/>
  <c r="AZ220" i="2"/>
  <c r="BL220" i="2"/>
  <c r="BT220" i="2"/>
  <c r="I220" i="2"/>
  <c r="AE220" i="2"/>
  <c r="BA220" i="2"/>
  <c r="BR220" i="2"/>
  <c r="J220" i="2"/>
  <c r="AF220" i="2"/>
  <c r="BB220" i="2"/>
  <c r="BS220" i="2"/>
  <c r="BU220" i="2"/>
  <c r="K220" i="2"/>
  <c r="AG220" i="2"/>
  <c r="BC220" i="2"/>
  <c r="Q220" i="2"/>
  <c r="AH220" i="2"/>
  <c r="BD220" i="2"/>
  <c r="R220" i="2"/>
  <c r="AI220" i="2"/>
  <c r="BE220" i="2"/>
  <c r="S220" i="2"/>
  <c r="AO220" i="2"/>
  <c r="BF220" i="2"/>
  <c r="T220" i="2"/>
  <c r="AP220" i="2"/>
  <c r="BG220" i="2"/>
  <c r="E220" i="2"/>
  <c r="V220" i="2"/>
  <c r="AR220" i="2"/>
  <c r="BN220" i="2"/>
  <c r="F220" i="2"/>
  <c r="W220" i="2"/>
  <c r="AS220" i="2"/>
  <c r="BO220" i="2"/>
  <c r="G220" i="2"/>
  <c r="AC220" i="2"/>
  <c r="AT220" i="2"/>
  <c r="BP220" i="2"/>
  <c r="H220" i="2"/>
  <c r="U220" i="2"/>
  <c r="AD220" i="2"/>
  <c r="AQ220" i="2"/>
  <c r="AU220" i="2"/>
  <c r="BM220" i="2"/>
  <c r="BQ220" i="2"/>
  <c r="C220" i="2"/>
  <c r="BT235" i="2"/>
  <c r="BU235" i="2"/>
  <c r="N235" i="2"/>
  <c r="Z235" i="2"/>
  <c r="AL235" i="2"/>
  <c r="AX235" i="2"/>
  <c r="BJ235" i="2"/>
  <c r="O235" i="2"/>
  <c r="AA235" i="2"/>
  <c r="AM235" i="2"/>
  <c r="AY235" i="2"/>
  <c r="BK235" i="2"/>
  <c r="G235" i="2"/>
  <c r="U235" i="2"/>
  <c r="AI235" i="2"/>
  <c r="AW235" i="2"/>
  <c r="BM235" i="2"/>
  <c r="H235" i="2"/>
  <c r="V235" i="2"/>
  <c r="AJ235" i="2"/>
  <c r="AZ235" i="2"/>
  <c r="BN235" i="2"/>
  <c r="C235" i="2"/>
  <c r="I235" i="2"/>
  <c r="W235" i="2"/>
  <c r="AK235" i="2"/>
  <c r="BA235" i="2"/>
  <c r="BO235" i="2"/>
  <c r="J235" i="2"/>
  <c r="X235" i="2"/>
  <c r="AN235" i="2"/>
  <c r="BB235" i="2"/>
  <c r="BP235" i="2"/>
  <c r="K235" i="2"/>
  <c r="Y235" i="2"/>
  <c r="AO235" i="2"/>
  <c r="BC235" i="2"/>
  <c r="BQ235" i="2"/>
  <c r="L235" i="2"/>
  <c r="AB235" i="2"/>
  <c r="AP235" i="2"/>
  <c r="BD235" i="2"/>
  <c r="BR235" i="2"/>
  <c r="M235" i="2"/>
  <c r="AC235" i="2"/>
  <c r="AQ235" i="2"/>
  <c r="BE235" i="2"/>
  <c r="BS235" i="2"/>
  <c r="P235" i="2"/>
  <c r="AD235" i="2"/>
  <c r="AR235" i="2"/>
  <c r="BF235" i="2"/>
  <c r="Q235" i="2"/>
  <c r="AE235" i="2"/>
  <c r="AS235" i="2"/>
  <c r="BG235" i="2"/>
  <c r="D235" i="2"/>
  <c r="R235" i="2"/>
  <c r="AF235" i="2"/>
  <c r="AT235" i="2"/>
  <c r="BH235" i="2"/>
  <c r="E235" i="2"/>
  <c r="F235" i="2"/>
  <c r="S235" i="2"/>
  <c r="T235" i="2"/>
  <c r="AG235" i="2"/>
  <c r="AH235" i="2"/>
  <c r="AU235" i="2"/>
  <c r="BI235" i="2"/>
  <c r="BL235" i="2"/>
  <c r="AV235" i="2"/>
  <c r="D205" i="2"/>
  <c r="P205" i="2"/>
  <c r="AB205" i="2"/>
  <c r="AN205" i="2"/>
  <c r="AZ205" i="2"/>
  <c r="BL205" i="2"/>
  <c r="E205" i="2"/>
  <c r="Q205" i="2"/>
  <c r="AC205" i="2"/>
  <c r="AO205" i="2"/>
  <c r="BA205" i="2"/>
  <c r="BM205" i="2"/>
  <c r="BT205" i="2"/>
  <c r="F205" i="2"/>
  <c r="R205" i="2"/>
  <c r="AD205" i="2"/>
  <c r="AP205" i="2"/>
  <c r="BB205" i="2"/>
  <c r="BN205" i="2"/>
  <c r="N205" i="2"/>
  <c r="Z205" i="2"/>
  <c r="AL205" i="2"/>
  <c r="AX205" i="2"/>
  <c r="BJ205" i="2"/>
  <c r="O205" i="2"/>
  <c r="AA205" i="2"/>
  <c r="AM205" i="2"/>
  <c r="AY205" i="2"/>
  <c r="BK205" i="2"/>
  <c r="BU205" i="2"/>
  <c r="H205" i="2"/>
  <c r="Y205" i="2"/>
  <c r="AU205" i="2"/>
  <c r="BQ205" i="2"/>
  <c r="I205" i="2"/>
  <c r="AE205" i="2"/>
  <c r="AV205" i="2"/>
  <c r="BR205" i="2"/>
  <c r="J205" i="2"/>
  <c r="AF205" i="2"/>
  <c r="AW205" i="2"/>
  <c r="BS205" i="2"/>
  <c r="K205" i="2"/>
  <c r="AG205" i="2"/>
  <c r="BC205" i="2"/>
  <c r="L205" i="2"/>
  <c r="AH205" i="2"/>
  <c r="BD205" i="2"/>
  <c r="M205" i="2"/>
  <c r="AI205" i="2"/>
  <c r="BE205" i="2"/>
  <c r="S205" i="2"/>
  <c r="AJ205" i="2"/>
  <c r="BF205" i="2"/>
  <c r="U205" i="2"/>
  <c r="AQ205" i="2"/>
  <c r="BH205" i="2"/>
  <c r="W205" i="2"/>
  <c r="AS205" i="2"/>
  <c r="BO205" i="2"/>
  <c r="G205" i="2"/>
  <c r="X205" i="2"/>
  <c r="AT205" i="2"/>
  <c r="BP205" i="2"/>
  <c r="T205" i="2"/>
  <c r="V205" i="2"/>
  <c r="AK205" i="2"/>
  <c r="AR205" i="2"/>
  <c r="BG205" i="2"/>
  <c r="BI205" i="2"/>
  <c r="C205" i="2"/>
  <c r="BT232" i="2"/>
  <c r="N232" i="2"/>
  <c r="Z232" i="2"/>
  <c r="AL232" i="2"/>
  <c r="AX232" i="2"/>
  <c r="BJ232" i="2"/>
  <c r="O232" i="2"/>
  <c r="AA232" i="2"/>
  <c r="AM232" i="2"/>
  <c r="AY232" i="2"/>
  <c r="BK232" i="2"/>
  <c r="D232" i="2"/>
  <c r="P232" i="2"/>
  <c r="AB232" i="2"/>
  <c r="AN232" i="2"/>
  <c r="BU232" i="2"/>
  <c r="F232" i="2"/>
  <c r="U232" i="2"/>
  <c r="AJ232" i="2"/>
  <c r="BA232" i="2"/>
  <c r="BO232" i="2"/>
  <c r="G232" i="2"/>
  <c r="V232" i="2"/>
  <c r="AK232" i="2"/>
  <c r="BB232" i="2"/>
  <c r="BP232" i="2"/>
  <c r="H232" i="2"/>
  <c r="W232" i="2"/>
  <c r="AO232" i="2"/>
  <c r="BC232" i="2"/>
  <c r="BQ232" i="2"/>
  <c r="I232" i="2"/>
  <c r="X232" i="2"/>
  <c r="AP232" i="2"/>
  <c r="BD232" i="2"/>
  <c r="BR232" i="2"/>
  <c r="J232" i="2"/>
  <c r="Y232" i="2"/>
  <c r="AQ232" i="2"/>
  <c r="BE232" i="2"/>
  <c r="BS232" i="2"/>
  <c r="K232" i="2"/>
  <c r="AC232" i="2"/>
  <c r="AR232" i="2"/>
  <c r="BF232" i="2"/>
  <c r="L232" i="2"/>
  <c r="AD232" i="2"/>
  <c r="AS232" i="2"/>
  <c r="BG232" i="2"/>
  <c r="M232" i="2"/>
  <c r="AE232" i="2"/>
  <c r="AT232" i="2"/>
  <c r="BH232" i="2"/>
  <c r="Q232" i="2"/>
  <c r="AF232" i="2"/>
  <c r="AU232" i="2"/>
  <c r="BI232" i="2"/>
  <c r="R232" i="2"/>
  <c r="AG232" i="2"/>
  <c r="AV232" i="2"/>
  <c r="BL232" i="2"/>
  <c r="S232" i="2"/>
  <c r="E232" i="2"/>
  <c r="T232" i="2"/>
  <c r="C232" i="2"/>
  <c r="AH232" i="2"/>
  <c r="AI232" i="2"/>
  <c r="AW232" i="2"/>
  <c r="AZ232" i="2"/>
  <c r="BM232" i="2"/>
  <c r="BN232" i="2"/>
  <c r="H212" i="2"/>
  <c r="T212" i="2"/>
  <c r="AF212" i="2"/>
  <c r="AR212" i="2"/>
  <c r="BD212" i="2"/>
  <c r="BP212" i="2"/>
  <c r="I212" i="2"/>
  <c r="U212" i="2"/>
  <c r="AG212" i="2"/>
  <c r="AS212" i="2"/>
  <c r="BE212" i="2"/>
  <c r="BQ212" i="2"/>
  <c r="J212" i="2"/>
  <c r="V212" i="2"/>
  <c r="AH212" i="2"/>
  <c r="AT212" i="2"/>
  <c r="BF212" i="2"/>
  <c r="BR212" i="2"/>
  <c r="G212" i="2"/>
  <c r="S212" i="2"/>
  <c r="AE212" i="2"/>
  <c r="AQ212" i="2"/>
  <c r="BC212" i="2"/>
  <c r="BO212" i="2"/>
  <c r="E212" i="2"/>
  <c r="Y212" i="2"/>
  <c r="AO212" i="2"/>
  <c r="BI212" i="2"/>
  <c r="F212" i="2"/>
  <c r="Z212" i="2"/>
  <c r="AP212" i="2"/>
  <c r="BJ212" i="2"/>
  <c r="K212" i="2"/>
  <c r="AA212" i="2"/>
  <c r="AU212" i="2"/>
  <c r="BK212" i="2"/>
  <c r="L212" i="2"/>
  <c r="AB212" i="2"/>
  <c r="AV212" i="2"/>
  <c r="BL212" i="2"/>
  <c r="M212" i="2"/>
  <c r="AC212" i="2"/>
  <c r="AW212" i="2"/>
  <c r="BM212" i="2"/>
  <c r="N212" i="2"/>
  <c r="AD212" i="2"/>
  <c r="AX212" i="2"/>
  <c r="BN212" i="2"/>
  <c r="O212" i="2"/>
  <c r="AI212" i="2"/>
  <c r="AY212" i="2"/>
  <c r="BS212" i="2"/>
  <c r="BU212" i="2"/>
  <c r="Q212" i="2"/>
  <c r="AK212" i="2"/>
  <c r="BA212" i="2"/>
  <c r="W212" i="2"/>
  <c r="AM212" i="2"/>
  <c r="BG212" i="2"/>
  <c r="D212" i="2"/>
  <c r="X212" i="2"/>
  <c r="AN212" i="2"/>
  <c r="BH212" i="2"/>
  <c r="BT212" i="2"/>
  <c r="P212" i="2"/>
  <c r="R212" i="2"/>
  <c r="AJ212" i="2"/>
  <c r="AL212" i="2"/>
  <c r="AZ212" i="2"/>
  <c r="C212" i="2"/>
  <c r="BB212" i="2"/>
  <c r="BT204" i="2"/>
  <c r="L204" i="2"/>
  <c r="X204" i="2"/>
  <c r="AJ204" i="2"/>
  <c r="AV204" i="2"/>
  <c r="BH204" i="2"/>
  <c r="BU204" i="2"/>
  <c r="M204" i="2"/>
  <c r="Y204" i="2"/>
  <c r="AK204" i="2"/>
  <c r="AW204" i="2"/>
  <c r="BI204" i="2"/>
  <c r="N204" i="2"/>
  <c r="Z204" i="2"/>
  <c r="AL204" i="2"/>
  <c r="AX204" i="2"/>
  <c r="BJ204" i="2"/>
  <c r="J204" i="2"/>
  <c r="V204" i="2"/>
  <c r="AH204" i="2"/>
  <c r="AT204" i="2"/>
  <c r="BF204" i="2"/>
  <c r="BR204" i="2"/>
  <c r="K204" i="2"/>
  <c r="W204" i="2"/>
  <c r="AI204" i="2"/>
  <c r="AU204" i="2"/>
  <c r="BG204" i="2"/>
  <c r="BS204" i="2"/>
  <c r="O204" i="2"/>
  <c r="AF204" i="2"/>
  <c r="BB204" i="2"/>
  <c r="P204" i="2"/>
  <c r="AG204" i="2"/>
  <c r="BC204" i="2"/>
  <c r="Q204" i="2"/>
  <c r="AM204" i="2"/>
  <c r="BD204" i="2"/>
  <c r="R204" i="2"/>
  <c r="AN204" i="2"/>
  <c r="BE204" i="2"/>
  <c r="S204" i="2"/>
  <c r="AO204" i="2"/>
  <c r="BK204" i="2"/>
  <c r="T204" i="2"/>
  <c r="AP204" i="2"/>
  <c r="BL204" i="2"/>
  <c r="D204" i="2"/>
  <c r="U204" i="2"/>
  <c r="AQ204" i="2"/>
  <c r="BM204" i="2"/>
  <c r="F204" i="2"/>
  <c r="AB204" i="2"/>
  <c r="AS204" i="2"/>
  <c r="BO204" i="2"/>
  <c r="H204" i="2"/>
  <c r="AD204" i="2"/>
  <c r="AZ204" i="2"/>
  <c r="BQ204" i="2"/>
  <c r="I204" i="2"/>
  <c r="AE204" i="2"/>
  <c r="BA204" i="2"/>
  <c r="BN204" i="2"/>
  <c r="BP204" i="2"/>
  <c r="E204" i="2"/>
  <c r="AA204" i="2"/>
  <c r="AC204" i="2"/>
  <c r="AR204" i="2"/>
  <c r="G204" i="2"/>
  <c r="AY204" i="2"/>
  <c r="C204" i="2"/>
  <c r="D217" i="2"/>
  <c r="E217" i="2"/>
  <c r="Q217" i="2"/>
  <c r="AC217" i="2"/>
  <c r="AO217" i="2"/>
  <c r="BA217" i="2"/>
  <c r="BT217" i="2"/>
  <c r="F217" i="2"/>
  <c r="R217" i="2"/>
  <c r="AD217" i="2"/>
  <c r="T217" i="2"/>
  <c r="AH217" i="2"/>
  <c r="AU217" i="2"/>
  <c r="BH217" i="2"/>
  <c r="BU217" i="2"/>
  <c r="G217" i="2"/>
  <c r="U217" i="2"/>
  <c r="AI217" i="2"/>
  <c r="AV217" i="2"/>
  <c r="BI217" i="2"/>
  <c r="H217" i="2"/>
  <c r="V217" i="2"/>
  <c r="AJ217" i="2"/>
  <c r="AW217" i="2"/>
  <c r="BJ217" i="2"/>
  <c r="I217" i="2"/>
  <c r="W217" i="2"/>
  <c r="AK217" i="2"/>
  <c r="AX217" i="2"/>
  <c r="BK217" i="2"/>
  <c r="J217" i="2"/>
  <c r="X217" i="2"/>
  <c r="AL217" i="2"/>
  <c r="AY217" i="2"/>
  <c r="BL217" i="2"/>
  <c r="Z217" i="2"/>
  <c r="AT217" i="2"/>
  <c r="BQ217" i="2"/>
  <c r="AA217" i="2"/>
  <c r="AZ217" i="2"/>
  <c r="BR217" i="2"/>
  <c r="AB217" i="2"/>
  <c r="BB217" i="2"/>
  <c r="BS217" i="2"/>
  <c r="AE217" i="2"/>
  <c r="BC217" i="2"/>
  <c r="K217" i="2"/>
  <c r="AF217" i="2"/>
  <c r="BD217" i="2"/>
  <c r="L217" i="2"/>
  <c r="AG217" i="2"/>
  <c r="BE217" i="2"/>
  <c r="M217" i="2"/>
  <c r="AM217" i="2"/>
  <c r="BF217" i="2"/>
  <c r="O217" i="2"/>
  <c r="AP217" i="2"/>
  <c r="BM217" i="2"/>
  <c r="P217" i="2"/>
  <c r="AQ217" i="2"/>
  <c r="BN217" i="2"/>
  <c r="S217" i="2"/>
  <c r="AR217" i="2"/>
  <c r="BO217" i="2"/>
  <c r="N217" i="2"/>
  <c r="Y217" i="2"/>
  <c r="AN217" i="2"/>
  <c r="AS217" i="2"/>
  <c r="BG217" i="2"/>
  <c r="C217" i="2"/>
  <c r="BP217" i="2"/>
  <c r="H209" i="2"/>
  <c r="T209" i="2"/>
  <c r="AF209" i="2"/>
  <c r="AR209" i="2"/>
  <c r="BD209" i="2"/>
  <c r="BP209" i="2"/>
  <c r="I209" i="2"/>
  <c r="U209" i="2"/>
  <c r="AG209" i="2"/>
  <c r="AS209" i="2"/>
  <c r="BE209" i="2"/>
  <c r="BQ209" i="2"/>
  <c r="J209" i="2"/>
  <c r="V209" i="2"/>
  <c r="AH209" i="2"/>
  <c r="AT209" i="2"/>
  <c r="BF209" i="2"/>
  <c r="BR209" i="2"/>
  <c r="BT209" i="2"/>
  <c r="F209" i="2"/>
  <c r="R209" i="2"/>
  <c r="AD209" i="2"/>
  <c r="AP209" i="2"/>
  <c r="BB209" i="2"/>
  <c r="BN209" i="2"/>
  <c r="BU209" i="2"/>
  <c r="G209" i="2"/>
  <c r="S209" i="2"/>
  <c r="AE209" i="2"/>
  <c r="AQ209" i="2"/>
  <c r="BC209" i="2"/>
  <c r="BO209" i="2"/>
  <c r="X209" i="2"/>
  <c r="AO209" i="2"/>
  <c r="BK209" i="2"/>
  <c r="Y209" i="2"/>
  <c r="AU209" i="2"/>
  <c r="BL209" i="2"/>
  <c r="D209" i="2"/>
  <c r="Z209" i="2"/>
  <c r="AV209" i="2"/>
  <c r="BM209" i="2"/>
  <c r="E209" i="2"/>
  <c r="AA209" i="2"/>
  <c r="AW209" i="2"/>
  <c r="BS209" i="2"/>
  <c r="K209" i="2"/>
  <c r="AB209" i="2"/>
  <c r="AX209" i="2"/>
  <c r="L209" i="2"/>
  <c r="AC209" i="2"/>
  <c r="AY209" i="2"/>
  <c r="M209" i="2"/>
  <c r="AI209" i="2"/>
  <c r="AZ209" i="2"/>
  <c r="O209" i="2"/>
  <c r="AK209" i="2"/>
  <c r="BG209" i="2"/>
  <c r="Q209" i="2"/>
  <c r="AM209" i="2"/>
  <c r="BI209" i="2"/>
  <c r="W209" i="2"/>
  <c r="AN209" i="2"/>
  <c r="BJ209" i="2"/>
  <c r="N209" i="2"/>
  <c r="P209" i="2"/>
  <c r="AJ209" i="2"/>
  <c r="BA209" i="2"/>
  <c r="BH209" i="2"/>
  <c r="AL209" i="2"/>
  <c r="C209" i="2"/>
  <c r="BU224" i="2"/>
  <c r="F224" i="2"/>
  <c r="R224" i="2"/>
  <c r="AD224" i="2"/>
  <c r="AP224" i="2"/>
  <c r="BB224" i="2"/>
  <c r="BN224" i="2"/>
  <c r="G224" i="2"/>
  <c r="S224" i="2"/>
  <c r="AE224" i="2"/>
  <c r="AQ224" i="2"/>
  <c r="BC224" i="2"/>
  <c r="BO224" i="2"/>
  <c r="H224" i="2"/>
  <c r="T224" i="2"/>
  <c r="AF224" i="2"/>
  <c r="AR224" i="2"/>
  <c r="BD224" i="2"/>
  <c r="BP224" i="2"/>
  <c r="BT224" i="2"/>
  <c r="I224" i="2"/>
  <c r="U224" i="2"/>
  <c r="AG224" i="2"/>
  <c r="AS224" i="2"/>
  <c r="BE224" i="2"/>
  <c r="BQ224" i="2"/>
  <c r="J224" i="2"/>
  <c r="V224" i="2"/>
  <c r="AH224" i="2"/>
  <c r="AT224" i="2"/>
  <c r="BF224" i="2"/>
  <c r="BR224" i="2"/>
  <c r="K224" i="2"/>
  <c r="W224" i="2"/>
  <c r="AI224" i="2"/>
  <c r="AU224" i="2"/>
  <c r="BG224" i="2"/>
  <c r="BS224" i="2"/>
  <c r="L224" i="2"/>
  <c r="X224" i="2"/>
  <c r="AJ224" i="2"/>
  <c r="AV224" i="2"/>
  <c r="BH224" i="2"/>
  <c r="N224" i="2"/>
  <c r="Z224" i="2"/>
  <c r="AL224" i="2"/>
  <c r="AX224" i="2"/>
  <c r="BJ224" i="2"/>
  <c r="O224" i="2"/>
  <c r="AA224" i="2"/>
  <c r="AM224" i="2"/>
  <c r="AY224" i="2"/>
  <c r="BK224" i="2"/>
  <c r="D224" i="2"/>
  <c r="P224" i="2"/>
  <c r="AB224" i="2"/>
  <c r="AN224" i="2"/>
  <c r="AZ224" i="2"/>
  <c r="BL224" i="2"/>
  <c r="M224" i="2"/>
  <c r="Q224" i="2"/>
  <c r="Y224" i="2"/>
  <c r="C224" i="2"/>
  <c r="AC224" i="2"/>
  <c r="AK224" i="2"/>
  <c r="AO224" i="2"/>
  <c r="AW224" i="2"/>
  <c r="BA224" i="2"/>
  <c r="BI224" i="2"/>
  <c r="BM224" i="2"/>
  <c r="E224" i="2"/>
  <c r="H219" i="2"/>
  <c r="T219" i="2"/>
  <c r="AF219" i="2"/>
  <c r="AR219" i="2"/>
  <c r="BD219" i="2"/>
  <c r="BP219" i="2"/>
  <c r="I219" i="2"/>
  <c r="U219" i="2"/>
  <c r="AG219" i="2"/>
  <c r="AS219" i="2"/>
  <c r="BE219" i="2"/>
  <c r="BQ219" i="2"/>
  <c r="J219" i="2"/>
  <c r="V219" i="2"/>
  <c r="AH219" i="2"/>
  <c r="AT219" i="2"/>
  <c r="BF219" i="2"/>
  <c r="BR219" i="2"/>
  <c r="K219" i="2"/>
  <c r="W219" i="2"/>
  <c r="AI219" i="2"/>
  <c r="AU219" i="2"/>
  <c r="BG219" i="2"/>
  <c r="BS219" i="2"/>
  <c r="BT219" i="2"/>
  <c r="L219" i="2"/>
  <c r="X219" i="2"/>
  <c r="AJ219" i="2"/>
  <c r="AV219" i="2"/>
  <c r="BH219" i="2"/>
  <c r="BU219" i="2"/>
  <c r="P219" i="2"/>
  <c r="AL219" i="2"/>
  <c r="BC219" i="2"/>
  <c r="Q219" i="2"/>
  <c r="AM219" i="2"/>
  <c r="BI219" i="2"/>
  <c r="R219" i="2"/>
  <c r="AN219" i="2"/>
  <c r="BJ219" i="2"/>
  <c r="S219" i="2"/>
  <c r="AO219" i="2"/>
  <c r="BK219" i="2"/>
  <c r="Y219" i="2"/>
  <c r="AP219" i="2"/>
  <c r="BL219" i="2"/>
  <c r="D219" i="2"/>
  <c r="Z219" i="2"/>
  <c r="AQ219" i="2"/>
  <c r="BM219" i="2"/>
  <c r="E219" i="2"/>
  <c r="AA219" i="2"/>
  <c r="AW219" i="2"/>
  <c r="BN219" i="2"/>
  <c r="G219" i="2"/>
  <c r="AC219" i="2"/>
  <c r="AY219" i="2"/>
  <c r="M219" i="2"/>
  <c r="AD219" i="2"/>
  <c r="AZ219" i="2"/>
  <c r="N219" i="2"/>
  <c r="AE219" i="2"/>
  <c r="BA219" i="2"/>
  <c r="BO219" i="2"/>
  <c r="F219" i="2"/>
  <c r="O219" i="2"/>
  <c r="AB219" i="2"/>
  <c r="AK219" i="2"/>
  <c r="AX219" i="2"/>
  <c r="C219" i="2"/>
  <c r="BB219" i="2"/>
  <c r="BT229" i="2"/>
  <c r="BU229" i="2"/>
  <c r="N229" i="2"/>
  <c r="Z229" i="2"/>
  <c r="AL229" i="2"/>
  <c r="AX229" i="2"/>
  <c r="BJ229" i="2"/>
  <c r="O229" i="2"/>
  <c r="AA229" i="2"/>
  <c r="AM229" i="2"/>
  <c r="AY229" i="2"/>
  <c r="BK229" i="2"/>
  <c r="D229" i="2"/>
  <c r="P229" i="2"/>
  <c r="AB229" i="2"/>
  <c r="AN229" i="2"/>
  <c r="AZ229" i="2"/>
  <c r="BL229" i="2"/>
  <c r="E229" i="2"/>
  <c r="Q229" i="2"/>
  <c r="AC229" i="2"/>
  <c r="F229" i="2"/>
  <c r="R229" i="2"/>
  <c r="G229" i="2"/>
  <c r="S229" i="2"/>
  <c r="AE229" i="2"/>
  <c r="AQ229" i="2"/>
  <c r="H229" i="2"/>
  <c r="T229" i="2"/>
  <c r="AF229" i="2"/>
  <c r="AD229" i="2"/>
  <c r="AV229" i="2"/>
  <c r="BN229" i="2"/>
  <c r="AG229" i="2"/>
  <c r="AW229" i="2"/>
  <c r="BO229" i="2"/>
  <c r="I229" i="2"/>
  <c r="AH229" i="2"/>
  <c r="BA229" i="2"/>
  <c r="BP229" i="2"/>
  <c r="J229" i="2"/>
  <c r="AI229" i="2"/>
  <c r="BB229" i="2"/>
  <c r="BQ229" i="2"/>
  <c r="K229" i="2"/>
  <c r="AJ229" i="2"/>
  <c r="BC229" i="2"/>
  <c r="BR229" i="2"/>
  <c r="L229" i="2"/>
  <c r="AK229" i="2"/>
  <c r="BD229" i="2"/>
  <c r="BS229" i="2"/>
  <c r="M229" i="2"/>
  <c r="AO229" i="2"/>
  <c r="BE229" i="2"/>
  <c r="U229" i="2"/>
  <c r="AP229" i="2"/>
  <c r="BF229" i="2"/>
  <c r="V229" i="2"/>
  <c r="AR229" i="2"/>
  <c r="BG229" i="2"/>
  <c r="W229" i="2"/>
  <c r="AS229" i="2"/>
  <c r="BH229" i="2"/>
  <c r="X229" i="2"/>
  <c r="Y229" i="2"/>
  <c r="AT229" i="2"/>
  <c r="AU229" i="2"/>
  <c r="BI229" i="2"/>
  <c r="BM229" i="2"/>
  <c r="C229" i="2"/>
  <c r="BT221" i="2"/>
  <c r="BU221" i="2"/>
  <c r="D221" i="2"/>
  <c r="P221" i="2"/>
  <c r="AB221" i="2"/>
  <c r="AN221" i="2"/>
  <c r="AZ221" i="2"/>
  <c r="BL221" i="2"/>
  <c r="E221" i="2"/>
  <c r="Q221" i="2"/>
  <c r="AC221" i="2"/>
  <c r="AO221" i="2"/>
  <c r="BA221" i="2"/>
  <c r="BM221" i="2"/>
  <c r="F221" i="2"/>
  <c r="R221" i="2"/>
  <c r="AD221" i="2"/>
  <c r="AP221" i="2"/>
  <c r="BB221" i="2"/>
  <c r="BN221" i="2"/>
  <c r="G221" i="2"/>
  <c r="S221" i="2"/>
  <c r="H221" i="2"/>
  <c r="T221" i="2"/>
  <c r="X221" i="2"/>
  <c r="AM221" i="2"/>
  <c r="BE221" i="2"/>
  <c r="Y221" i="2"/>
  <c r="AQ221" i="2"/>
  <c r="BF221" i="2"/>
  <c r="I221" i="2"/>
  <c r="Z221" i="2"/>
  <c r="AR221" i="2"/>
  <c r="BG221" i="2"/>
  <c r="J221" i="2"/>
  <c r="AA221" i="2"/>
  <c r="AS221" i="2"/>
  <c r="BH221" i="2"/>
  <c r="K221" i="2"/>
  <c r="AE221" i="2"/>
  <c r="AT221" i="2"/>
  <c r="BI221" i="2"/>
  <c r="L221" i="2"/>
  <c r="AF221" i="2"/>
  <c r="AU221" i="2"/>
  <c r="BJ221" i="2"/>
  <c r="M221" i="2"/>
  <c r="AG221" i="2"/>
  <c r="AV221" i="2"/>
  <c r="BK221" i="2"/>
  <c r="O221" i="2"/>
  <c r="AI221" i="2"/>
  <c r="AX221" i="2"/>
  <c r="BP221" i="2"/>
  <c r="U221" i="2"/>
  <c r="AJ221" i="2"/>
  <c r="AY221" i="2"/>
  <c r="BQ221" i="2"/>
  <c r="V221" i="2"/>
  <c r="AK221" i="2"/>
  <c r="BC221" i="2"/>
  <c r="BR221" i="2"/>
  <c r="AW221" i="2"/>
  <c r="BD221" i="2"/>
  <c r="BO221" i="2"/>
  <c r="BS221" i="2"/>
  <c r="N221" i="2"/>
  <c r="W221" i="2"/>
  <c r="AH221" i="2"/>
  <c r="C221" i="2"/>
  <c r="AL221" i="2"/>
  <c r="BU236" i="2"/>
  <c r="BT236" i="2"/>
  <c r="I236" i="2"/>
  <c r="U236" i="2"/>
  <c r="AG236" i="2"/>
  <c r="AS236" i="2"/>
  <c r="BE236" i="2"/>
  <c r="BQ236" i="2"/>
  <c r="J236" i="2"/>
  <c r="V236" i="2"/>
  <c r="AH236" i="2"/>
  <c r="AT236" i="2"/>
  <c r="BF236" i="2"/>
  <c r="BR236" i="2"/>
  <c r="K236" i="2"/>
  <c r="W236" i="2"/>
  <c r="AI236" i="2"/>
  <c r="AU236" i="2"/>
  <c r="BG236" i="2"/>
  <c r="BS236" i="2"/>
  <c r="C236" i="2"/>
  <c r="L236" i="2"/>
  <c r="X236" i="2"/>
  <c r="AJ236" i="2"/>
  <c r="AV236" i="2"/>
  <c r="BH236" i="2"/>
  <c r="M236" i="2"/>
  <c r="Y236" i="2"/>
  <c r="AK236" i="2"/>
  <c r="AW236" i="2"/>
  <c r="BI236" i="2"/>
  <c r="N236" i="2"/>
  <c r="Z236" i="2"/>
  <c r="AL236" i="2"/>
  <c r="AX236" i="2"/>
  <c r="BJ236" i="2"/>
  <c r="O236" i="2"/>
  <c r="AA236" i="2"/>
  <c r="AM236" i="2"/>
  <c r="AY236" i="2"/>
  <c r="BK236" i="2"/>
  <c r="D236" i="2"/>
  <c r="P236" i="2"/>
  <c r="AB236" i="2"/>
  <c r="AN236" i="2"/>
  <c r="AZ236" i="2"/>
  <c r="BL236" i="2"/>
  <c r="E236" i="2"/>
  <c r="Q236" i="2"/>
  <c r="AC236" i="2"/>
  <c r="AO236" i="2"/>
  <c r="BA236" i="2"/>
  <c r="BM236" i="2"/>
  <c r="F236" i="2"/>
  <c r="R236" i="2"/>
  <c r="AD236" i="2"/>
  <c r="AP236" i="2"/>
  <c r="BB236" i="2"/>
  <c r="BN236" i="2"/>
  <c r="G236" i="2"/>
  <c r="H236" i="2"/>
  <c r="S236" i="2"/>
  <c r="T236" i="2"/>
  <c r="AE236" i="2"/>
  <c r="AF236" i="2"/>
  <c r="AQ236" i="2"/>
  <c r="AR236" i="2"/>
  <c r="BC236" i="2"/>
  <c r="BO236" i="2"/>
  <c r="BD236" i="2"/>
  <c r="BP236" i="2"/>
  <c r="BT216" i="2"/>
  <c r="L216" i="2"/>
  <c r="X216" i="2"/>
  <c r="AJ216" i="2"/>
  <c r="AV216" i="2"/>
  <c r="BH216" i="2"/>
  <c r="BU216" i="2"/>
  <c r="M216" i="2"/>
  <c r="Y216" i="2"/>
  <c r="AK216" i="2"/>
  <c r="AW216" i="2"/>
  <c r="BI216" i="2"/>
  <c r="N216" i="2"/>
  <c r="Z216" i="2"/>
  <c r="AL216" i="2"/>
  <c r="AX216" i="2"/>
  <c r="BJ216" i="2"/>
  <c r="H216" i="2"/>
  <c r="W216" i="2"/>
  <c r="AO216" i="2"/>
  <c r="BD216" i="2"/>
  <c r="BS216" i="2"/>
  <c r="I216" i="2"/>
  <c r="AA216" i="2"/>
  <c r="AP216" i="2"/>
  <c r="BE216" i="2"/>
  <c r="J216" i="2"/>
  <c r="AB216" i="2"/>
  <c r="AQ216" i="2"/>
  <c r="BF216" i="2"/>
  <c r="K216" i="2"/>
  <c r="AC216" i="2"/>
  <c r="AR216" i="2"/>
  <c r="BG216" i="2"/>
  <c r="O216" i="2"/>
  <c r="AD216" i="2"/>
  <c r="AS216" i="2"/>
  <c r="BK216" i="2"/>
  <c r="P216" i="2"/>
  <c r="AE216" i="2"/>
  <c r="AT216" i="2"/>
  <c r="BL216" i="2"/>
  <c r="Q216" i="2"/>
  <c r="AF216" i="2"/>
  <c r="AU216" i="2"/>
  <c r="D216" i="2"/>
  <c r="S216" i="2"/>
  <c r="AH216" i="2"/>
  <c r="AZ216" i="2"/>
  <c r="G216" i="2"/>
  <c r="V216" i="2"/>
  <c r="AN216" i="2"/>
  <c r="BC216" i="2"/>
  <c r="F216" i="2"/>
  <c r="BO216" i="2"/>
  <c r="R216" i="2"/>
  <c r="BP216" i="2"/>
  <c r="T216" i="2"/>
  <c r="BQ216" i="2"/>
  <c r="U216" i="2"/>
  <c r="BR216" i="2"/>
  <c r="AG216" i="2"/>
  <c r="AI216" i="2"/>
  <c r="AM216" i="2"/>
  <c r="BA216" i="2"/>
  <c r="BB216" i="2"/>
  <c r="BM216" i="2"/>
  <c r="E216" i="2"/>
  <c r="AY216" i="2"/>
  <c r="BN216" i="2"/>
  <c r="C216" i="2"/>
  <c r="BT231" i="2"/>
  <c r="J231" i="2"/>
  <c r="V231" i="2"/>
  <c r="AH231" i="2"/>
  <c r="AT231" i="2"/>
  <c r="BF231" i="2"/>
  <c r="BR231" i="2"/>
  <c r="K231" i="2"/>
  <c r="W231" i="2"/>
  <c r="AI231" i="2"/>
  <c r="AU231" i="2"/>
  <c r="BG231" i="2"/>
  <c r="BS231" i="2"/>
  <c r="L231" i="2"/>
  <c r="X231" i="2"/>
  <c r="AJ231" i="2"/>
  <c r="AV231" i="2"/>
  <c r="BH231" i="2"/>
  <c r="BU231" i="2"/>
  <c r="H231" i="2"/>
  <c r="Z231" i="2"/>
  <c r="AO231" i="2"/>
  <c r="BD231" i="2"/>
  <c r="I231" i="2"/>
  <c r="AA231" i="2"/>
  <c r="AP231" i="2"/>
  <c r="BE231" i="2"/>
  <c r="M231" i="2"/>
  <c r="AB231" i="2"/>
  <c r="AQ231" i="2"/>
  <c r="BI231" i="2"/>
  <c r="N231" i="2"/>
  <c r="AC231" i="2"/>
  <c r="AR231" i="2"/>
  <c r="BJ231" i="2"/>
  <c r="O231" i="2"/>
  <c r="AD231" i="2"/>
  <c r="AS231" i="2"/>
  <c r="BK231" i="2"/>
  <c r="P231" i="2"/>
  <c r="AE231" i="2"/>
  <c r="AW231" i="2"/>
  <c r="BL231" i="2"/>
  <c r="Q231" i="2"/>
  <c r="AF231" i="2"/>
  <c r="AX231" i="2"/>
  <c r="BM231" i="2"/>
  <c r="R231" i="2"/>
  <c r="AG231" i="2"/>
  <c r="AY231" i="2"/>
  <c r="BN231" i="2"/>
  <c r="D231" i="2"/>
  <c r="S231" i="2"/>
  <c r="AK231" i="2"/>
  <c r="AZ231" i="2"/>
  <c r="BO231" i="2"/>
  <c r="E231" i="2"/>
  <c r="T231" i="2"/>
  <c r="AL231" i="2"/>
  <c r="BA231" i="2"/>
  <c r="BP231" i="2"/>
  <c r="C231" i="2"/>
  <c r="F231" i="2"/>
  <c r="G231" i="2"/>
  <c r="U231" i="2"/>
  <c r="Y231" i="2"/>
  <c r="AM231" i="2"/>
  <c r="BQ231" i="2"/>
  <c r="AN231" i="2"/>
  <c r="BB231" i="2"/>
  <c r="BC231" i="2"/>
  <c r="D211" i="2"/>
  <c r="P211" i="2"/>
  <c r="AB211" i="2"/>
  <c r="AN211" i="2"/>
  <c r="AZ211" i="2"/>
  <c r="BL211" i="2"/>
  <c r="E211" i="2"/>
  <c r="Q211" i="2"/>
  <c r="AC211" i="2"/>
  <c r="AO211" i="2"/>
  <c r="BA211" i="2"/>
  <c r="BM211" i="2"/>
  <c r="BT211" i="2"/>
  <c r="F211" i="2"/>
  <c r="R211" i="2"/>
  <c r="AD211" i="2"/>
  <c r="AP211" i="2"/>
  <c r="BB211" i="2"/>
  <c r="BN211" i="2"/>
  <c r="O211" i="2"/>
  <c r="AA211" i="2"/>
  <c r="AM211" i="2"/>
  <c r="AY211" i="2"/>
  <c r="BK211" i="2"/>
  <c r="U211" i="2"/>
  <c r="AK211" i="2"/>
  <c r="BE211" i="2"/>
  <c r="V211" i="2"/>
  <c r="AL211" i="2"/>
  <c r="BF211" i="2"/>
  <c r="G211" i="2"/>
  <c r="W211" i="2"/>
  <c r="AQ211" i="2"/>
  <c r="BG211" i="2"/>
  <c r="H211" i="2"/>
  <c r="X211" i="2"/>
  <c r="AR211" i="2"/>
  <c r="BH211" i="2"/>
  <c r="I211" i="2"/>
  <c r="Y211" i="2"/>
  <c r="AS211" i="2"/>
  <c r="BI211" i="2"/>
  <c r="J211" i="2"/>
  <c r="Z211" i="2"/>
  <c r="AT211" i="2"/>
  <c r="BJ211" i="2"/>
  <c r="BU211" i="2"/>
  <c r="K211" i="2"/>
  <c r="AE211" i="2"/>
  <c r="AU211" i="2"/>
  <c r="BO211" i="2"/>
  <c r="M211" i="2"/>
  <c r="AG211" i="2"/>
  <c r="AW211" i="2"/>
  <c r="BQ211" i="2"/>
  <c r="S211" i="2"/>
  <c r="AI211" i="2"/>
  <c r="BC211" i="2"/>
  <c r="BS211" i="2"/>
  <c r="T211" i="2"/>
  <c r="AJ211" i="2"/>
  <c r="BD211" i="2"/>
  <c r="BP211" i="2"/>
  <c r="BR211" i="2"/>
  <c r="L211" i="2"/>
  <c r="AF211" i="2"/>
  <c r="AH211" i="2"/>
  <c r="AV211" i="2"/>
  <c r="C211" i="2"/>
  <c r="N211" i="2"/>
  <c r="AX211" i="2"/>
  <c r="BT233" i="2"/>
  <c r="BU233" i="2"/>
  <c r="F233" i="2"/>
  <c r="R233" i="2"/>
  <c r="AD233" i="2"/>
  <c r="AP233" i="2"/>
  <c r="BB233" i="2"/>
  <c r="BN233" i="2"/>
  <c r="G233" i="2"/>
  <c r="S233" i="2"/>
  <c r="AE233" i="2"/>
  <c r="AQ233" i="2"/>
  <c r="BC233" i="2"/>
  <c r="BO233" i="2"/>
  <c r="M233" i="2"/>
  <c r="AA233" i="2"/>
  <c r="AO233" i="2"/>
  <c r="BE233" i="2"/>
  <c r="BS233" i="2"/>
  <c r="N233" i="2"/>
  <c r="AB233" i="2"/>
  <c r="AR233" i="2"/>
  <c r="BF233" i="2"/>
  <c r="O233" i="2"/>
  <c r="AC233" i="2"/>
  <c r="AS233" i="2"/>
  <c r="BG233" i="2"/>
  <c r="P233" i="2"/>
  <c r="AF233" i="2"/>
  <c r="AT233" i="2"/>
  <c r="BH233" i="2"/>
  <c r="Q233" i="2"/>
  <c r="AG233" i="2"/>
  <c r="AU233" i="2"/>
  <c r="BI233" i="2"/>
  <c r="D233" i="2"/>
  <c r="T233" i="2"/>
  <c r="AH233" i="2"/>
  <c r="AV233" i="2"/>
  <c r="BJ233" i="2"/>
  <c r="E233" i="2"/>
  <c r="U233" i="2"/>
  <c r="AI233" i="2"/>
  <c r="AW233" i="2"/>
  <c r="BK233" i="2"/>
  <c r="H233" i="2"/>
  <c r="V233" i="2"/>
  <c r="AJ233" i="2"/>
  <c r="AX233" i="2"/>
  <c r="BL233" i="2"/>
  <c r="I233" i="2"/>
  <c r="W233" i="2"/>
  <c r="AK233" i="2"/>
  <c r="AY233" i="2"/>
  <c r="BM233" i="2"/>
  <c r="J233" i="2"/>
  <c r="X233" i="2"/>
  <c r="AL233" i="2"/>
  <c r="AZ233" i="2"/>
  <c r="BP233" i="2"/>
  <c r="AM233" i="2"/>
  <c r="AN233" i="2"/>
  <c r="BA233" i="2"/>
  <c r="C233" i="2"/>
  <c r="BD233" i="2"/>
  <c r="BQ233" i="2"/>
  <c r="BR233" i="2"/>
  <c r="Z233" i="2"/>
  <c r="K233" i="2"/>
  <c r="Y233" i="2"/>
  <c r="L233" i="2"/>
  <c r="L213" i="2"/>
  <c r="X213" i="2"/>
  <c r="AJ213" i="2"/>
  <c r="AV213" i="2"/>
  <c r="BH213" i="2"/>
  <c r="M213" i="2"/>
  <c r="Y213" i="2"/>
  <c r="AK213" i="2"/>
  <c r="AW213" i="2"/>
  <c r="BI213" i="2"/>
  <c r="N213" i="2"/>
  <c r="Z213" i="2"/>
  <c r="AL213" i="2"/>
  <c r="AX213" i="2"/>
  <c r="BJ213" i="2"/>
  <c r="K213" i="2"/>
  <c r="W213" i="2"/>
  <c r="AI213" i="2"/>
  <c r="AU213" i="2"/>
  <c r="BG213" i="2"/>
  <c r="BS213" i="2"/>
  <c r="I213" i="2"/>
  <c r="AC213" i="2"/>
  <c r="AS213" i="2"/>
  <c r="BM213" i="2"/>
  <c r="J213" i="2"/>
  <c r="AD213" i="2"/>
  <c r="AT213" i="2"/>
  <c r="BN213" i="2"/>
  <c r="O213" i="2"/>
  <c r="AE213" i="2"/>
  <c r="AY213" i="2"/>
  <c r="BO213" i="2"/>
  <c r="P213" i="2"/>
  <c r="AF213" i="2"/>
  <c r="AZ213" i="2"/>
  <c r="BP213" i="2"/>
  <c r="Q213" i="2"/>
  <c r="AG213" i="2"/>
  <c r="BA213" i="2"/>
  <c r="BQ213" i="2"/>
  <c r="R213" i="2"/>
  <c r="AH213" i="2"/>
  <c r="BB213" i="2"/>
  <c r="BR213" i="2"/>
  <c r="S213" i="2"/>
  <c r="AM213" i="2"/>
  <c r="BC213" i="2"/>
  <c r="E213" i="2"/>
  <c r="U213" i="2"/>
  <c r="AO213" i="2"/>
  <c r="BE213" i="2"/>
  <c r="BU213" i="2"/>
  <c r="G213" i="2"/>
  <c r="AA213" i="2"/>
  <c r="AQ213" i="2"/>
  <c r="BK213" i="2"/>
  <c r="H213" i="2"/>
  <c r="AB213" i="2"/>
  <c r="AR213" i="2"/>
  <c r="BL213" i="2"/>
  <c r="AN213" i="2"/>
  <c r="BT213" i="2"/>
  <c r="AP213" i="2"/>
  <c r="BD213" i="2"/>
  <c r="BF213" i="2"/>
  <c r="D213" i="2"/>
  <c r="F213" i="2"/>
  <c r="T213" i="2"/>
  <c r="C213" i="2"/>
  <c r="V213" i="2"/>
  <c r="H206" i="2"/>
  <c r="T206" i="2"/>
  <c r="AF206" i="2"/>
  <c r="AR206" i="2"/>
  <c r="BD206" i="2"/>
  <c r="BP206" i="2"/>
  <c r="I206" i="2"/>
  <c r="U206" i="2"/>
  <c r="AG206" i="2"/>
  <c r="AS206" i="2"/>
  <c r="BE206" i="2"/>
  <c r="BQ206" i="2"/>
  <c r="J206" i="2"/>
  <c r="V206" i="2"/>
  <c r="AH206" i="2"/>
  <c r="AT206" i="2"/>
  <c r="BF206" i="2"/>
  <c r="BR206" i="2"/>
  <c r="F206" i="2"/>
  <c r="R206" i="2"/>
  <c r="AD206" i="2"/>
  <c r="AP206" i="2"/>
  <c r="BB206" i="2"/>
  <c r="BN206" i="2"/>
  <c r="G206" i="2"/>
  <c r="S206" i="2"/>
  <c r="AE206" i="2"/>
  <c r="AQ206" i="2"/>
  <c r="BC206" i="2"/>
  <c r="BO206" i="2"/>
  <c r="W206" i="2"/>
  <c r="AN206" i="2"/>
  <c r="BJ206" i="2"/>
  <c r="BT206" i="2"/>
  <c r="X206" i="2"/>
  <c r="AO206" i="2"/>
  <c r="BK206" i="2"/>
  <c r="BU206" i="2"/>
  <c r="Y206" i="2"/>
  <c r="AU206" i="2"/>
  <c r="BL206" i="2"/>
  <c r="D206" i="2"/>
  <c r="Z206" i="2"/>
  <c r="AV206" i="2"/>
  <c r="BM206" i="2"/>
  <c r="E206" i="2"/>
  <c r="AA206" i="2"/>
  <c r="AW206" i="2"/>
  <c r="BS206" i="2"/>
  <c r="K206" i="2"/>
  <c r="AB206" i="2"/>
  <c r="AX206" i="2"/>
  <c r="L206" i="2"/>
  <c r="AC206" i="2"/>
  <c r="AY206" i="2"/>
  <c r="N206" i="2"/>
  <c r="AJ206" i="2"/>
  <c r="BA206" i="2"/>
  <c r="P206" i="2"/>
  <c r="AL206" i="2"/>
  <c r="BH206" i="2"/>
  <c r="Q206" i="2"/>
  <c r="AM206" i="2"/>
  <c r="BI206" i="2"/>
  <c r="AZ206" i="2"/>
  <c r="BG206" i="2"/>
  <c r="M206" i="2"/>
  <c r="O206" i="2"/>
  <c r="AI206" i="2"/>
  <c r="AK206" i="2"/>
  <c r="C206" i="2"/>
  <c r="BU225" i="2"/>
  <c r="BT225" i="2"/>
  <c r="J225" i="2"/>
  <c r="V225" i="2"/>
  <c r="AH225" i="2"/>
  <c r="AT225" i="2"/>
  <c r="BF225" i="2"/>
  <c r="BR225" i="2"/>
  <c r="K225" i="2"/>
  <c r="W225" i="2"/>
  <c r="AI225" i="2"/>
  <c r="AU225" i="2"/>
  <c r="BG225" i="2"/>
  <c r="BS225" i="2"/>
  <c r="L225" i="2"/>
  <c r="X225" i="2"/>
  <c r="AJ225" i="2"/>
  <c r="AV225" i="2"/>
  <c r="BH225" i="2"/>
  <c r="M225" i="2"/>
  <c r="Y225" i="2"/>
  <c r="AK225" i="2"/>
  <c r="AW225" i="2"/>
  <c r="BI225" i="2"/>
  <c r="N225" i="2"/>
  <c r="Z225" i="2"/>
  <c r="AL225" i="2"/>
  <c r="AX225" i="2"/>
  <c r="BJ225" i="2"/>
  <c r="O225" i="2"/>
  <c r="AA225" i="2"/>
  <c r="AM225" i="2"/>
  <c r="AY225" i="2"/>
  <c r="BK225" i="2"/>
  <c r="D225" i="2"/>
  <c r="P225" i="2"/>
  <c r="AB225" i="2"/>
  <c r="AN225" i="2"/>
  <c r="AZ225" i="2"/>
  <c r="BL225" i="2"/>
  <c r="F225" i="2"/>
  <c r="R225" i="2"/>
  <c r="AD225" i="2"/>
  <c r="AP225" i="2"/>
  <c r="BB225" i="2"/>
  <c r="BN225" i="2"/>
  <c r="G225" i="2"/>
  <c r="S225" i="2"/>
  <c r="AE225" i="2"/>
  <c r="AQ225" i="2"/>
  <c r="BC225" i="2"/>
  <c r="BO225" i="2"/>
  <c r="H225" i="2"/>
  <c r="T225" i="2"/>
  <c r="AF225" i="2"/>
  <c r="AR225" i="2"/>
  <c r="BD225" i="2"/>
  <c r="BP225" i="2"/>
  <c r="Q225" i="2"/>
  <c r="U225" i="2"/>
  <c r="AC225" i="2"/>
  <c r="AG225" i="2"/>
  <c r="C225" i="2"/>
  <c r="AO225" i="2"/>
  <c r="AS225" i="2"/>
  <c r="BA225" i="2"/>
  <c r="BE225" i="2"/>
  <c r="BM225" i="2"/>
  <c r="BQ225" i="2"/>
  <c r="E225" i="2"/>
  <c r="I225" i="2"/>
  <c r="D218" i="2"/>
  <c r="P218" i="2"/>
  <c r="AB218" i="2"/>
  <c r="AN218" i="2"/>
  <c r="AZ218" i="2"/>
  <c r="BL218" i="2"/>
  <c r="E218" i="2"/>
  <c r="Q218" i="2"/>
  <c r="AC218" i="2"/>
  <c r="AO218" i="2"/>
  <c r="BA218" i="2"/>
  <c r="BM218" i="2"/>
  <c r="BT218" i="2"/>
  <c r="F218" i="2"/>
  <c r="R218" i="2"/>
  <c r="AD218" i="2"/>
  <c r="AP218" i="2"/>
  <c r="BB218" i="2"/>
  <c r="BN218" i="2"/>
  <c r="BU218" i="2"/>
  <c r="G218" i="2"/>
  <c r="S218" i="2"/>
  <c r="AE218" i="2"/>
  <c r="AQ218" i="2"/>
  <c r="BC218" i="2"/>
  <c r="BO218" i="2"/>
  <c r="H218" i="2"/>
  <c r="T218" i="2"/>
  <c r="AF218" i="2"/>
  <c r="AR218" i="2"/>
  <c r="BD218" i="2"/>
  <c r="BP218" i="2"/>
  <c r="W218" i="2"/>
  <c r="AS218" i="2"/>
  <c r="BJ218" i="2"/>
  <c r="X218" i="2"/>
  <c r="AT218" i="2"/>
  <c r="BK218" i="2"/>
  <c r="Y218" i="2"/>
  <c r="AU218" i="2"/>
  <c r="BQ218" i="2"/>
  <c r="I218" i="2"/>
  <c r="Z218" i="2"/>
  <c r="AV218" i="2"/>
  <c r="BR218" i="2"/>
  <c r="J218" i="2"/>
  <c r="AA218" i="2"/>
  <c r="AW218" i="2"/>
  <c r="BS218" i="2"/>
  <c r="K218" i="2"/>
  <c r="AG218" i="2"/>
  <c r="AX218" i="2"/>
  <c r="L218" i="2"/>
  <c r="AH218" i="2"/>
  <c r="AY218" i="2"/>
  <c r="N218" i="2"/>
  <c r="AJ218" i="2"/>
  <c r="BF218" i="2"/>
  <c r="O218" i="2"/>
  <c r="AK218" i="2"/>
  <c r="BG218" i="2"/>
  <c r="U218" i="2"/>
  <c r="AL218" i="2"/>
  <c r="BH218" i="2"/>
  <c r="M218" i="2"/>
  <c r="V218" i="2"/>
  <c r="AI218" i="2"/>
  <c r="AM218" i="2"/>
  <c r="BE218" i="2"/>
  <c r="BI218" i="2"/>
  <c r="C218" i="2"/>
  <c r="BT227" i="2"/>
  <c r="BU227" i="2"/>
  <c r="F227" i="2"/>
  <c r="R227" i="2"/>
  <c r="AD227" i="2"/>
  <c r="AP227" i="2"/>
  <c r="BB227" i="2"/>
  <c r="BN227" i="2"/>
  <c r="G227" i="2"/>
  <c r="S227" i="2"/>
  <c r="AE227" i="2"/>
  <c r="AQ227" i="2"/>
  <c r="BC227" i="2"/>
  <c r="BO227" i="2"/>
  <c r="H227" i="2"/>
  <c r="T227" i="2"/>
  <c r="AF227" i="2"/>
  <c r="AR227" i="2"/>
  <c r="BD227" i="2"/>
  <c r="BP227" i="2"/>
  <c r="I227" i="2"/>
  <c r="U227" i="2"/>
  <c r="AG227" i="2"/>
  <c r="AS227" i="2"/>
  <c r="BE227" i="2"/>
  <c r="BQ227" i="2"/>
  <c r="J227" i="2"/>
  <c r="V227" i="2"/>
  <c r="AH227" i="2"/>
  <c r="AT227" i="2"/>
  <c r="BF227" i="2"/>
  <c r="BR227" i="2"/>
  <c r="K227" i="2"/>
  <c r="W227" i="2"/>
  <c r="AI227" i="2"/>
  <c r="AU227" i="2"/>
  <c r="BG227" i="2"/>
  <c r="BS227" i="2"/>
  <c r="L227" i="2"/>
  <c r="X227" i="2"/>
  <c r="AJ227" i="2"/>
  <c r="AV227" i="2"/>
  <c r="BH227" i="2"/>
  <c r="N227" i="2"/>
  <c r="Z227" i="2"/>
  <c r="AL227" i="2"/>
  <c r="AX227" i="2"/>
  <c r="BJ227" i="2"/>
  <c r="O227" i="2"/>
  <c r="AA227" i="2"/>
  <c r="AM227" i="2"/>
  <c r="AY227" i="2"/>
  <c r="BK227" i="2"/>
  <c r="E227" i="2"/>
  <c r="BA227" i="2"/>
  <c r="M227" i="2"/>
  <c r="BI227" i="2"/>
  <c r="P227" i="2"/>
  <c r="BL227" i="2"/>
  <c r="Q227" i="2"/>
  <c r="BM227" i="2"/>
  <c r="Y227" i="2"/>
  <c r="AB227" i="2"/>
  <c r="AC227" i="2"/>
  <c r="AK227" i="2"/>
  <c r="AN227" i="2"/>
  <c r="AO227" i="2"/>
  <c r="D227" i="2"/>
  <c r="AW227" i="2"/>
  <c r="AZ227" i="2"/>
  <c r="C227" i="2"/>
  <c r="BT237" i="2"/>
  <c r="BU237" i="2"/>
  <c r="M237" i="2"/>
  <c r="Y237" i="2"/>
  <c r="AK237" i="2"/>
  <c r="AW237" i="2"/>
  <c r="BI237" i="2"/>
  <c r="N237" i="2"/>
  <c r="Z237" i="2"/>
  <c r="AL237" i="2"/>
  <c r="AX237" i="2"/>
  <c r="BJ237" i="2"/>
  <c r="O237" i="2"/>
  <c r="AA237" i="2"/>
  <c r="AM237" i="2"/>
  <c r="AY237" i="2"/>
  <c r="BK237" i="2"/>
  <c r="D237" i="2"/>
  <c r="P237" i="2"/>
  <c r="AB237" i="2"/>
  <c r="AN237" i="2"/>
  <c r="AZ237" i="2"/>
  <c r="BL237" i="2"/>
  <c r="C237" i="2"/>
  <c r="E237" i="2"/>
  <c r="Q237" i="2"/>
  <c r="AC237" i="2"/>
  <c r="AO237" i="2"/>
  <c r="BA237" i="2"/>
  <c r="BM237" i="2"/>
  <c r="F237" i="2"/>
  <c r="R237" i="2"/>
  <c r="AD237" i="2"/>
  <c r="AP237" i="2"/>
  <c r="BB237" i="2"/>
  <c r="BN237" i="2"/>
  <c r="G237" i="2"/>
  <c r="S237" i="2"/>
  <c r="AE237" i="2"/>
  <c r="AQ237" i="2"/>
  <c r="BC237" i="2"/>
  <c r="BO237" i="2"/>
  <c r="H237" i="2"/>
  <c r="T237" i="2"/>
  <c r="AF237" i="2"/>
  <c r="AR237" i="2"/>
  <c r="BD237" i="2"/>
  <c r="BP237" i="2"/>
  <c r="I237" i="2"/>
  <c r="U237" i="2"/>
  <c r="AG237" i="2"/>
  <c r="AS237" i="2"/>
  <c r="BE237" i="2"/>
  <c r="BQ237" i="2"/>
  <c r="J237" i="2"/>
  <c r="V237" i="2"/>
  <c r="AH237" i="2"/>
  <c r="AT237" i="2"/>
  <c r="BF237" i="2"/>
  <c r="BR237" i="2"/>
  <c r="K237" i="2"/>
  <c r="L237" i="2"/>
  <c r="W237" i="2"/>
  <c r="X237" i="2"/>
  <c r="AI237" i="2"/>
  <c r="AJ237" i="2"/>
  <c r="AU237" i="2"/>
  <c r="AV237" i="2"/>
  <c r="BG237" i="2"/>
  <c r="BH237" i="2"/>
  <c r="BS237" i="2"/>
  <c r="BT223" i="2"/>
  <c r="BU223" i="2"/>
  <c r="N223" i="2"/>
  <c r="Z223" i="2"/>
  <c r="AL223" i="2"/>
  <c r="AX223" i="2"/>
  <c r="BJ223" i="2"/>
  <c r="O223" i="2"/>
  <c r="AA223" i="2"/>
  <c r="AM223" i="2"/>
  <c r="AY223" i="2"/>
  <c r="BK223" i="2"/>
  <c r="D223" i="2"/>
  <c r="P223" i="2"/>
  <c r="AB223" i="2"/>
  <c r="AN223" i="2"/>
  <c r="AZ223" i="2"/>
  <c r="BL223" i="2"/>
  <c r="E223" i="2"/>
  <c r="Q223" i="2"/>
  <c r="AC223" i="2"/>
  <c r="AO223" i="2"/>
  <c r="BA223" i="2"/>
  <c r="BM223" i="2"/>
  <c r="F223" i="2"/>
  <c r="R223" i="2"/>
  <c r="AD223" i="2"/>
  <c r="AP223" i="2"/>
  <c r="BB223" i="2"/>
  <c r="BN223" i="2"/>
  <c r="G223" i="2"/>
  <c r="S223" i="2"/>
  <c r="AE223" i="2"/>
  <c r="AQ223" i="2"/>
  <c r="BC223" i="2"/>
  <c r="BO223" i="2"/>
  <c r="H223" i="2"/>
  <c r="T223" i="2"/>
  <c r="AF223" i="2"/>
  <c r="AR223" i="2"/>
  <c r="BD223" i="2"/>
  <c r="BP223" i="2"/>
  <c r="J223" i="2"/>
  <c r="V223" i="2"/>
  <c r="AH223" i="2"/>
  <c r="AT223" i="2"/>
  <c r="BF223" i="2"/>
  <c r="BR223" i="2"/>
  <c r="K223" i="2"/>
  <c r="W223" i="2"/>
  <c r="AI223" i="2"/>
  <c r="AU223" i="2"/>
  <c r="BG223" i="2"/>
  <c r="BS223" i="2"/>
  <c r="L223" i="2"/>
  <c r="X223" i="2"/>
  <c r="AJ223" i="2"/>
  <c r="AV223" i="2"/>
  <c r="BH223" i="2"/>
  <c r="I223" i="2"/>
  <c r="M223" i="2"/>
  <c r="C223" i="2"/>
  <c r="U223" i="2"/>
  <c r="Y223" i="2"/>
  <c r="AG223" i="2"/>
  <c r="AK223" i="2"/>
  <c r="AS223" i="2"/>
  <c r="AW223" i="2"/>
  <c r="BE223" i="2"/>
  <c r="BI223" i="2"/>
  <c r="BQ223" i="2"/>
  <c r="H215" i="2"/>
  <c r="T215" i="2"/>
  <c r="AF215" i="2"/>
  <c r="AR215" i="2"/>
  <c r="BD215" i="2"/>
  <c r="BP215" i="2"/>
  <c r="I215" i="2"/>
  <c r="U215" i="2"/>
  <c r="AG215" i="2"/>
  <c r="AS215" i="2"/>
  <c r="BE215" i="2"/>
  <c r="BQ215" i="2"/>
  <c r="J215" i="2"/>
  <c r="V215" i="2"/>
  <c r="AH215" i="2"/>
  <c r="AT215" i="2"/>
  <c r="BF215" i="2"/>
  <c r="BR215" i="2"/>
  <c r="BT215" i="2"/>
  <c r="BU215" i="2"/>
  <c r="M215" i="2"/>
  <c r="AB215" i="2"/>
  <c r="AQ215" i="2"/>
  <c r="BI215" i="2"/>
  <c r="N215" i="2"/>
  <c r="AC215" i="2"/>
  <c r="AU215" i="2"/>
  <c r="BJ215" i="2"/>
  <c r="O215" i="2"/>
  <c r="AD215" i="2"/>
  <c r="AV215" i="2"/>
  <c r="BK215" i="2"/>
  <c r="P215" i="2"/>
  <c r="AE215" i="2"/>
  <c r="AW215" i="2"/>
  <c r="BL215" i="2"/>
  <c r="Q215" i="2"/>
  <c r="AI215" i="2"/>
  <c r="AX215" i="2"/>
  <c r="BM215" i="2"/>
  <c r="R215" i="2"/>
  <c r="AJ215" i="2"/>
  <c r="AY215" i="2"/>
  <c r="BN215" i="2"/>
  <c r="D215" i="2"/>
  <c r="S215" i="2"/>
  <c r="AK215" i="2"/>
  <c r="AZ215" i="2"/>
  <c r="BO215" i="2"/>
  <c r="F215" i="2"/>
  <c r="X215" i="2"/>
  <c r="AM215" i="2"/>
  <c r="BB215" i="2"/>
  <c r="K215" i="2"/>
  <c r="Z215" i="2"/>
  <c r="L215" i="2"/>
  <c r="AA215" i="2"/>
  <c r="AP215" i="2"/>
  <c r="BH215" i="2"/>
  <c r="E215" i="2"/>
  <c r="G215" i="2"/>
  <c r="W215" i="2"/>
  <c r="Y215" i="2"/>
  <c r="AL215" i="2"/>
  <c r="AN215" i="2"/>
  <c r="AO215" i="2"/>
  <c r="BC215" i="2"/>
  <c r="BG215" i="2"/>
  <c r="BS215" i="2"/>
  <c r="BA215" i="2"/>
  <c r="C215" i="2"/>
  <c r="BT230" i="2"/>
  <c r="BU230" i="2"/>
  <c r="F230" i="2"/>
  <c r="R230" i="2"/>
  <c r="AD230" i="2"/>
  <c r="AP230" i="2"/>
  <c r="BB230" i="2"/>
  <c r="BN230" i="2"/>
  <c r="G230" i="2"/>
  <c r="S230" i="2"/>
  <c r="AE230" i="2"/>
  <c r="AQ230" i="2"/>
  <c r="BC230" i="2"/>
  <c r="BO230" i="2"/>
  <c r="H230" i="2"/>
  <c r="T230" i="2"/>
  <c r="AF230" i="2"/>
  <c r="AR230" i="2"/>
  <c r="BD230" i="2"/>
  <c r="BP230" i="2"/>
  <c r="M230" i="2"/>
  <c r="AB230" i="2"/>
  <c r="AT230" i="2"/>
  <c r="BI230" i="2"/>
  <c r="N230" i="2"/>
  <c r="AC230" i="2"/>
  <c r="AU230" i="2"/>
  <c r="BJ230" i="2"/>
  <c r="O230" i="2"/>
  <c r="AG230" i="2"/>
  <c r="AV230" i="2"/>
  <c r="BK230" i="2"/>
  <c r="P230" i="2"/>
  <c r="AH230" i="2"/>
  <c r="AW230" i="2"/>
  <c r="BL230" i="2"/>
  <c r="Q230" i="2"/>
  <c r="AI230" i="2"/>
  <c r="AX230" i="2"/>
  <c r="BM230" i="2"/>
  <c r="U230" i="2"/>
  <c r="AJ230" i="2"/>
  <c r="AY230" i="2"/>
  <c r="BQ230" i="2"/>
  <c r="D230" i="2"/>
  <c r="V230" i="2"/>
  <c r="AK230" i="2"/>
  <c r="AZ230" i="2"/>
  <c r="BR230" i="2"/>
  <c r="E230" i="2"/>
  <c r="W230" i="2"/>
  <c r="AL230" i="2"/>
  <c r="BA230" i="2"/>
  <c r="BS230" i="2"/>
  <c r="I230" i="2"/>
  <c r="X230" i="2"/>
  <c r="AM230" i="2"/>
  <c r="BE230" i="2"/>
  <c r="J230" i="2"/>
  <c r="Y230" i="2"/>
  <c r="AN230" i="2"/>
  <c r="BF230" i="2"/>
  <c r="BG230" i="2"/>
  <c r="BH230" i="2"/>
  <c r="AS230" i="2"/>
  <c r="C230" i="2"/>
  <c r="K230" i="2"/>
  <c r="L230" i="2"/>
  <c r="AO230" i="2"/>
  <c r="Z230" i="2"/>
  <c r="AA230" i="2"/>
  <c r="BT210" i="2"/>
  <c r="L210" i="2"/>
  <c r="X210" i="2"/>
  <c r="AJ210" i="2"/>
  <c r="AV210" i="2"/>
  <c r="BH210" i="2"/>
  <c r="BU210" i="2"/>
  <c r="M210" i="2"/>
  <c r="Y210" i="2"/>
  <c r="AK210" i="2"/>
  <c r="AW210" i="2"/>
  <c r="BI210" i="2"/>
  <c r="N210" i="2"/>
  <c r="Z210" i="2"/>
  <c r="AL210" i="2"/>
  <c r="AX210" i="2"/>
  <c r="BJ210" i="2"/>
  <c r="J210" i="2"/>
  <c r="K210" i="2"/>
  <c r="W210" i="2"/>
  <c r="AI210" i="2"/>
  <c r="AU210" i="2"/>
  <c r="BG210" i="2"/>
  <c r="BS210" i="2"/>
  <c r="Q210" i="2"/>
  <c r="AG210" i="2"/>
  <c r="BA210" i="2"/>
  <c r="BQ210" i="2"/>
  <c r="R210" i="2"/>
  <c r="AH210" i="2"/>
  <c r="BB210" i="2"/>
  <c r="BR210" i="2"/>
  <c r="S210" i="2"/>
  <c r="AM210" i="2"/>
  <c r="BC210" i="2"/>
  <c r="T210" i="2"/>
  <c r="AN210" i="2"/>
  <c r="BD210" i="2"/>
  <c r="D210" i="2"/>
  <c r="U210" i="2"/>
  <c r="AO210" i="2"/>
  <c r="BE210" i="2"/>
  <c r="E210" i="2"/>
  <c r="V210" i="2"/>
  <c r="AP210" i="2"/>
  <c r="BF210" i="2"/>
  <c r="F210" i="2"/>
  <c r="AA210" i="2"/>
  <c r="AQ210" i="2"/>
  <c r="BK210" i="2"/>
  <c r="H210" i="2"/>
  <c r="AC210" i="2"/>
  <c r="AS210" i="2"/>
  <c r="BM210" i="2"/>
  <c r="O210" i="2"/>
  <c r="AE210" i="2"/>
  <c r="AY210" i="2"/>
  <c r="BO210" i="2"/>
  <c r="P210" i="2"/>
  <c r="AF210" i="2"/>
  <c r="AZ210" i="2"/>
  <c r="BP210" i="2"/>
  <c r="AB210" i="2"/>
  <c r="AD210" i="2"/>
  <c r="AR210" i="2"/>
  <c r="AT210" i="2"/>
  <c r="BL210" i="2"/>
  <c r="BN210" i="2"/>
  <c r="G210" i="2"/>
  <c r="C210" i="2"/>
  <c r="I210" i="2"/>
  <c r="D214" i="2"/>
  <c r="P214" i="2"/>
  <c r="AB214" i="2"/>
  <c r="AN214" i="2"/>
  <c r="AZ214" i="2"/>
  <c r="BL214" i="2"/>
  <c r="E214" i="2"/>
  <c r="Q214" i="2"/>
  <c r="AC214" i="2"/>
  <c r="AO214" i="2"/>
  <c r="BA214" i="2"/>
  <c r="BM214" i="2"/>
  <c r="F214" i="2"/>
  <c r="R214" i="2"/>
  <c r="AD214" i="2"/>
  <c r="AP214" i="2"/>
  <c r="BB214" i="2"/>
  <c r="BN214" i="2"/>
  <c r="O214" i="2"/>
  <c r="AA214" i="2"/>
  <c r="BU214" i="2"/>
  <c r="M214" i="2"/>
  <c r="AG214" i="2"/>
  <c r="AV214" i="2"/>
  <c r="BK214" i="2"/>
  <c r="N214" i="2"/>
  <c r="AH214" i="2"/>
  <c r="AW214" i="2"/>
  <c r="BO214" i="2"/>
  <c r="S214" i="2"/>
  <c r="AI214" i="2"/>
  <c r="AX214" i="2"/>
  <c r="BP214" i="2"/>
  <c r="T214" i="2"/>
  <c r="AJ214" i="2"/>
  <c r="AY214" i="2"/>
  <c r="BQ214" i="2"/>
  <c r="U214" i="2"/>
  <c r="AK214" i="2"/>
  <c r="BC214" i="2"/>
  <c r="BR214" i="2"/>
  <c r="V214" i="2"/>
  <c r="AL214" i="2"/>
  <c r="BD214" i="2"/>
  <c r="BS214" i="2"/>
  <c r="G214" i="2"/>
  <c r="W214" i="2"/>
  <c r="AM214" i="2"/>
  <c r="BE214" i="2"/>
  <c r="I214" i="2"/>
  <c r="Y214" i="2"/>
  <c r="AR214" i="2"/>
  <c r="BG214" i="2"/>
  <c r="K214" i="2"/>
  <c r="AE214" i="2"/>
  <c r="AT214" i="2"/>
  <c r="BI214" i="2"/>
  <c r="BT214" i="2"/>
  <c r="L214" i="2"/>
  <c r="AF214" i="2"/>
  <c r="AU214" i="2"/>
  <c r="BJ214" i="2"/>
  <c r="H214" i="2"/>
  <c r="J214" i="2"/>
  <c r="X214" i="2"/>
  <c r="AQ214" i="2"/>
  <c r="AS214" i="2"/>
  <c r="BF214" i="2"/>
  <c r="Z214" i="2"/>
  <c r="BH214" i="2"/>
  <c r="C214" i="2"/>
  <c r="BT234" i="2"/>
  <c r="BU234" i="2"/>
  <c r="J234" i="2"/>
  <c r="V234" i="2"/>
  <c r="AH234" i="2"/>
  <c r="AT234" i="2"/>
  <c r="BF234" i="2"/>
  <c r="BR234" i="2"/>
  <c r="K234" i="2"/>
  <c r="W234" i="2"/>
  <c r="AI234" i="2"/>
  <c r="AU234" i="2"/>
  <c r="BG234" i="2"/>
  <c r="BS234" i="2"/>
  <c r="Q234" i="2"/>
  <c r="AE234" i="2"/>
  <c r="AS234" i="2"/>
  <c r="BI234" i="2"/>
  <c r="C234" i="2"/>
  <c r="D234" i="2"/>
  <c r="R234" i="2"/>
  <c r="AF234" i="2"/>
  <c r="AV234" i="2"/>
  <c r="BJ234" i="2"/>
  <c r="E234" i="2"/>
  <c r="S234" i="2"/>
  <c r="AG234" i="2"/>
  <c r="AW234" i="2"/>
  <c r="BK234" i="2"/>
  <c r="F234" i="2"/>
  <c r="T234" i="2"/>
  <c r="AJ234" i="2"/>
  <c r="AX234" i="2"/>
  <c r="BL234" i="2"/>
  <c r="G234" i="2"/>
  <c r="U234" i="2"/>
  <c r="AK234" i="2"/>
  <c r="AY234" i="2"/>
  <c r="BM234" i="2"/>
  <c r="H234" i="2"/>
  <c r="X234" i="2"/>
  <c r="AL234" i="2"/>
  <c r="AZ234" i="2"/>
  <c r="BN234" i="2"/>
  <c r="I234" i="2"/>
  <c r="Y234" i="2"/>
  <c r="AM234" i="2"/>
  <c r="BA234" i="2"/>
  <c r="BO234" i="2"/>
  <c r="L234" i="2"/>
  <c r="Z234" i="2"/>
  <c r="AN234" i="2"/>
  <c r="BB234" i="2"/>
  <c r="BP234" i="2"/>
  <c r="M234" i="2"/>
  <c r="AA234" i="2"/>
  <c r="AO234" i="2"/>
  <c r="BC234" i="2"/>
  <c r="BQ234" i="2"/>
  <c r="N234" i="2"/>
  <c r="AB234" i="2"/>
  <c r="AP234" i="2"/>
  <c r="BD234" i="2"/>
  <c r="BE234" i="2"/>
  <c r="BH234" i="2"/>
  <c r="AR234" i="2"/>
  <c r="O234" i="2"/>
  <c r="P234" i="2"/>
  <c r="AC234" i="2"/>
  <c r="AD234" i="2"/>
  <c r="AQ234" i="2"/>
  <c r="D208" i="2"/>
  <c r="P208" i="2"/>
  <c r="AB208" i="2"/>
  <c r="AN208" i="2"/>
  <c r="AZ208" i="2"/>
  <c r="BL208" i="2"/>
  <c r="E208" i="2"/>
  <c r="Q208" i="2"/>
  <c r="AC208" i="2"/>
  <c r="AO208" i="2"/>
  <c r="BA208" i="2"/>
  <c r="BM208" i="2"/>
  <c r="F208" i="2"/>
  <c r="R208" i="2"/>
  <c r="AD208" i="2"/>
  <c r="AP208" i="2"/>
  <c r="BB208" i="2"/>
  <c r="BN208" i="2"/>
  <c r="BU208" i="2"/>
  <c r="N208" i="2"/>
  <c r="Z208" i="2"/>
  <c r="AL208" i="2"/>
  <c r="AX208" i="2"/>
  <c r="BJ208" i="2"/>
  <c r="O208" i="2"/>
  <c r="AA208" i="2"/>
  <c r="AM208" i="2"/>
  <c r="AY208" i="2"/>
  <c r="BK208" i="2"/>
  <c r="I208" i="2"/>
  <c r="AE208" i="2"/>
  <c r="AV208" i="2"/>
  <c r="BR208" i="2"/>
  <c r="J208" i="2"/>
  <c r="AF208" i="2"/>
  <c r="AW208" i="2"/>
  <c r="BS208" i="2"/>
  <c r="K208" i="2"/>
  <c r="AG208" i="2"/>
  <c r="BC208" i="2"/>
  <c r="L208" i="2"/>
  <c r="AH208" i="2"/>
  <c r="BD208" i="2"/>
  <c r="M208" i="2"/>
  <c r="AI208" i="2"/>
  <c r="BE208" i="2"/>
  <c r="BT208" i="2"/>
  <c r="S208" i="2"/>
  <c r="AJ208" i="2"/>
  <c r="BF208" i="2"/>
  <c r="T208" i="2"/>
  <c r="AK208" i="2"/>
  <c r="BG208" i="2"/>
  <c r="V208" i="2"/>
  <c r="AR208" i="2"/>
  <c r="BI208" i="2"/>
  <c r="G208" i="2"/>
  <c r="X208" i="2"/>
  <c r="AT208" i="2"/>
  <c r="BP208" i="2"/>
  <c r="H208" i="2"/>
  <c r="Y208" i="2"/>
  <c r="AU208" i="2"/>
  <c r="BQ208" i="2"/>
  <c r="AQ208" i="2"/>
  <c r="AS208" i="2"/>
  <c r="BH208" i="2"/>
  <c r="BO208" i="2"/>
  <c r="U208" i="2"/>
  <c r="W208" i="2"/>
  <c r="C208" i="2"/>
  <c r="L207" i="2"/>
  <c r="X207" i="2"/>
  <c r="AJ207" i="2"/>
  <c r="AV207" i="2"/>
  <c r="BH207" i="2"/>
  <c r="M207" i="2"/>
  <c r="Y207" i="2"/>
  <c r="AK207" i="2"/>
  <c r="AW207" i="2"/>
  <c r="BI207" i="2"/>
  <c r="N207" i="2"/>
  <c r="Z207" i="2"/>
  <c r="AL207" i="2"/>
  <c r="AX207" i="2"/>
  <c r="BJ207" i="2"/>
  <c r="J207" i="2"/>
  <c r="V207" i="2"/>
  <c r="AH207" i="2"/>
  <c r="AT207" i="2"/>
  <c r="BF207" i="2"/>
  <c r="BR207" i="2"/>
  <c r="K207" i="2"/>
  <c r="W207" i="2"/>
  <c r="AI207" i="2"/>
  <c r="AU207" i="2"/>
  <c r="BG207" i="2"/>
  <c r="BS207" i="2"/>
  <c r="P207" i="2"/>
  <c r="AG207" i="2"/>
  <c r="BC207" i="2"/>
  <c r="Q207" i="2"/>
  <c r="AM207" i="2"/>
  <c r="BD207" i="2"/>
  <c r="R207" i="2"/>
  <c r="AN207" i="2"/>
  <c r="BE207" i="2"/>
  <c r="BT207" i="2"/>
  <c r="S207" i="2"/>
  <c r="AO207" i="2"/>
  <c r="BK207" i="2"/>
  <c r="BU207" i="2"/>
  <c r="T207" i="2"/>
  <c r="AP207" i="2"/>
  <c r="BL207" i="2"/>
  <c r="D207" i="2"/>
  <c r="U207" i="2"/>
  <c r="AQ207" i="2"/>
  <c r="BM207" i="2"/>
  <c r="E207" i="2"/>
  <c r="AA207" i="2"/>
  <c r="AR207" i="2"/>
  <c r="BN207" i="2"/>
  <c r="G207" i="2"/>
  <c r="AC207" i="2"/>
  <c r="AY207" i="2"/>
  <c r="BP207" i="2"/>
  <c r="I207" i="2"/>
  <c r="AE207" i="2"/>
  <c r="BA207" i="2"/>
  <c r="O207" i="2"/>
  <c r="AF207" i="2"/>
  <c r="BB207" i="2"/>
  <c r="F207" i="2"/>
  <c r="H207" i="2"/>
  <c r="AB207" i="2"/>
  <c r="AD207" i="2"/>
  <c r="AS207" i="2"/>
  <c r="BO207" i="2"/>
  <c r="BQ207" i="2"/>
  <c r="AZ207" i="2"/>
  <c r="C207" i="2"/>
  <c r="BT222" i="2"/>
  <c r="BU222" i="2"/>
  <c r="H222" i="2"/>
  <c r="T222" i="2"/>
  <c r="AF222" i="2"/>
  <c r="AR222" i="2"/>
  <c r="BD222" i="2"/>
  <c r="BP222" i="2"/>
  <c r="I222" i="2"/>
  <c r="U222" i="2"/>
  <c r="AG222" i="2"/>
  <c r="AS222" i="2"/>
  <c r="BE222" i="2"/>
  <c r="BQ222" i="2"/>
  <c r="J222" i="2"/>
  <c r="V222" i="2"/>
  <c r="AH222" i="2"/>
  <c r="AT222" i="2"/>
  <c r="BF222" i="2"/>
  <c r="BR222" i="2"/>
  <c r="D222" i="2"/>
  <c r="S222" i="2"/>
  <c r="AK222" i="2"/>
  <c r="AZ222" i="2"/>
  <c r="BO222" i="2"/>
  <c r="E222" i="2"/>
  <c r="W222" i="2"/>
  <c r="AL222" i="2"/>
  <c r="BA222" i="2"/>
  <c r="BS222" i="2"/>
  <c r="F222" i="2"/>
  <c r="X222" i="2"/>
  <c r="AM222" i="2"/>
  <c r="BB222" i="2"/>
  <c r="G222" i="2"/>
  <c r="Y222" i="2"/>
  <c r="AN222" i="2"/>
  <c r="BC222" i="2"/>
  <c r="K222" i="2"/>
  <c r="Z222" i="2"/>
  <c r="AO222" i="2"/>
  <c r="BG222" i="2"/>
  <c r="L222" i="2"/>
  <c r="AA222" i="2"/>
  <c r="AP222" i="2"/>
  <c r="BH222" i="2"/>
  <c r="M222" i="2"/>
  <c r="AB222" i="2"/>
  <c r="AQ222" i="2"/>
  <c r="BI222" i="2"/>
  <c r="O222" i="2"/>
  <c r="AD222" i="2"/>
  <c r="AV222" i="2"/>
  <c r="BK222" i="2"/>
  <c r="P222" i="2"/>
  <c r="AE222" i="2"/>
  <c r="AW222" i="2"/>
  <c r="BL222" i="2"/>
  <c r="Q222" i="2"/>
  <c r="AI222" i="2"/>
  <c r="AX222" i="2"/>
  <c r="BM222" i="2"/>
  <c r="C222" i="2"/>
  <c r="N222" i="2"/>
  <c r="R222" i="2"/>
  <c r="AC222" i="2"/>
  <c r="AJ222" i="2"/>
  <c r="AU222" i="2"/>
  <c r="AY222" i="2"/>
  <c r="BJ222" i="2"/>
  <c r="BN222" i="2"/>
  <c r="BT226" i="2"/>
  <c r="BU226" i="2"/>
  <c r="N226" i="2"/>
  <c r="Z226" i="2"/>
  <c r="AL226" i="2"/>
  <c r="AX226" i="2"/>
  <c r="BJ226" i="2"/>
  <c r="O226" i="2"/>
  <c r="AA226" i="2"/>
  <c r="AM226" i="2"/>
  <c r="AY226" i="2"/>
  <c r="BK226" i="2"/>
  <c r="D226" i="2"/>
  <c r="P226" i="2"/>
  <c r="AB226" i="2"/>
  <c r="AN226" i="2"/>
  <c r="AZ226" i="2"/>
  <c r="BL226" i="2"/>
  <c r="E226" i="2"/>
  <c r="Q226" i="2"/>
  <c r="AC226" i="2"/>
  <c r="AO226" i="2"/>
  <c r="BA226" i="2"/>
  <c r="BM226" i="2"/>
  <c r="F226" i="2"/>
  <c r="R226" i="2"/>
  <c r="AD226" i="2"/>
  <c r="AP226" i="2"/>
  <c r="BB226" i="2"/>
  <c r="BN226" i="2"/>
  <c r="G226" i="2"/>
  <c r="S226" i="2"/>
  <c r="AE226" i="2"/>
  <c r="AQ226" i="2"/>
  <c r="BC226" i="2"/>
  <c r="BO226" i="2"/>
  <c r="H226" i="2"/>
  <c r="T226" i="2"/>
  <c r="AF226" i="2"/>
  <c r="AR226" i="2"/>
  <c r="BD226" i="2"/>
  <c r="BP226" i="2"/>
  <c r="J226" i="2"/>
  <c r="V226" i="2"/>
  <c r="AH226" i="2"/>
  <c r="AT226" i="2"/>
  <c r="BF226" i="2"/>
  <c r="BR226" i="2"/>
  <c r="K226" i="2"/>
  <c r="W226" i="2"/>
  <c r="AI226" i="2"/>
  <c r="AU226" i="2"/>
  <c r="BG226" i="2"/>
  <c r="BS226" i="2"/>
  <c r="L226" i="2"/>
  <c r="X226" i="2"/>
  <c r="AJ226" i="2"/>
  <c r="U226" i="2"/>
  <c r="Y226" i="2"/>
  <c r="AG226" i="2"/>
  <c r="AK226" i="2"/>
  <c r="AS226" i="2"/>
  <c r="AV226" i="2"/>
  <c r="AW226" i="2"/>
  <c r="BE226" i="2"/>
  <c r="BH226" i="2"/>
  <c r="BI226" i="2"/>
  <c r="I226" i="2"/>
  <c r="M226" i="2"/>
  <c r="BQ226" i="2"/>
  <c r="C226"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Q2" authorId="0" shapeId="0" xr:uid="{9F68E694-3F8E-48B2-BC97-3FF1FC7B18D3}">
      <text>
        <r>
          <rPr>
            <b/>
            <sz val="9"/>
            <color indexed="81"/>
            <rFont val="Tahoma"/>
            <charset val="1"/>
          </rPr>
          <t>USER:</t>
        </r>
        <r>
          <rPr>
            <sz val="9"/>
            <color indexed="81"/>
            <rFont val="Tahoma"/>
            <charset val="1"/>
          </rPr>
          <t xml:space="preserve">
represented in Brazzaville, Congo</t>
        </r>
      </text>
    </comment>
    <comment ref="Q3" authorId="0" shapeId="0" xr:uid="{E59647D1-8077-4D47-9ECC-01C2628CCCB4}">
      <text>
        <r>
          <rPr>
            <b/>
            <sz val="9"/>
            <color indexed="81"/>
            <rFont val="Tahoma"/>
            <charset val="1"/>
          </rPr>
          <t>USER:</t>
        </r>
        <r>
          <rPr>
            <sz val="9"/>
            <color indexed="81"/>
            <rFont val="Tahoma"/>
            <charset val="1"/>
          </rPr>
          <t xml:space="preserve">
represented in Ankara, Turkey</t>
        </r>
      </text>
    </comment>
    <comment ref="Q4" authorId="0" shapeId="0" xr:uid="{EF054DAB-5D7B-4879-800B-4B4C7FCEA157}">
      <text>
        <r>
          <rPr>
            <b/>
            <sz val="9"/>
            <color indexed="81"/>
            <rFont val="Tahoma"/>
            <charset val="1"/>
          </rPr>
          <t>USER:</t>
        </r>
        <r>
          <rPr>
            <sz val="9"/>
            <color indexed="81"/>
            <rFont val="Tahoma"/>
            <charset val="1"/>
          </rPr>
          <t xml:space="preserve">
represented by Bogota, Colombia</t>
        </r>
      </text>
    </comment>
    <comment ref="Q5" authorId="0" shapeId="0" xr:uid="{DB084ECD-FB1C-4B78-8083-BC3A9B2EC412}">
      <text>
        <r>
          <rPr>
            <b/>
            <sz val="9"/>
            <color indexed="81"/>
            <rFont val="Tahoma"/>
            <charset val="1"/>
          </rPr>
          <t>USER:</t>
        </r>
        <r>
          <rPr>
            <sz val="9"/>
            <color indexed="81"/>
            <rFont val="Tahoma"/>
            <charset val="1"/>
          </rPr>
          <t xml:space="preserve">
represented in Cairo, Eqypt</t>
        </r>
      </text>
    </comment>
    <comment ref="Q6" authorId="0" shapeId="0" xr:uid="{01CED623-2301-4865-8BFD-B2670F6FB721}">
      <text>
        <r>
          <rPr>
            <b/>
            <sz val="9"/>
            <color indexed="81"/>
            <rFont val="Tahoma"/>
            <charset val="1"/>
          </rPr>
          <t>USER:</t>
        </r>
        <r>
          <rPr>
            <sz val="9"/>
            <color indexed="81"/>
            <rFont val="Tahoma"/>
            <charset val="1"/>
          </rPr>
          <t xml:space="preserve">
represented in Singapore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A1" authorId="0" shapeId="0" xr:uid="{7E206AA8-A9E7-4C3B-8B48-674CD0FF979D}">
      <text>
        <r>
          <rPr>
            <b/>
            <sz val="9"/>
            <color indexed="81"/>
            <rFont val="Tahoma"/>
            <family val="2"/>
          </rPr>
          <t>USER:</t>
        </r>
        <r>
          <rPr>
            <sz val="9"/>
            <color indexed="81"/>
            <rFont val="Tahoma"/>
            <family val="2"/>
          </rPr>
          <t xml:space="preserve">
Projected from https://www.imf.org/en/Publications/WEO/weo-database/2024/October/weo-report?c=512,914,612,171,614,311,213,911,314,193,122,912,313,419,513,316,913,124,339,638,514,218,963,616,223,516,918,748,618,624,522,622,156,626,628,228,924,233,632,636,634,238,662,960,423,935,128,611,321,243,248,469,253,642,643,939,734,644,819,172,132,646,648,915,134,652,174,328,258,656,654,336,263,268,532,944,176,534,536,429,433,178,436,136,343,158,439,916,664,826,542,967,443,917,544,941,446,666,668,672,946,137,546,674,676,548,556,678,181,867,682,684,273,868,921,948,943,686,688,518,728,836,558,138,196,278,692,694,962,142,449,564,565,283,853,288,293,566,964,182,359,453,968,922,714,862,135,716,456,722,942,718,724,576,936,961,813,726,199,733,184,524,361,362,364,732,366,144,146,463,528,923,738,578,537,742,866,369,744,186,925,869,746,926,466,112,111,298,927,846,299,582,487,474,754,698,&amp;s=NGDPD,&amp;sy=2020&amp;ey=2027&amp;ssm=0&amp;scsm=1&amp;scc=0&amp;ssd=1&amp;ssc=0&amp;sic=0&amp;sort=country&amp;ds=.&amp;br=1</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447">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52"/>
        </ext>
      </extLst>
    </bk>
    <bk>
      <extLst>
        <ext uri="{3e2802c4-a4d2-4d8b-9148-e3be6c30e623}">
          <xlrd:rvb i="56"/>
        </ext>
      </extLst>
    </bk>
    <bk>
      <extLst>
        <ext uri="{3e2802c4-a4d2-4d8b-9148-e3be6c30e623}">
          <xlrd:rvb i="128"/>
        </ext>
      </extLst>
    </bk>
    <bk>
      <extLst>
        <ext uri="{3e2802c4-a4d2-4d8b-9148-e3be6c30e623}">
          <xlrd:rvb i="133"/>
        </ext>
      </extLst>
    </bk>
    <bk>
      <extLst>
        <ext uri="{3e2802c4-a4d2-4d8b-9148-e3be6c30e623}">
          <xlrd:rvb i="139"/>
        </ext>
      </extLst>
    </bk>
    <bk>
      <extLst>
        <ext uri="{3e2802c4-a4d2-4d8b-9148-e3be6c30e623}">
          <xlrd:rvb i="198"/>
        </ext>
      </extLst>
    </bk>
    <bk>
      <extLst>
        <ext uri="{3e2802c4-a4d2-4d8b-9148-e3be6c30e623}">
          <xlrd:rvb i="203"/>
        </ext>
      </extLst>
    </bk>
    <bk>
      <extLst>
        <ext uri="{3e2802c4-a4d2-4d8b-9148-e3be6c30e623}">
          <xlrd:rvb i="207"/>
        </ext>
      </extLst>
    </bk>
    <bk>
      <extLst>
        <ext uri="{3e2802c4-a4d2-4d8b-9148-e3be6c30e623}">
          <xlrd:rvb i="302"/>
        </ext>
      </extLst>
    </bk>
    <bk>
      <extLst>
        <ext uri="{3e2802c4-a4d2-4d8b-9148-e3be6c30e623}">
          <xlrd:rvb i="341"/>
        </ext>
      </extLst>
    </bk>
    <bk>
      <extLst>
        <ext uri="{3e2802c4-a4d2-4d8b-9148-e3be6c30e623}">
          <xlrd:rvb i="342"/>
        </ext>
      </extLst>
    </bk>
    <bk>
      <extLst>
        <ext uri="{3e2802c4-a4d2-4d8b-9148-e3be6c30e623}">
          <xlrd:rvb i="343"/>
        </ext>
      </extLst>
    </bk>
    <bk>
      <extLst>
        <ext uri="{3e2802c4-a4d2-4d8b-9148-e3be6c30e623}">
          <xlrd:rvb i="348"/>
        </ext>
      </extLst>
    </bk>
    <bk>
      <extLst>
        <ext uri="{3e2802c4-a4d2-4d8b-9148-e3be6c30e623}">
          <xlrd:rvb i="350"/>
        </ext>
      </extLst>
    </bk>
    <bk>
      <extLst>
        <ext uri="{3e2802c4-a4d2-4d8b-9148-e3be6c30e623}">
          <xlrd:rvb i="414"/>
        </ext>
      </extLst>
    </bk>
    <bk>
      <extLst>
        <ext uri="{3e2802c4-a4d2-4d8b-9148-e3be6c30e623}">
          <xlrd:rvb i="419"/>
        </ext>
      </extLst>
    </bk>
    <bk>
      <extLst>
        <ext uri="{3e2802c4-a4d2-4d8b-9148-e3be6c30e623}">
          <xlrd:rvb i="421"/>
        </ext>
      </extLst>
    </bk>
    <bk>
      <extLst>
        <ext uri="{3e2802c4-a4d2-4d8b-9148-e3be6c30e623}">
          <xlrd:rvb i="466"/>
        </ext>
      </extLst>
    </bk>
    <bk>
      <extLst>
        <ext uri="{3e2802c4-a4d2-4d8b-9148-e3be6c30e623}">
          <xlrd:rvb i="546"/>
        </ext>
      </extLst>
    </bk>
    <bk>
      <extLst>
        <ext uri="{3e2802c4-a4d2-4d8b-9148-e3be6c30e623}">
          <xlrd:rvb i="609"/>
        </ext>
      </extLst>
    </bk>
    <bk>
      <extLst>
        <ext uri="{3e2802c4-a4d2-4d8b-9148-e3be6c30e623}">
          <xlrd:rvb i="676"/>
        </ext>
      </extLst>
    </bk>
    <bk>
      <extLst>
        <ext uri="{3e2802c4-a4d2-4d8b-9148-e3be6c30e623}">
          <xlrd:rvb i="685"/>
        </ext>
      </extLst>
    </bk>
    <bk>
      <extLst>
        <ext uri="{3e2802c4-a4d2-4d8b-9148-e3be6c30e623}">
          <xlrd:rvb i="805"/>
        </ext>
      </extLst>
    </bk>
    <bk>
      <extLst>
        <ext uri="{3e2802c4-a4d2-4d8b-9148-e3be6c30e623}">
          <xlrd:rvb i="809"/>
        </ext>
      </extLst>
    </bk>
    <bk>
      <extLst>
        <ext uri="{3e2802c4-a4d2-4d8b-9148-e3be6c30e623}">
          <xlrd:rvb i="811"/>
        </ext>
      </extLst>
    </bk>
    <bk>
      <extLst>
        <ext uri="{3e2802c4-a4d2-4d8b-9148-e3be6c30e623}">
          <xlrd:rvb i="881"/>
        </ext>
      </extLst>
    </bk>
    <bk>
      <extLst>
        <ext uri="{3e2802c4-a4d2-4d8b-9148-e3be6c30e623}">
          <xlrd:rvb i="885"/>
        </ext>
      </extLst>
    </bk>
    <bk>
      <extLst>
        <ext uri="{3e2802c4-a4d2-4d8b-9148-e3be6c30e623}">
          <xlrd:rvb i="889"/>
        </ext>
      </extLst>
    </bk>
    <bk>
      <extLst>
        <ext uri="{3e2802c4-a4d2-4d8b-9148-e3be6c30e623}">
          <xlrd:rvb i="893"/>
        </ext>
      </extLst>
    </bk>
    <bk>
      <extLst>
        <ext uri="{3e2802c4-a4d2-4d8b-9148-e3be6c30e623}">
          <xlrd:rvb i="898"/>
        </ext>
      </extLst>
    </bk>
    <bk>
      <extLst>
        <ext uri="{3e2802c4-a4d2-4d8b-9148-e3be6c30e623}">
          <xlrd:rvb i="902"/>
        </ext>
      </extLst>
    </bk>
    <bk>
      <extLst>
        <ext uri="{3e2802c4-a4d2-4d8b-9148-e3be6c30e623}">
          <xlrd:rvb i="956"/>
        </ext>
      </extLst>
    </bk>
    <bk>
      <extLst>
        <ext uri="{3e2802c4-a4d2-4d8b-9148-e3be6c30e623}">
          <xlrd:rvb i="961"/>
        </ext>
      </extLst>
    </bk>
    <bk>
      <extLst>
        <ext uri="{3e2802c4-a4d2-4d8b-9148-e3be6c30e623}">
          <xlrd:rvb i="963"/>
        </ext>
      </extLst>
    </bk>
    <bk>
      <extLst>
        <ext uri="{3e2802c4-a4d2-4d8b-9148-e3be6c30e623}">
          <xlrd:rvb i="1011"/>
        </ext>
      </extLst>
    </bk>
    <bk>
      <extLst>
        <ext uri="{3e2802c4-a4d2-4d8b-9148-e3be6c30e623}">
          <xlrd:rvb i="1068"/>
        </ext>
      </extLst>
    </bk>
    <bk>
      <extLst>
        <ext uri="{3e2802c4-a4d2-4d8b-9148-e3be6c30e623}">
          <xlrd:rvb i="1124"/>
        </ext>
      </extLst>
    </bk>
    <bk>
      <extLst>
        <ext uri="{3e2802c4-a4d2-4d8b-9148-e3be6c30e623}">
          <xlrd:rvb i="1129"/>
        </ext>
      </extLst>
    </bk>
    <bk>
      <extLst>
        <ext uri="{3e2802c4-a4d2-4d8b-9148-e3be6c30e623}">
          <xlrd:rvb i="1133"/>
        </ext>
      </extLst>
    </bk>
    <bk>
      <extLst>
        <ext uri="{3e2802c4-a4d2-4d8b-9148-e3be6c30e623}">
          <xlrd:rvb i="1181"/>
        </ext>
      </extLst>
    </bk>
    <bk>
      <extLst>
        <ext uri="{3e2802c4-a4d2-4d8b-9148-e3be6c30e623}">
          <xlrd:rvb i="1186"/>
        </ext>
      </extLst>
    </bk>
    <bk>
      <extLst>
        <ext uri="{3e2802c4-a4d2-4d8b-9148-e3be6c30e623}">
          <xlrd:rvb i="1190"/>
        </ext>
      </extLst>
    </bk>
    <bk>
      <extLst>
        <ext uri="{3e2802c4-a4d2-4d8b-9148-e3be6c30e623}">
          <xlrd:rvb i="1247"/>
        </ext>
      </extLst>
    </bk>
    <bk>
      <extLst>
        <ext uri="{3e2802c4-a4d2-4d8b-9148-e3be6c30e623}">
          <xlrd:rvb i="1252"/>
        </ext>
      </extLst>
    </bk>
    <bk>
      <extLst>
        <ext uri="{3e2802c4-a4d2-4d8b-9148-e3be6c30e623}">
          <xlrd:rvb i="1256"/>
        </ext>
      </extLst>
    </bk>
    <bk>
      <extLst>
        <ext uri="{3e2802c4-a4d2-4d8b-9148-e3be6c30e623}">
          <xlrd:rvb i="1317"/>
        </ext>
      </extLst>
    </bk>
    <bk>
      <extLst>
        <ext uri="{3e2802c4-a4d2-4d8b-9148-e3be6c30e623}">
          <xlrd:rvb i="1322"/>
        </ext>
      </extLst>
    </bk>
    <bk>
      <extLst>
        <ext uri="{3e2802c4-a4d2-4d8b-9148-e3be6c30e623}">
          <xlrd:rvb i="1326"/>
        </ext>
      </extLst>
    </bk>
    <bk>
      <extLst>
        <ext uri="{3e2802c4-a4d2-4d8b-9148-e3be6c30e623}">
          <xlrd:rvb i="1376"/>
        </ext>
      </extLst>
    </bk>
    <bk>
      <extLst>
        <ext uri="{3e2802c4-a4d2-4d8b-9148-e3be6c30e623}">
          <xlrd:rvb i="1381"/>
        </ext>
      </extLst>
    </bk>
    <bk>
      <extLst>
        <ext uri="{3e2802c4-a4d2-4d8b-9148-e3be6c30e623}">
          <xlrd:rvb i="1385"/>
        </ext>
      </extLst>
    </bk>
    <bk>
      <extLst>
        <ext uri="{3e2802c4-a4d2-4d8b-9148-e3be6c30e623}">
          <xlrd:rvb i="1430"/>
        </ext>
      </extLst>
    </bk>
    <bk>
      <extLst>
        <ext uri="{3e2802c4-a4d2-4d8b-9148-e3be6c30e623}">
          <xlrd:rvb i="1490"/>
        </ext>
      </extLst>
    </bk>
    <bk>
      <extLst>
        <ext uri="{3e2802c4-a4d2-4d8b-9148-e3be6c30e623}">
          <xlrd:rvb i="1568"/>
        </ext>
      </extLst>
    </bk>
    <bk>
      <extLst>
        <ext uri="{3e2802c4-a4d2-4d8b-9148-e3be6c30e623}">
          <xlrd:rvb i="1573"/>
        </ext>
      </extLst>
    </bk>
    <bk>
      <extLst>
        <ext uri="{3e2802c4-a4d2-4d8b-9148-e3be6c30e623}">
          <xlrd:rvb i="1575"/>
        </ext>
      </extLst>
    </bk>
    <bk>
      <extLst>
        <ext uri="{3e2802c4-a4d2-4d8b-9148-e3be6c30e623}">
          <xlrd:rvb i="1617"/>
        </ext>
      </extLst>
    </bk>
    <bk>
      <extLst>
        <ext uri="{3e2802c4-a4d2-4d8b-9148-e3be6c30e623}">
          <xlrd:rvb i="1622"/>
        </ext>
      </extLst>
    </bk>
    <bk>
      <extLst>
        <ext uri="{3e2802c4-a4d2-4d8b-9148-e3be6c30e623}">
          <xlrd:rvb i="1626"/>
        </ext>
      </extLst>
    </bk>
    <bk>
      <extLst>
        <ext uri="{3e2802c4-a4d2-4d8b-9148-e3be6c30e623}">
          <xlrd:rvb i="1700"/>
        </ext>
      </extLst>
    </bk>
    <bk>
      <extLst>
        <ext uri="{3e2802c4-a4d2-4d8b-9148-e3be6c30e623}">
          <xlrd:rvb i="1706"/>
        </ext>
      </extLst>
    </bk>
    <bk>
      <extLst>
        <ext uri="{3e2802c4-a4d2-4d8b-9148-e3be6c30e623}">
          <xlrd:rvb i="1710"/>
        </ext>
      </extLst>
    </bk>
    <bk>
      <extLst>
        <ext uri="{3e2802c4-a4d2-4d8b-9148-e3be6c30e623}">
          <xlrd:rvb i="1714"/>
        </ext>
      </extLst>
    </bk>
    <bk>
      <extLst>
        <ext uri="{3e2802c4-a4d2-4d8b-9148-e3be6c30e623}">
          <xlrd:rvb i="1719"/>
        </ext>
      </extLst>
    </bk>
    <bk>
      <extLst>
        <ext uri="{3e2802c4-a4d2-4d8b-9148-e3be6c30e623}">
          <xlrd:rvb i="1721"/>
        </ext>
      </extLst>
    </bk>
    <bk>
      <extLst>
        <ext uri="{3e2802c4-a4d2-4d8b-9148-e3be6c30e623}">
          <xlrd:rvb i="1779"/>
        </ext>
      </extLst>
    </bk>
    <bk>
      <extLst>
        <ext uri="{3e2802c4-a4d2-4d8b-9148-e3be6c30e623}">
          <xlrd:rvb i="1785"/>
        </ext>
      </extLst>
    </bk>
    <bk>
      <extLst>
        <ext uri="{3e2802c4-a4d2-4d8b-9148-e3be6c30e623}">
          <xlrd:rvb i="1787"/>
        </ext>
      </extLst>
    </bk>
    <bk>
      <extLst>
        <ext uri="{3e2802c4-a4d2-4d8b-9148-e3be6c30e623}">
          <xlrd:rvb i="1846"/>
        </ext>
      </extLst>
    </bk>
    <bk>
      <extLst>
        <ext uri="{3e2802c4-a4d2-4d8b-9148-e3be6c30e623}">
          <xlrd:rvb i="1912"/>
        </ext>
      </extLst>
    </bk>
    <bk>
      <extLst>
        <ext uri="{3e2802c4-a4d2-4d8b-9148-e3be6c30e623}">
          <xlrd:rvb i="1917"/>
        </ext>
      </extLst>
    </bk>
    <bk>
      <extLst>
        <ext uri="{3e2802c4-a4d2-4d8b-9148-e3be6c30e623}">
          <xlrd:rvb i="1919"/>
        </ext>
      </extLst>
    </bk>
    <bk>
      <extLst>
        <ext uri="{3e2802c4-a4d2-4d8b-9148-e3be6c30e623}">
          <xlrd:rvb i="1973"/>
        </ext>
      </extLst>
    </bk>
    <bk>
      <extLst>
        <ext uri="{3e2802c4-a4d2-4d8b-9148-e3be6c30e623}">
          <xlrd:rvb i="2035"/>
        </ext>
      </extLst>
    </bk>
    <bk>
      <extLst>
        <ext uri="{3e2802c4-a4d2-4d8b-9148-e3be6c30e623}">
          <xlrd:rvb i="2095"/>
        </ext>
      </extLst>
    </bk>
    <bk>
      <extLst>
        <ext uri="{3e2802c4-a4d2-4d8b-9148-e3be6c30e623}">
          <xlrd:rvb i="2149"/>
        </ext>
      </extLst>
    </bk>
    <bk>
      <extLst>
        <ext uri="{3e2802c4-a4d2-4d8b-9148-e3be6c30e623}">
          <xlrd:rvb i="2154"/>
        </ext>
      </extLst>
    </bk>
    <bk>
      <extLst>
        <ext uri="{3e2802c4-a4d2-4d8b-9148-e3be6c30e623}">
          <xlrd:rvb i="2158"/>
        </ext>
      </extLst>
    </bk>
    <bk>
      <extLst>
        <ext uri="{3e2802c4-a4d2-4d8b-9148-e3be6c30e623}">
          <xlrd:rvb i="2216"/>
        </ext>
      </extLst>
    </bk>
    <bk>
      <extLst>
        <ext uri="{3e2802c4-a4d2-4d8b-9148-e3be6c30e623}">
          <xlrd:rvb i="2305"/>
        </ext>
      </extLst>
    </bk>
    <bk>
      <extLst>
        <ext uri="{3e2802c4-a4d2-4d8b-9148-e3be6c30e623}">
          <xlrd:rvb i="2386"/>
        </ext>
      </extLst>
    </bk>
    <bk>
      <extLst>
        <ext uri="{3e2802c4-a4d2-4d8b-9148-e3be6c30e623}">
          <xlrd:rvb i="2390"/>
        </ext>
      </extLst>
    </bk>
    <bk>
      <extLst>
        <ext uri="{3e2802c4-a4d2-4d8b-9148-e3be6c30e623}">
          <xlrd:rvb i="2392"/>
        </ext>
      </extLst>
    </bk>
    <bk>
      <extLst>
        <ext uri="{3e2802c4-a4d2-4d8b-9148-e3be6c30e623}">
          <xlrd:rvb i="2430"/>
        </ext>
      </extLst>
    </bk>
    <bk>
      <extLst>
        <ext uri="{3e2802c4-a4d2-4d8b-9148-e3be6c30e623}">
          <xlrd:rvb i="2491"/>
        </ext>
      </extLst>
    </bk>
    <bk>
      <extLst>
        <ext uri="{3e2802c4-a4d2-4d8b-9148-e3be6c30e623}">
          <xlrd:rvb i="2496"/>
        </ext>
      </extLst>
    </bk>
    <bk>
      <extLst>
        <ext uri="{3e2802c4-a4d2-4d8b-9148-e3be6c30e623}">
          <xlrd:rvb i="2500"/>
        </ext>
      </extLst>
    </bk>
    <bk>
      <extLst>
        <ext uri="{3e2802c4-a4d2-4d8b-9148-e3be6c30e623}">
          <xlrd:rvb i="2544"/>
        </ext>
      </extLst>
    </bk>
    <bk>
      <extLst>
        <ext uri="{3e2802c4-a4d2-4d8b-9148-e3be6c30e623}">
          <xlrd:rvb i="2595"/>
        </ext>
      </extLst>
    </bk>
    <bk>
      <extLst>
        <ext uri="{3e2802c4-a4d2-4d8b-9148-e3be6c30e623}">
          <xlrd:rvb i="2663"/>
        </ext>
      </extLst>
    </bk>
    <bk>
      <extLst>
        <ext uri="{3e2802c4-a4d2-4d8b-9148-e3be6c30e623}">
          <xlrd:rvb i="2720"/>
        </ext>
      </extLst>
    </bk>
    <bk>
      <extLst>
        <ext uri="{3e2802c4-a4d2-4d8b-9148-e3be6c30e623}">
          <xlrd:rvb i="2725"/>
        </ext>
      </extLst>
    </bk>
    <bk>
      <extLst>
        <ext uri="{3e2802c4-a4d2-4d8b-9148-e3be6c30e623}">
          <xlrd:rvb i="2728"/>
        </ext>
      </extLst>
    </bk>
    <bk>
      <extLst>
        <ext uri="{3e2802c4-a4d2-4d8b-9148-e3be6c30e623}">
          <xlrd:rvb i="2775"/>
        </ext>
      </extLst>
    </bk>
    <bk>
      <extLst>
        <ext uri="{3e2802c4-a4d2-4d8b-9148-e3be6c30e623}">
          <xlrd:rvb i="2784"/>
        </ext>
      </extLst>
    </bk>
    <bk>
      <extLst>
        <ext uri="{3e2802c4-a4d2-4d8b-9148-e3be6c30e623}">
          <xlrd:rvb i="2792"/>
        </ext>
      </extLst>
    </bk>
    <bk>
      <extLst>
        <ext uri="{3e2802c4-a4d2-4d8b-9148-e3be6c30e623}">
          <xlrd:rvb i="2841"/>
        </ext>
      </extLst>
    </bk>
    <bk>
      <extLst>
        <ext uri="{3e2802c4-a4d2-4d8b-9148-e3be6c30e623}">
          <xlrd:rvb i="2845"/>
        </ext>
      </extLst>
    </bk>
    <bk>
      <extLst>
        <ext uri="{3e2802c4-a4d2-4d8b-9148-e3be6c30e623}">
          <xlrd:rvb i="2847"/>
        </ext>
      </extLst>
    </bk>
    <bk>
      <extLst>
        <ext uri="{3e2802c4-a4d2-4d8b-9148-e3be6c30e623}">
          <xlrd:rvb i="2890"/>
        </ext>
      </extLst>
    </bk>
    <bk>
      <extLst>
        <ext uri="{3e2802c4-a4d2-4d8b-9148-e3be6c30e623}">
          <xlrd:rvb i="2895"/>
        </ext>
      </extLst>
    </bk>
    <bk>
      <extLst>
        <ext uri="{3e2802c4-a4d2-4d8b-9148-e3be6c30e623}">
          <xlrd:rvb i="2899"/>
        </ext>
      </extLst>
    </bk>
    <bk>
      <extLst>
        <ext uri="{3e2802c4-a4d2-4d8b-9148-e3be6c30e623}">
          <xlrd:rvb i="2968"/>
        </ext>
      </extLst>
    </bk>
    <bk>
      <extLst>
        <ext uri="{3e2802c4-a4d2-4d8b-9148-e3be6c30e623}">
          <xlrd:rvb i="3024"/>
        </ext>
      </extLst>
    </bk>
    <bk>
      <extLst>
        <ext uri="{3e2802c4-a4d2-4d8b-9148-e3be6c30e623}">
          <xlrd:rvb i="3030"/>
        </ext>
      </extLst>
    </bk>
    <bk>
      <extLst>
        <ext uri="{3e2802c4-a4d2-4d8b-9148-e3be6c30e623}">
          <xlrd:rvb i="3034"/>
        </ext>
      </extLst>
    </bk>
    <bk>
      <extLst>
        <ext uri="{3e2802c4-a4d2-4d8b-9148-e3be6c30e623}">
          <xlrd:rvb i="3099"/>
        </ext>
      </extLst>
    </bk>
    <bk>
      <extLst>
        <ext uri="{3e2802c4-a4d2-4d8b-9148-e3be6c30e623}">
          <xlrd:rvb i="3176"/>
        </ext>
      </extLst>
    </bk>
    <bk>
      <extLst>
        <ext uri="{3e2802c4-a4d2-4d8b-9148-e3be6c30e623}">
          <xlrd:rvb i="3181"/>
        </ext>
      </extLst>
    </bk>
    <bk>
      <extLst>
        <ext uri="{3e2802c4-a4d2-4d8b-9148-e3be6c30e623}">
          <xlrd:rvb i="3185"/>
        </ext>
      </extLst>
    </bk>
    <bk>
      <extLst>
        <ext uri="{3e2802c4-a4d2-4d8b-9148-e3be6c30e623}">
          <xlrd:rvb i="3240"/>
        </ext>
      </extLst>
    </bk>
    <bk>
      <extLst>
        <ext uri="{3e2802c4-a4d2-4d8b-9148-e3be6c30e623}">
          <xlrd:rvb i="3244"/>
        </ext>
      </extLst>
    </bk>
    <bk>
      <extLst>
        <ext uri="{3e2802c4-a4d2-4d8b-9148-e3be6c30e623}">
          <xlrd:rvb i="3248"/>
        </ext>
      </extLst>
    </bk>
    <bk>
      <extLst>
        <ext uri="{3e2802c4-a4d2-4d8b-9148-e3be6c30e623}">
          <xlrd:rvb i="3290"/>
        </ext>
      </extLst>
    </bk>
    <bk>
      <extLst>
        <ext uri="{3e2802c4-a4d2-4d8b-9148-e3be6c30e623}">
          <xlrd:rvb i="3294"/>
        </ext>
      </extLst>
    </bk>
    <bk>
      <extLst>
        <ext uri="{3e2802c4-a4d2-4d8b-9148-e3be6c30e623}">
          <xlrd:rvb i="3297"/>
        </ext>
      </extLst>
    </bk>
    <bk>
      <extLst>
        <ext uri="{3e2802c4-a4d2-4d8b-9148-e3be6c30e623}">
          <xlrd:rvb i="3358"/>
        </ext>
      </extLst>
    </bk>
    <bk>
      <extLst>
        <ext uri="{3e2802c4-a4d2-4d8b-9148-e3be6c30e623}">
          <xlrd:rvb i="3363"/>
        </ext>
      </extLst>
    </bk>
    <bk>
      <extLst>
        <ext uri="{3e2802c4-a4d2-4d8b-9148-e3be6c30e623}">
          <xlrd:rvb i="3367"/>
        </ext>
      </extLst>
    </bk>
    <bk>
      <extLst>
        <ext uri="{3e2802c4-a4d2-4d8b-9148-e3be6c30e623}">
          <xlrd:rvb i="3419"/>
        </ext>
      </extLst>
    </bk>
    <bk>
      <extLst>
        <ext uri="{3e2802c4-a4d2-4d8b-9148-e3be6c30e623}">
          <xlrd:rvb i="3423"/>
        </ext>
      </extLst>
    </bk>
    <bk>
      <extLst>
        <ext uri="{3e2802c4-a4d2-4d8b-9148-e3be6c30e623}">
          <xlrd:rvb i="3425"/>
        </ext>
      </extLst>
    </bk>
    <bk>
      <extLst>
        <ext uri="{3e2802c4-a4d2-4d8b-9148-e3be6c30e623}">
          <xlrd:rvb i="3305"/>
        </ext>
      </extLst>
    </bk>
    <bk>
      <extLst>
        <ext uri="{3e2802c4-a4d2-4d8b-9148-e3be6c30e623}">
          <xlrd:rvb i="3449"/>
        </ext>
      </extLst>
    </bk>
    <bk>
      <extLst>
        <ext uri="{3e2802c4-a4d2-4d8b-9148-e3be6c30e623}">
          <xlrd:rvb i="3455"/>
        </ext>
      </extLst>
    </bk>
    <bk>
      <extLst>
        <ext uri="{3e2802c4-a4d2-4d8b-9148-e3be6c30e623}">
          <xlrd:rvb i="3457"/>
        </ext>
      </extLst>
    </bk>
    <bk>
      <extLst>
        <ext uri="{3e2802c4-a4d2-4d8b-9148-e3be6c30e623}">
          <xlrd:rvb i="3505"/>
        </ext>
      </extLst>
    </bk>
    <bk>
      <extLst>
        <ext uri="{3e2802c4-a4d2-4d8b-9148-e3be6c30e623}">
          <xlrd:rvb i="3571"/>
        </ext>
      </extLst>
    </bk>
    <bk>
      <extLst>
        <ext uri="{3e2802c4-a4d2-4d8b-9148-e3be6c30e623}">
          <xlrd:rvb i="3644"/>
        </ext>
      </extLst>
    </bk>
    <bk>
      <extLst>
        <ext uri="{3e2802c4-a4d2-4d8b-9148-e3be6c30e623}">
          <xlrd:rvb i="3649"/>
        </ext>
      </extLst>
    </bk>
    <bk>
      <extLst>
        <ext uri="{3e2802c4-a4d2-4d8b-9148-e3be6c30e623}">
          <xlrd:rvb i="3651"/>
        </ext>
      </extLst>
    </bk>
    <bk>
      <extLst>
        <ext uri="{3e2802c4-a4d2-4d8b-9148-e3be6c30e623}">
          <xlrd:rvb i="3702"/>
        </ext>
      </extLst>
    </bk>
    <bk>
      <extLst>
        <ext uri="{3e2802c4-a4d2-4d8b-9148-e3be6c30e623}">
          <xlrd:rvb i="3753"/>
        </ext>
      </extLst>
    </bk>
    <bk>
      <extLst>
        <ext uri="{3e2802c4-a4d2-4d8b-9148-e3be6c30e623}">
          <xlrd:rvb i="3810"/>
        </ext>
      </extLst>
    </bk>
    <bk>
      <extLst>
        <ext uri="{3e2802c4-a4d2-4d8b-9148-e3be6c30e623}">
          <xlrd:rvb i="3873"/>
        </ext>
      </extLst>
    </bk>
    <bk>
      <extLst>
        <ext uri="{3e2802c4-a4d2-4d8b-9148-e3be6c30e623}">
          <xlrd:rvb i="3878"/>
        </ext>
      </extLst>
    </bk>
    <bk>
      <extLst>
        <ext uri="{3e2802c4-a4d2-4d8b-9148-e3be6c30e623}">
          <xlrd:rvb i="3882"/>
        </ext>
      </extLst>
    </bk>
    <bk>
      <extLst>
        <ext uri="{3e2802c4-a4d2-4d8b-9148-e3be6c30e623}">
          <xlrd:rvb i="3933"/>
        </ext>
      </extLst>
    </bk>
    <bk>
      <extLst>
        <ext uri="{3e2802c4-a4d2-4d8b-9148-e3be6c30e623}">
          <xlrd:rvb i="3936"/>
        </ext>
      </extLst>
    </bk>
    <bk>
      <extLst>
        <ext uri="{3e2802c4-a4d2-4d8b-9148-e3be6c30e623}">
          <xlrd:rvb i="3940"/>
        </ext>
      </extLst>
    </bk>
    <bk>
      <extLst>
        <ext uri="{3e2802c4-a4d2-4d8b-9148-e3be6c30e623}">
          <xlrd:rvb i="3995"/>
        </ext>
      </extLst>
    </bk>
    <bk>
      <extLst>
        <ext uri="{3e2802c4-a4d2-4d8b-9148-e3be6c30e623}">
          <xlrd:rvb i="3999"/>
        </ext>
      </extLst>
    </bk>
    <bk>
      <extLst>
        <ext uri="{3e2802c4-a4d2-4d8b-9148-e3be6c30e623}">
          <xlrd:rvb i="4001"/>
        </ext>
      </extLst>
    </bk>
    <bk>
      <extLst>
        <ext uri="{3e2802c4-a4d2-4d8b-9148-e3be6c30e623}">
          <xlrd:rvb i="4037"/>
        </ext>
      </extLst>
    </bk>
    <bk>
      <extLst>
        <ext uri="{3e2802c4-a4d2-4d8b-9148-e3be6c30e623}">
          <xlrd:rvb i="4042"/>
        </ext>
      </extLst>
    </bk>
    <bk>
      <extLst>
        <ext uri="{3e2802c4-a4d2-4d8b-9148-e3be6c30e623}">
          <xlrd:rvb i="4046"/>
        </ext>
      </extLst>
    </bk>
    <bk>
      <extLst>
        <ext uri="{3e2802c4-a4d2-4d8b-9148-e3be6c30e623}">
          <xlrd:rvb i="4107"/>
        </ext>
      </extLst>
    </bk>
    <bk>
      <extLst>
        <ext uri="{3e2802c4-a4d2-4d8b-9148-e3be6c30e623}">
          <xlrd:rvb i="4150"/>
        </ext>
      </extLst>
    </bk>
    <bk>
      <extLst>
        <ext uri="{3e2802c4-a4d2-4d8b-9148-e3be6c30e623}">
          <xlrd:rvb i="4202"/>
        </ext>
      </extLst>
    </bk>
    <bk>
      <extLst>
        <ext uri="{3e2802c4-a4d2-4d8b-9148-e3be6c30e623}">
          <xlrd:rvb i="4207"/>
        </ext>
      </extLst>
    </bk>
    <bk>
      <extLst>
        <ext uri="{3e2802c4-a4d2-4d8b-9148-e3be6c30e623}">
          <xlrd:rvb i="4211"/>
        </ext>
      </extLst>
    </bk>
    <bk>
      <extLst>
        <ext uri="{3e2802c4-a4d2-4d8b-9148-e3be6c30e623}">
          <xlrd:rvb i="4257"/>
        </ext>
      </extLst>
    </bk>
    <bk>
      <extLst>
        <ext uri="{3e2802c4-a4d2-4d8b-9148-e3be6c30e623}">
          <xlrd:rvb i="4262"/>
        </ext>
      </extLst>
    </bk>
    <bk>
      <extLst>
        <ext uri="{3e2802c4-a4d2-4d8b-9148-e3be6c30e623}">
          <xlrd:rvb i="4266"/>
        </ext>
      </extLst>
    </bk>
    <bk>
      <extLst>
        <ext uri="{3e2802c4-a4d2-4d8b-9148-e3be6c30e623}">
          <xlrd:rvb i="4312"/>
        </ext>
      </extLst>
    </bk>
    <bk>
      <extLst>
        <ext uri="{3e2802c4-a4d2-4d8b-9148-e3be6c30e623}">
          <xlrd:rvb i="4318"/>
        </ext>
      </extLst>
    </bk>
    <bk>
      <extLst>
        <ext uri="{3e2802c4-a4d2-4d8b-9148-e3be6c30e623}">
          <xlrd:rvb i="4322"/>
        </ext>
      </extLst>
    </bk>
    <bk>
      <extLst>
        <ext uri="{3e2802c4-a4d2-4d8b-9148-e3be6c30e623}">
          <xlrd:rvb i="4377"/>
        </ext>
      </extLst>
    </bk>
    <bk>
      <extLst>
        <ext uri="{3e2802c4-a4d2-4d8b-9148-e3be6c30e623}">
          <xlrd:rvb i="4443"/>
        </ext>
      </extLst>
    </bk>
    <bk>
      <extLst>
        <ext uri="{3e2802c4-a4d2-4d8b-9148-e3be6c30e623}">
          <xlrd:rvb i="4453"/>
        </ext>
      </extLst>
    </bk>
    <bk>
      <extLst>
        <ext uri="{3e2802c4-a4d2-4d8b-9148-e3be6c30e623}">
          <xlrd:rvb i="4462"/>
        </ext>
      </extLst>
    </bk>
    <bk>
      <extLst>
        <ext uri="{3e2802c4-a4d2-4d8b-9148-e3be6c30e623}">
          <xlrd:rvb i="4551"/>
        </ext>
      </extLst>
    </bk>
    <bk>
      <extLst>
        <ext uri="{3e2802c4-a4d2-4d8b-9148-e3be6c30e623}">
          <xlrd:rvb i="4561"/>
        </ext>
      </extLst>
    </bk>
    <bk>
      <extLst>
        <ext uri="{3e2802c4-a4d2-4d8b-9148-e3be6c30e623}">
          <xlrd:rvb i="4566"/>
        </ext>
      </extLst>
    </bk>
    <bk>
      <extLst>
        <ext uri="{3e2802c4-a4d2-4d8b-9148-e3be6c30e623}">
          <xlrd:rvb i="4570"/>
        </ext>
      </extLst>
    </bk>
    <bk>
      <extLst>
        <ext uri="{3e2802c4-a4d2-4d8b-9148-e3be6c30e623}">
          <xlrd:rvb i="4573"/>
        </ext>
      </extLst>
    </bk>
    <bk>
      <extLst>
        <ext uri="{3e2802c4-a4d2-4d8b-9148-e3be6c30e623}">
          <xlrd:rvb i="4645"/>
        </ext>
      </extLst>
    </bk>
    <bk>
      <extLst>
        <ext uri="{3e2802c4-a4d2-4d8b-9148-e3be6c30e623}">
          <xlrd:rvb i="4650"/>
        </ext>
      </extLst>
    </bk>
    <bk>
      <extLst>
        <ext uri="{3e2802c4-a4d2-4d8b-9148-e3be6c30e623}">
          <xlrd:rvb i="4654"/>
        </ext>
      </extLst>
    </bk>
    <bk>
      <extLst>
        <ext uri="{3e2802c4-a4d2-4d8b-9148-e3be6c30e623}">
          <xlrd:rvb i="4702"/>
        </ext>
      </extLst>
    </bk>
    <bk>
      <extLst>
        <ext uri="{3e2802c4-a4d2-4d8b-9148-e3be6c30e623}">
          <xlrd:rvb i="4767"/>
        </ext>
      </extLst>
    </bk>
    <bk>
      <extLst>
        <ext uri="{3e2802c4-a4d2-4d8b-9148-e3be6c30e623}">
          <xlrd:rvb i="4771"/>
        </ext>
      </extLst>
    </bk>
    <bk>
      <extLst>
        <ext uri="{3e2802c4-a4d2-4d8b-9148-e3be6c30e623}">
          <xlrd:rvb i="4775"/>
        </ext>
      </extLst>
    </bk>
    <bk>
      <extLst>
        <ext uri="{3e2802c4-a4d2-4d8b-9148-e3be6c30e623}">
          <xlrd:rvb i="4818"/>
        </ext>
      </extLst>
    </bk>
    <bk>
      <extLst>
        <ext uri="{3e2802c4-a4d2-4d8b-9148-e3be6c30e623}">
          <xlrd:rvb i="4911"/>
        </ext>
      </extLst>
    </bk>
    <bk>
      <extLst>
        <ext uri="{3e2802c4-a4d2-4d8b-9148-e3be6c30e623}">
          <xlrd:rvb i="4916"/>
        </ext>
      </extLst>
    </bk>
    <bk>
      <extLst>
        <ext uri="{3e2802c4-a4d2-4d8b-9148-e3be6c30e623}">
          <xlrd:rvb i="4920"/>
        </ext>
      </extLst>
    </bk>
    <bk>
      <extLst>
        <ext uri="{3e2802c4-a4d2-4d8b-9148-e3be6c30e623}">
          <xlrd:rvb i="4969"/>
        </ext>
      </extLst>
    </bk>
    <bk>
      <extLst>
        <ext uri="{3e2802c4-a4d2-4d8b-9148-e3be6c30e623}">
          <xlrd:rvb i="4977"/>
        </ext>
      </extLst>
    </bk>
    <bk>
      <extLst>
        <ext uri="{3e2802c4-a4d2-4d8b-9148-e3be6c30e623}">
          <xlrd:rvb i="4982"/>
        </ext>
      </extLst>
    </bk>
    <bk>
      <extLst>
        <ext uri="{3e2802c4-a4d2-4d8b-9148-e3be6c30e623}">
          <xlrd:rvb i="4986"/>
        </ext>
      </extLst>
    </bk>
    <bk>
      <extLst>
        <ext uri="{3e2802c4-a4d2-4d8b-9148-e3be6c30e623}">
          <xlrd:rvb i="5027"/>
        </ext>
      </extLst>
    </bk>
    <bk>
      <extLst>
        <ext uri="{3e2802c4-a4d2-4d8b-9148-e3be6c30e623}">
          <xlrd:rvb i="5028"/>
        </ext>
      </extLst>
    </bk>
    <bk>
      <extLst>
        <ext uri="{3e2802c4-a4d2-4d8b-9148-e3be6c30e623}">
          <xlrd:rvb i="5032"/>
        </ext>
      </extLst>
    </bk>
    <bk>
      <extLst>
        <ext uri="{3e2802c4-a4d2-4d8b-9148-e3be6c30e623}">
          <xlrd:rvb i="5034"/>
        </ext>
      </extLst>
    </bk>
    <bk>
      <extLst>
        <ext uri="{3e2802c4-a4d2-4d8b-9148-e3be6c30e623}">
          <xlrd:rvb i="5074"/>
        </ext>
      </extLst>
    </bk>
    <bk>
      <extLst>
        <ext uri="{3e2802c4-a4d2-4d8b-9148-e3be6c30e623}">
          <xlrd:rvb i="5082"/>
        </ext>
      </extLst>
    </bk>
    <bk>
      <extLst>
        <ext uri="{3e2802c4-a4d2-4d8b-9148-e3be6c30e623}">
          <xlrd:rvb i="5087"/>
        </ext>
      </extLst>
    </bk>
    <bk>
      <extLst>
        <ext uri="{3e2802c4-a4d2-4d8b-9148-e3be6c30e623}">
          <xlrd:rvb i="5091"/>
        </ext>
      </extLst>
    </bk>
    <bk>
      <extLst>
        <ext uri="{3e2802c4-a4d2-4d8b-9148-e3be6c30e623}">
          <xlrd:rvb i="5146"/>
        </ext>
      </extLst>
    </bk>
    <bk>
      <extLst>
        <ext uri="{3e2802c4-a4d2-4d8b-9148-e3be6c30e623}">
          <xlrd:rvb i="5149"/>
        </ext>
      </extLst>
    </bk>
    <bk>
      <extLst>
        <ext uri="{3e2802c4-a4d2-4d8b-9148-e3be6c30e623}">
          <xlrd:rvb i="5153"/>
        </ext>
      </extLst>
    </bk>
    <bk>
      <extLst>
        <ext uri="{3e2802c4-a4d2-4d8b-9148-e3be6c30e623}">
          <xlrd:rvb i="5156"/>
        </ext>
      </extLst>
    </bk>
    <bk>
      <extLst>
        <ext uri="{3e2802c4-a4d2-4d8b-9148-e3be6c30e623}">
          <xlrd:rvb i="5161"/>
        </ext>
      </extLst>
    </bk>
    <bk>
      <extLst>
        <ext uri="{3e2802c4-a4d2-4d8b-9148-e3be6c30e623}">
          <xlrd:rvb i="5166"/>
        </ext>
      </extLst>
    </bk>
    <bk>
      <extLst>
        <ext uri="{3e2802c4-a4d2-4d8b-9148-e3be6c30e623}">
          <xlrd:rvb i="5169"/>
        </ext>
      </extLst>
    </bk>
    <bk>
      <extLst>
        <ext uri="{3e2802c4-a4d2-4d8b-9148-e3be6c30e623}">
          <xlrd:rvb i="5174"/>
        </ext>
      </extLst>
    </bk>
    <bk>
      <extLst>
        <ext uri="{3e2802c4-a4d2-4d8b-9148-e3be6c30e623}">
          <xlrd:rvb i="5176"/>
        </ext>
      </extLst>
    </bk>
    <bk>
      <extLst>
        <ext uri="{3e2802c4-a4d2-4d8b-9148-e3be6c30e623}">
          <xlrd:rvb i="5223"/>
        </ext>
      </extLst>
    </bk>
    <bk>
      <extLst>
        <ext uri="{3e2802c4-a4d2-4d8b-9148-e3be6c30e623}">
          <xlrd:rvb i="5229"/>
        </ext>
      </extLst>
    </bk>
    <bk>
      <extLst>
        <ext uri="{3e2802c4-a4d2-4d8b-9148-e3be6c30e623}">
          <xlrd:rvb i="5233"/>
        </ext>
      </extLst>
    </bk>
    <bk>
      <extLst>
        <ext uri="{3e2802c4-a4d2-4d8b-9148-e3be6c30e623}">
          <xlrd:rvb i="5289"/>
        </ext>
      </extLst>
    </bk>
    <bk>
      <extLst>
        <ext uri="{3e2802c4-a4d2-4d8b-9148-e3be6c30e623}">
          <xlrd:rvb i="5292"/>
        </ext>
      </extLst>
    </bk>
    <bk>
      <extLst>
        <ext uri="{3e2802c4-a4d2-4d8b-9148-e3be6c30e623}">
          <xlrd:rvb i="5294"/>
        </ext>
      </extLst>
    </bk>
    <bk>
      <extLst>
        <ext uri="{3e2802c4-a4d2-4d8b-9148-e3be6c30e623}">
          <xlrd:rvb i="5356"/>
        </ext>
      </extLst>
    </bk>
    <bk>
      <extLst>
        <ext uri="{3e2802c4-a4d2-4d8b-9148-e3be6c30e623}">
          <xlrd:rvb i="5395"/>
        </ext>
      </extLst>
    </bk>
    <bk>
      <extLst>
        <ext uri="{3e2802c4-a4d2-4d8b-9148-e3be6c30e623}">
          <xlrd:rvb i="5400"/>
        </ext>
      </extLst>
    </bk>
    <bk>
      <extLst>
        <ext uri="{3e2802c4-a4d2-4d8b-9148-e3be6c30e623}">
          <xlrd:rvb i="5404"/>
        </ext>
      </extLst>
    </bk>
    <bk>
      <extLst>
        <ext uri="{3e2802c4-a4d2-4d8b-9148-e3be6c30e623}">
          <xlrd:rvb i="5454"/>
        </ext>
      </extLst>
    </bk>
    <bk>
      <extLst>
        <ext uri="{3e2802c4-a4d2-4d8b-9148-e3be6c30e623}">
          <xlrd:rvb i="5459"/>
        </ext>
      </extLst>
    </bk>
    <bk>
      <extLst>
        <ext uri="{3e2802c4-a4d2-4d8b-9148-e3be6c30e623}">
          <xlrd:rvb i="5463"/>
        </ext>
      </extLst>
    </bk>
    <bk>
      <extLst>
        <ext uri="{3e2802c4-a4d2-4d8b-9148-e3be6c30e623}">
          <xlrd:rvb i="5510"/>
        </ext>
      </extLst>
    </bk>
    <bk>
      <extLst>
        <ext uri="{3e2802c4-a4d2-4d8b-9148-e3be6c30e623}">
          <xlrd:rvb i="5514"/>
        </ext>
      </extLst>
    </bk>
    <bk>
      <extLst>
        <ext uri="{3e2802c4-a4d2-4d8b-9148-e3be6c30e623}">
          <xlrd:rvb i="5517"/>
        </ext>
      </extLst>
    </bk>
    <bk>
      <extLst>
        <ext uri="{3e2802c4-a4d2-4d8b-9148-e3be6c30e623}">
          <xlrd:rvb i="5562"/>
        </ext>
      </extLst>
    </bk>
    <bk>
      <extLst>
        <ext uri="{3e2802c4-a4d2-4d8b-9148-e3be6c30e623}">
          <xlrd:rvb i="5567"/>
        </ext>
      </extLst>
    </bk>
    <bk>
      <extLst>
        <ext uri="{3e2802c4-a4d2-4d8b-9148-e3be6c30e623}">
          <xlrd:rvb i="5571"/>
        </ext>
      </extLst>
    </bk>
    <bk>
      <extLst>
        <ext uri="{3e2802c4-a4d2-4d8b-9148-e3be6c30e623}">
          <xlrd:rvb i="5612"/>
        </ext>
      </extLst>
    </bk>
    <bk>
      <extLst>
        <ext uri="{3e2802c4-a4d2-4d8b-9148-e3be6c30e623}">
          <xlrd:rvb i="5671"/>
        </ext>
      </extLst>
    </bk>
    <bk>
      <extLst>
        <ext uri="{3e2802c4-a4d2-4d8b-9148-e3be6c30e623}">
          <xlrd:rvb i="5735"/>
        </ext>
      </extLst>
    </bk>
    <bk>
      <extLst>
        <ext uri="{3e2802c4-a4d2-4d8b-9148-e3be6c30e623}">
          <xlrd:rvb i="5785"/>
        </ext>
      </extLst>
    </bk>
    <bk>
      <extLst>
        <ext uri="{3e2802c4-a4d2-4d8b-9148-e3be6c30e623}">
          <xlrd:rvb i="5789"/>
        </ext>
      </extLst>
    </bk>
    <bk>
      <extLst>
        <ext uri="{3e2802c4-a4d2-4d8b-9148-e3be6c30e623}">
          <xlrd:rvb i="5793"/>
        </ext>
      </extLst>
    </bk>
    <bk>
      <extLst>
        <ext uri="{3e2802c4-a4d2-4d8b-9148-e3be6c30e623}">
          <xlrd:rvb i="5831"/>
        </ext>
      </extLst>
    </bk>
    <bk>
      <extLst>
        <ext uri="{3e2802c4-a4d2-4d8b-9148-e3be6c30e623}">
          <xlrd:rvb i="5895"/>
        </ext>
      </extLst>
    </bk>
    <bk>
      <extLst>
        <ext uri="{3e2802c4-a4d2-4d8b-9148-e3be6c30e623}">
          <xlrd:rvb i="5900"/>
        </ext>
      </extLst>
    </bk>
    <bk>
      <extLst>
        <ext uri="{3e2802c4-a4d2-4d8b-9148-e3be6c30e623}">
          <xlrd:rvb i="5902"/>
        </ext>
      </extLst>
    </bk>
    <bk>
      <extLst>
        <ext uri="{3e2802c4-a4d2-4d8b-9148-e3be6c30e623}">
          <xlrd:rvb i="5950"/>
        </ext>
      </extLst>
    </bk>
    <bk>
      <extLst>
        <ext uri="{3e2802c4-a4d2-4d8b-9148-e3be6c30e623}">
          <xlrd:rvb i="6005"/>
        </ext>
      </extLst>
    </bk>
    <bk>
      <extLst>
        <ext uri="{3e2802c4-a4d2-4d8b-9148-e3be6c30e623}">
          <xlrd:rvb i="6088"/>
        </ext>
      </extLst>
    </bk>
    <bk>
      <extLst>
        <ext uri="{3e2802c4-a4d2-4d8b-9148-e3be6c30e623}">
          <xlrd:rvb i="6092"/>
        </ext>
      </extLst>
    </bk>
    <bk>
      <extLst>
        <ext uri="{3e2802c4-a4d2-4d8b-9148-e3be6c30e623}">
          <xlrd:rvb i="6094"/>
        </ext>
      </extLst>
    </bk>
    <bk>
      <extLst>
        <ext uri="{3e2802c4-a4d2-4d8b-9148-e3be6c30e623}">
          <xlrd:rvb i="6130"/>
        </ext>
      </extLst>
    </bk>
    <bk>
      <extLst>
        <ext uri="{3e2802c4-a4d2-4d8b-9148-e3be6c30e623}">
          <xlrd:rvb i="6205"/>
        </ext>
      </extLst>
    </bk>
    <bk>
      <extLst>
        <ext uri="{3e2802c4-a4d2-4d8b-9148-e3be6c30e623}">
          <xlrd:rvb i="6209"/>
        </ext>
      </extLst>
    </bk>
    <bk>
      <extLst>
        <ext uri="{3e2802c4-a4d2-4d8b-9148-e3be6c30e623}">
          <xlrd:rvb i="6211"/>
        </ext>
      </extLst>
    </bk>
    <bk>
      <extLst>
        <ext uri="{3e2802c4-a4d2-4d8b-9148-e3be6c30e623}">
          <xlrd:rvb i="6231"/>
        </ext>
      </extLst>
    </bk>
    <bk>
      <extLst>
        <ext uri="{3e2802c4-a4d2-4d8b-9148-e3be6c30e623}">
          <xlrd:rvb i="6293"/>
        </ext>
      </extLst>
    </bk>
    <bk>
      <extLst>
        <ext uri="{3e2802c4-a4d2-4d8b-9148-e3be6c30e623}">
          <xlrd:rvb i="6298"/>
        </ext>
      </extLst>
    </bk>
    <bk>
      <extLst>
        <ext uri="{3e2802c4-a4d2-4d8b-9148-e3be6c30e623}">
          <xlrd:rvb i="6302"/>
        </ext>
      </extLst>
    </bk>
    <bk>
      <extLst>
        <ext uri="{3e2802c4-a4d2-4d8b-9148-e3be6c30e623}">
          <xlrd:rvb i="6360"/>
        </ext>
      </extLst>
    </bk>
    <bk>
      <extLst>
        <ext uri="{3e2802c4-a4d2-4d8b-9148-e3be6c30e623}">
          <xlrd:rvb i="6365"/>
        </ext>
      </extLst>
    </bk>
    <bk>
      <extLst>
        <ext uri="{3e2802c4-a4d2-4d8b-9148-e3be6c30e623}">
          <xlrd:rvb i="6369"/>
        </ext>
      </extLst>
    </bk>
    <bk>
      <extLst>
        <ext uri="{3e2802c4-a4d2-4d8b-9148-e3be6c30e623}">
          <xlrd:rvb i="6419"/>
        </ext>
      </extLst>
    </bk>
    <bk>
      <extLst>
        <ext uri="{3e2802c4-a4d2-4d8b-9148-e3be6c30e623}">
          <xlrd:rvb i="6473"/>
        </ext>
      </extLst>
    </bk>
    <bk>
      <extLst>
        <ext uri="{3e2802c4-a4d2-4d8b-9148-e3be6c30e623}">
          <xlrd:rvb i="6478"/>
        </ext>
      </extLst>
    </bk>
    <bk>
      <extLst>
        <ext uri="{3e2802c4-a4d2-4d8b-9148-e3be6c30e623}">
          <xlrd:rvb i="6482"/>
        </ext>
      </extLst>
    </bk>
    <bk>
      <extLst>
        <ext uri="{3e2802c4-a4d2-4d8b-9148-e3be6c30e623}">
          <xlrd:rvb i="6538"/>
        </ext>
      </extLst>
    </bk>
    <bk>
      <extLst>
        <ext uri="{3e2802c4-a4d2-4d8b-9148-e3be6c30e623}">
          <xlrd:rvb i="6543"/>
        </ext>
      </extLst>
    </bk>
    <bk>
      <extLst>
        <ext uri="{3e2802c4-a4d2-4d8b-9148-e3be6c30e623}">
          <xlrd:rvb i="6548"/>
        </ext>
      </extLst>
    </bk>
    <bk>
      <extLst>
        <ext uri="{3e2802c4-a4d2-4d8b-9148-e3be6c30e623}">
          <xlrd:rvb i="6601"/>
        </ext>
      </extLst>
    </bk>
    <bk>
      <extLst>
        <ext uri="{3e2802c4-a4d2-4d8b-9148-e3be6c30e623}">
          <xlrd:rvb i="6632"/>
        </ext>
      </extLst>
    </bk>
    <bk>
      <extLst>
        <ext uri="{3e2802c4-a4d2-4d8b-9148-e3be6c30e623}">
          <xlrd:rvb i="6637"/>
        </ext>
      </extLst>
    </bk>
    <bk>
      <extLst>
        <ext uri="{3e2802c4-a4d2-4d8b-9148-e3be6c30e623}">
          <xlrd:rvb i="6642"/>
        </ext>
      </extLst>
    </bk>
    <bk>
      <extLst>
        <ext uri="{3e2802c4-a4d2-4d8b-9148-e3be6c30e623}">
          <xlrd:rvb i="6682"/>
        </ext>
      </extLst>
    </bk>
    <bk>
      <extLst>
        <ext uri="{3e2802c4-a4d2-4d8b-9148-e3be6c30e623}">
          <xlrd:rvb i="6693"/>
        </ext>
      </extLst>
    </bk>
    <bk>
      <extLst>
        <ext uri="{3e2802c4-a4d2-4d8b-9148-e3be6c30e623}">
          <xlrd:rvb i="6750"/>
        </ext>
      </extLst>
    </bk>
    <bk>
      <extLst>
        <ext uri="{3e2802c4-a4d2-4d8b-9148-e3be6c30e623}">
          <xlrd:rvb i="6755"/>
        </ext>
      </extLst>
    </bk>
    <bk>
      <extLst>
        <ext uri="{3e2802c4-a4d2-4d8b-9148-e3be6c30e623}">
          <xlrd:rvb i="6759"/>
        </ext>
      </extLst>
    </bk>
    <bk>
      <extLst>
        <ext uri="{3e2802c4-a4d2-4d8b-9148-e3be6c30e623}">
          <xlrd:rvb i="6811"/>
        </ext>
      </extLst>
    </bk>
    <bk>
      <extLst>
        <ext uri="{3e2802c4-a4d2-4d8b-9148-e3be6c30e623}">
          <xlrd:rvb i="6860"/>
        </ext>
      </extLst>
    </bk>
    <bk>
      <extLst>
        <ext uri="{3e2802c4-a4d2-4d8b-9148-e3be6c30e623}">
          <xlrd:rvb i="6865"/>
        </ext>
      </extLst>
    </bk>
    <bk>
      <extLst>
        <ext uri="{3e2802c4-a4d2-4d8b-9148-e3be6c30e623}">
          <xlrd:rvb i="6867"/>
        </ext>
      </extLst>
    </bk>
    <bk>
      <extLst>
        <ext uri="{3e2802c4-a4d2-4d8b-9148-e3be6c30e623}">
          <xlrd:rvb i="6946"/>
        </ext>
      </extLst>
    </bk>
    <bk>
      <extLst>
        <ext uri="{3e2802c4-a4d2-4d8b-9148-e3be6c30e623}">
          <xlrd:rvb i="6994"/>
        </ext>
      </extLst>
    </bk>
    <bk>
      <extLst>
        <ext uri="{3e2802c4-a4d2-4d8b-9148-e3be6c30e623}">
          <xlrd:rvb i="7093"/>
        </ext>
      </extLst>
    </bk>
    <bk>
      <extLst>
        <ext uri="{3e2802c4-a4d2-4d8b-9148-e3be6c30e623}">
          <xlrd:rvb i="7102"/>
        </ext>
      </extLst>
    </bk>
    <bk>
      <extLst>
        <ext uri="{3e2802c4-a4d2-4d8b-9148-e3be6c30e623}">
          <xlrd:rvb i="7106"/>
        </ext>
      </extLst>
    </bk>
    <bk>
      <extLst>
        <ext uri="{3e2802c4-a4d2-4d8b-9148-e3be6c30e623}">
          <xlrd:rvb i="7110"/>
        </ext>
      </extLst>
    </bk>
    <bk>
      <extLst>
        <ext uri="{3e2802c4-a4d2-4d8b-9148-e3be6c30e623}">
          <xlrd:rvb i="7153"/>
        </ext>
      </extLst>
    </bk>
    <bk>
      <extLst>
        <ext uri="{3e2802c4-a4d2-4d8b-9148-e3be6c30e623}">
          <xlrd:rvb i="7208"/>
        </ext>
      </extLst>
    </bk>
    <bk>
      <extLst>
        <ext uri="{3e2802c4-a4d2-4d8b-9148-e3be6c30e623}">
          <xlrd:rvb i="7212"/>
        </ext>
      </extLst>
    </bk>
    <bk>
      <extLst>
        <ext uri="{3e2802c4-a4d2-4d8b-9148-e3be6c30e623}">
          <xlrd:rvb i="7214"/>
        </ext>
      </extLst>
    </bk>
    <bk>
      <extLst>
        <ext uri="{3e2802c4-a4d2-4d8b-9148-e3be6c30e623}">
          <xlrd:rvb i="7261"/>
        </ext>
      </extLst>
    </bk>
    <bk>
      <extLst>
        <ext uri="{3e2802c4-a4d2-4d8b-9148-e3be6c30e623}">
          <xlrd:rvb i="7266"/>
        </ext>
      </extLst>
    </bk>
    <bk>
      <extLst>
        <ext uri="{3e2802c4-a4d2-4d8b-9148-e3be6c30e623}">
          <xlrd:rvb i="7270"/>
        </ext>
      </extLst>
    </bk>
    <bk>
      <extLst>
        <ext uri="{3e2802c4-a4d2-4d8b-9148-e3be6c30e623}">
          <xlrd:rvb i="7320"/>
        </ext>
      </extLst>
    </bk>
    <bk>
      <extLst>
        <ext uri="{3e2802c4-a4d2-4d8b-9148-e3be6c30e623}">
          <xlrd:rvb i="7324"/>
        </ext>
      </extLst>
    </bk>
    <bk>
      <extLst>
        <ext uri="{3e2802c4-a4d2-4d8b-9148-e3be6c30e623}">
          <xlrd:rvb i="7328"/>
        </ext>
      </extLst>
    </bk>
    <bk>
      <extLst>
        <ext uri="{3e2802c4-a4d2-4d8b-9148-e3be6c30e623}">
          <xlrd:rvb i="7383"/>
        </ext>
      </extLst>
    </bk>
    <bk>
      <extLst>
        <ext uri="{3e2802c4-a4d2-4d8b-9148-e3be6c30e623}">
          <xlrd:rvb i="7443"/>
        </ext>
      </extLst>
    </bk>
    <bk>
      <extLst>
        <ext uri="{3e2802c4-a4d2-4d8b-9148-e3be6c30e623}">
          <xlrd:rvb i="7449"/>
        </ext>
      </extLst>
    </bk>
    <bk>
      <extLst>
        <ext uri="{3e2802c4-a4d2-4d8b-9148-e3be6c30e623}">
          <xlrd:rvb i="7453"/>
        </ext>
      </extLst>
    </bk>
    <bk>
      <extLst>
        <ext uri="{3e2802c4-a4d2-4d8b-9148-e3be6c30e623}">
          <xlrd:rvb i="7513"/>
        </ext>
      </extLst>
    </bk>
    <bk>
      <extLst>
        <ext uri="{3e2802c4-a4d2-4d8b-9148-e3be6c30e623}">
          <xlrd:rvb i="7518"/>
        </ext>
      </extLst>
    </bk>
    <bk>
      <extLst>
        <ext uri="{3e2802c4-a4d2-4d8b-9148-e3be6c30e623}">
          <xlrd:rvb i="7522"/>
        </ext>
      </extLst>
    </bk>
    <bk>
      <extLst>
        <ext uri="{3e2802c4-a4d2-4d8b-9148-e3be6c30e623}">
          <xlrd:rvb i="7567"/>
        </ext>
      </extLst>
    </bk>
    <bk>
      <extLst>
        <ext uri="{3e2802c4-a4d2-4d8b-9148-e3be6c30e623}">
          <xlrd:rvb i="7625"/>
        </ext>
      </extLst>
    </bk>
    <bk>
      <extLst>
        <ext uri="{3e2802c4-a4d2-4d8b-9148-e3be6c30e623}">
          <xlrd:rvb i="7687"/>
        </ext>
      </extLst>
    </bk>
    <bk>
      <extLst>
        <ext uri="{3e2802c4-a4d2-4d8b-9148-e3be6c30e623}">
          <xlrd:rvb i="7732"/>
        </ext>
      </extLst>
    </bk>
    <bk>
      <extLst>
        <ext uri="{3e2802c4-a4d2-4d8b-9148-e3be6c30e623}">
          <xlrd:rvb i="7741"/>
        </ext>
      </extLst>
    </bk>
    <bk>
      <extLst>
        <ext uri="{3e2802c4-a4d2-4d8b-9148-e3be6c30e623}">
          <xlrd:rvb i="7870"/>
        </ext>
      </extLst>
    </bk>
    <bk>
      <extLst>
        <ext uri="{3e2802c4-a4d2-4d8b-9148-e3be6c30e623}">
          <xlrd:rvb i="7917"/>
        </ext>
      </extLst>
    </bk>
    <bk>
      <extLst>
        <ext uri="{3e2802c4-a4d2-4d8b-9148-e3be6c30e623}">
          <xlrd:rvb i="7923"/>
        </ext>
      </extLst>
    </bk>
    <bk>
      <extLst>
        <ext uri="{3e2802c4-a4d2-4d8b-9148-e3be6c30e623}">
          <xlrd:rvb i="7925"/>
        </ext>
      </extLst>
    </bk>
    <bk>
      <extLst>
        <ext uri="{3e2802c4-a4d2-4d8b-9148-e3be6c30e623}">
          <xlrd:rvb i="7966"/>
        </ext>
      </extLst>
    </bk>
    <bk>
      <extLst>
        <ext uri="{3e2802c4-a4d2-4d8b-9148-e3be6c30e623}">
          <xlrd:rvb i="7971"/>
        </ext>
      </extLst>
    </bk>
    <bk>
      <extLst>
        <ext uri="{3e2802c4-a4d2-4d8b-9148-e3be6c30e623}">
          <xlrd:rvb i="7975"/>
        </ext>
      </extLst>
    </bk>
    <bk>
      <extLst>
        <ext uri="{3e2802c4-a4d2-4d8b-9148-e3be6c30e623}">
          <xlrd:rvb i="8016"/>
        </ext>
      </extLst>
    </bk>
    <bk>
      <extLst>
        <ext uri="{3e2802c4-a4d2-4d8b-9148-e3be6c30e623}">
          <xlrd:rvb i="8021"/>
        </ext>
      </extLst>
    </bk>
    <bk>
      <extLst>
        <ext uri="{3e2802c4-a4d2-4d8b-9148-e3be6c30e623}">
          <xlrd:rvb i="8023"/>
        </ext>
      </extLst>
    </bk>
    <bk>
      <extLst>
        <ext uri="{3e2802c4-a4d2-4d8b-9148-e3be6c30e623}">
          <xlrd:rvb i="8069"/>
        </ext>
      </extLst>
    </bk>
    <bk>
      <extLst>
        <ext uri="{3e2802c4-a4d2-4d8b-9148-e3be6c30e623}">
          <xlrd:rvb i="8110"/>
        </ext>
      </extLst>
    </bk>
    <bk>
      <extLst>
        <ext uri="{3e2802c4-a4d2-4d8b-9148-e3be6c30e623}">
          <xlrd:rvb i="8115"/>
        </ext>
      </extLst>
    </bk>
    <bk>
      <extLst>
        <ext uri="{3e2802c4-a4d2-4d8b-9148-e3be6c30e623}">
          <xlrd:rvb i="8117"/>
        </ext>
      </extLst>
    </bk>
    <bk>
      <extLst>
        <ext uri="{3e2802c4-a4d2-4d8b-9148-e3be6c30e623}">
          <xlrd:rvb i="8159"/>
        </ext>
      </extLst>
    </bk>
    <bk>
      <extLst>
        <ext uri="{3e2802c4-a4d2-4d8b-9148-e3be6c30e623}">
          <xlrd:rvb i="8213"/>
        </ext>
      </extLst>
    </bk>
    <bk>
      <extLst>
        <ext uri="{3e2802c4-a4d2-4d8b-9148-e3be6c30e623}">
          <xlrd:rvb i="8219"/>
        </ext>
      </extLst>
    </bk>
    <bk>
      <extLst>
        <ext uri="{3e2802c4-a4d2-4d8b-9148-e3be6c30e623}">
          <xlrd:rvb i="8223"/>
        </ext>
      </extLst>
    </bk>
    <bk>
      <extLst>
        <ext uri="{3e2802c4-a4d2-4d8b-9148-e3be6c30e623}">
          <xlrd:rvb i="8277"/>
        </ext>
      </extLst>
    </bk>
    <bk>
      <extLst>
        <ext uri="{3e2802c4-a4d2-4d8b-9148-e3be6c30e623}">
          <xlrd:rvb i="8343"/>
        </ext>
      </extLst>
    </bk>
    <bk>
      <extLst>
        <ext uri="{3e2802c4-a4d2-4d8b-9148-e3be6c30e623}">
          <xlrd:rvb i="8347"/>
        </ext>
      </extLst>
    </bk>
    <bk>
      <extLst>
        <ext uri="{3e2802c4-a4d2-4d8b-9148-e3be6c30e623}">
          <xlrd:rvb i="8351"/>
        </ext>
      </extLst>
    </bk>
    <bk>
      <extLst>
        <ext uri="{3e2802c4-a4d2-4d8b-9148-e3be6c30e623}">
          <xlrd:rvb i="8407"/>
        </ext>
      </extLst>
    </bk>
    <bk>
      <extLst>
        <ext uri="{3e2802c4-a4d2-4d8b-9148-e3be6c30e623}">
          <xlrd:rvb i="8412"/>
        </ext>
      </extLst>
    </bk>
    <bk>
      <extLst>
        <ext uri="{3e2802c4-a4d2-4d8b-9148-e3be6c30e623}">
          <xlrd:rvb i="8416"/>
        </ext>
      </extLst>
    </bk>
    <bk>
      <extLst>
        <ext uri="{3e2802c4-a4d2-4d8b-9148-e3be6c30e623}">
          <xlrd:rvb i="8457"/>
        </ext>
      </extLst>
    </bk>
    <bk>
      <extLst>
        <ext uri="{3e2802c4-a4d2-4d8b-9148-e3be6c30e623}">
          <xlrd:rvb i="8462"/>
        </ext>
      </extLst>
    </bk>
    <bk>
      <extLst>
        <ext uri="{3e2802c4-a4d2-4d8b-9148-e3be6c30e623}">
          <xlrd:rvb i="8466"/>
        </ext>
      </extLst>
    </bk>
    <bk>
      <extLst>
        <ext uri="{3e2802c4-a4d2-4d8b-9148-e3be6c30e623}">
          <xlrd:rvb i="8510"/>
        </ext>
      </extLst>
    </bk>
    <bk>
      <extLst>
        <ext uri="{3e2802c4-a4d2-4d8b-9148-e3be6c30e623}">
          <xlrd:rvb i="8514"/>
        </ext>
      </extLst>
    </bk>
    <bk>
      <extLst>
        <ext uri="{3e2802c4-a4d2-4d8b-9148-e3be6c30e623}">
          <xlrd:rvb i="8518"/>
        </ext>
      </extLst>
    </bk>
    <bk>
      <extLst>
        <ext uri="{3e2802c4-a4d2-4d8b-9148-e3be6c30e623}">
          <xlrd:rvb i="8521"/>
        </ext>
      </extLst>
    </bk>
    <bk>
      <extLst>
        <ext uri="{3e2802c4-a4d2-4d8b-9148-e3be6c30e623}">
          <xlrd:rvb i="8568"/>
        </ext>
      </extLst>
    </bk>
    <bk>
      <extLst>
        <ext uri="{3e2802c4-a4d2-4d8b-9148-e3be6c30e623}">
          <xlrd:rvb i="8573"/>
        </ext>
      </extLst>
    </bk>
    <bk>
      <extLst>
        <ext uri="{3e2802c4-a4d2-4d8b-9148-e3be6c30e623}">
          <xlrd:rvb i="8577"/>
        </ext>
      </extLst>
    </bk>
    <bk>
      <extLst>
        <ext uri="{3e2802c4-a4d2-4d8b-9148-e3be6c30e623}">
          <xlrd:rvb i="8620"/>
        </ext>
      </extLst>
    </bk>
    <bk>
      <extLst>
        <ext uri="{3e2802c4-a4d2-4d8b-9148-e3be6c30e623}">
          <xlrd:rvb i="8677"/>
        </ext>
      </extLst>
    </bk>
    <bk>
      <extLst>
        <ext uri="{3e2802c4-a4d2-4d8b-9148-e3be6c30e623}">
          <xlrd:rvb i="8689"/>
        </ext>
      </extLst>
    </bk>
    <bk>
      <extLst>
        <ext uri="{3e2802c4-a4d2-4d8b-9148-e3be6c30e623}">
          <xlrd:rvb i="8693"/>
        </ext>
      </extLst>
    </bk>
    <bk>
      <extLst>
        <ext uri="{3e2802c4-a4d2-4d8b-9148-e3be6c30e623}">
          <xlrd:rvb i="8697"/>
        </ext>
      </extLst>
    </bk>
    <bk>
      <extLst>
        <ext uri="{3e2802c4-a4d2-4d8b-9148-e3be6c30e623}">
          <xlrd:rvb i="8734"/>
        </ext>
      </extLst>
    </bk>
    <bk>
      <extLst>
        <ext uri="{3e2802c4-a4d2-4d8b-9148-e3be6c30e623}">
          <xlrd:rvb i="8796"/>
        </ext>
      </extLst>
    </bk>
    <bk>
      <extLst>
        <ext uri="{3e2802c4-a4d2-4d8b-9148-e3be6c30e623}">
          <xlrd:rvb i="8802"/>
        </ext>
      </extLst>
    </bk>
    <bk>
      <extLst>
        <ext uri="{3e2802c4-a4d2-4d8b-9148-e3be6c30e623}">
          <xlrd:rvb i="8806"/>
        </ext>
      </extLst>
    </bk>
    <bk>
      <extLst>
        <ext uri="{3e2802c4-a4d2-4d8b-9148-e3be6c30e623}">
          <xlrd:rvb i="8852"/>
        </ext>
      </extLst>
    </bk>
    <bk>
      <extLst>
        <ext uri="{3e2802c4-a4d2-4d8b-9148-e3be6c30e623}">
          <xlrd:rvb i="8856"/>
        </ext>
      </extLst>
    </bk>
    <bk>
      <extLst>
        <ext uri="{3e2802c4-a4d2-4d8b-9148-e3be6c30e623}">
          <xlrd:rvb i="8858"/>
        </ext>
      </extLst>
    </bk>
    <bk>
      <extLst>
        <ext uri="{3e2802c4-a4d2-4d8b-9148-e3be6c30e623}">
          <xlrd:rvb i="8895"/>
        </ext>
      </extLst>
    </bk>
    <bk>
      <extLst>
        <ext uri="{3e2802c4-a4d2-4d8b-9148-e3be6c30e623}">
          <xlrd:rvb i="8899"/>
        </ext>
      </extLst>
    </bk>
    <bk>
      <extLst>
        <ext uri="{3e2802c4-a4d2-4d8b-9148-e3be6c30e623}">
          <xlrd:rvb i="8901"/>
        </ext>
      </extLst>
    </bk>
    <bk>
      <extLst>
        <ext uri="{3e2802c4-a4d2-4d8b-9148-e3be6c30e623}">
          <xlrd:rvb i="8904"/>
        </ext>
      </extLst>
    </bk>
    <bk>
      <extLst>
        <ext uri="{3e2802c4-a4d2-4d8b-9148-e3be6c30e623}">
          <xlrd:rvb i="8909"/>
        </ext>
      </extLst>
    </bk>
    <bk>
      <extLst>
        <ext uri="{3e2802c4-a4d2-4d8b-9148-e3be6c30e623}">
          <xlrd:rvb i="8911"/>
        </ext>
      </extLst>
    </bk>
    <bk>
      <extLst>
        <ext uri="{3e2802c4-a4d2-4d8b-9148-e3be6c30e623}">
          <xlrd:rvb i="8964"/>
        </ext>
      </extLst>
    </bk>
    <bk>
      <extLst>
        <ext uri="{3e2802c4-a4d2-4d8b-9148-e3be6c30e623}">
          <xlrd:rvb i="8969"/>
        </ext>
      </extLst>
    </bk>
    <bk>
      <extLst>
        <ext uri="{3e2802c4-a4d2-4d8b-9148-e3be6c30e623}">
          <xlrd:rvb i="8971"/>
        </ext>
      </extLst>
    </bk>
    <bk>
      <extLst>
        <ext uri="{3e2802c4-a4d2-4d8b-9148-e3be6c30e623}">
          <xlrd:rvb i="9017"/>
        </ext>
      </extLst>
    </bk>
    <bk>
      <extLst>
        <ext uri="{3e2802c4-a4d2-4d8b-9148-e3be6c30e623}">
          <xlrd:rvb i="9027"/>
        </ext>
      </extLst>
    </bk>
    <bk>
      <extLst>
        <ext uri="{3e2802c4-a4d2-4d8b-9148-e3be6c30e623}">
          <xlrd:rvb i="9039"/>
        </ext>
      </extLst>
    </bk>
    <bk>
      <extLst>
        <ext uri="{3e2802c4-a4d2-4d8b-9148-e3be6c30e623}">
          <xlrd:rvb i="9044"/>
        </ext>
      </extLst>
    </bk>
    <bk>
      <extLst>
        <ext uri="{3e2802c4-a4d2-4d8b-9148-e3be6c30e623}">
          <xlrd:rvb i="9048"/>
        </ext>
      </extLst>
    </bk>
    <bk>
      <extLst>
        <ext uri="{3e2802c4-a4d2-4d8b-9148-e3be6c30e623}">
          <xlrd:rvb i="9094"/>
        </ext>
      </extLst>
    </bk>
    <bk>
      <extLst>
        <ext uri="{3e2802c4-a4d2-4d8b-9148-e3be6c30e623}">
          <xlrd:rvb i="9141"/>
        </ext>
      </extLst>
    </bk>
    <bk>
      <extLst>
        <ext uri="{3e2802c4-a4d2-4d8b-9148-e3be6c30e623}">
          <xlrd:rvb i="9146"/>
        </ext>
      </extLst>
    </bk>
    <bk>
      <extLst>
        <ext uri="{3e2802c4-a4d2-4d8b-9148-e3be6c30e623}">
          <xlrd:rvb i="9150"/>
        </ext>
      </extLst>
    </bk>
    <bk>
      <extLst>
        <ext uri="{3e2802c4-a4d2-4d8b-9148-e3be6c30e623}">
          <xlrd:rvb i="9227"/>
        </ext>
      </extLst>
    </bk>
    <bk>
      <extLst>
        <ext uri="{3e2802c4-a4d2-4d8b-9148-e3be6c30e623}">
          <xlrd:rvb i="9346"/>
        </ext>
      </extLst>
    </bk>
    <bk>
      <extLst>
        <ext uri="{3e2802c4-a4d2-4d8b-9148-e3be6c30e623}">
          <xlrd:rvb i="9351"/>
        </ext>
      </extLst>
    </bk>
    <bk>
      <extLst>
        <ext uri="{3e2802c4-a4d2-4d8b-9148-e3be6c30e623}">
          <xlrd:rvb i="9353"/>
        </ext>
      </extLst>
    </bk>
    <bk>
      <extLst>
        <ext uri="{3e2802c4-a4d2-4d8b-9148-e3be6c30e623}">
          <xlrd:rvb i="9399"/>
        </ext>
      </extLst>
    </bk>
    <bk>
      <extLst>
        <ext uri="{3e2802c4-a4d2-4d8b-9148-e3be6c30e623}">
          <xlrd:rvb i="9404"/>
        </ext>
      </extLst>
    </bk>
    <bk>
      <extLst>
        <ext uri="{3e2802c4-a4d2-4d8b-9148-e3be6c30e623}">
          <xlrd:rvb i="9408"/>
        </ext>
      </extLst>
    </bk>
    <bk>
      <extLst>
        <ext uri="{3e2802c4-a4d2-4d8b-9148-e3be6c30e623}">
          <xlrd:rvb i="9450"/>
        </ext>
      </extLst>
    </bk>
    <bk>
      <extLst>
        <ext uri="{3e2802c4-a4d2-4d8b-9148-e3be6c30e623}">
          <xlrd:rvb i="9454"/>
        </ext>
      </extLst>
    </bk>
    <bk>
      <extLst>
        <ext uri="{3e2802c4-a4d2-4d8b-9148-e3be6c30e623}">
          <xlrd:rvb i="9456"/>
        </ext>
      </extLst>
    </bk>
    <bk>
      <extLst>
        <ext uri="{3e2802c4-a4d2-4d8b-9148-e3be6c30e623}">
          <xlrd:rvb i="9487"/>
        </ext>
      </extLst>
    </bk>
    <bk>
      <extLst>
        <ext uri="{3e2802c4-a4d2-4d8b-9148-e3be6c30e623}">
          <xlrd:rvb i="9548"/>
        </ext>
      </extLst>
    </bk>
    <bk>
      <extLst>
        <ext uri="{3e2802c4-a4d2-4d8b-9148-e3be6c30e623}">
          <xlrd:rvb i="9553"/>
        </ext>
      </extLst>
    </bk>
    <bk>
      <extLst>
        <ext uri="{3e2802c4-a4d2-4d8b-9148-e3be6c30e623}">
          <xlrd:rvb i="9557"/>
        </ext>
      </extLst>
    </bk>
    <bk>
      <extLst>
        <ext uri="{3e2802c4-a4d2-4d8b-9148-e3be6c30e623}">
          <xlrd:rvb i="9616"/>
        </ext>
      </extLst>
    </bk>
    <bk>
      <extLst>
        <ext uri="{3e2802c4-a4d2-4d8b-9148-e3be6c30e623}">
          <xlrd:rvb i="9620"/>
        </ext>
      </extLst>
    </bk>
    <bk>
      <extLst>
        <ext uri="{3e2802c4-a4d2-4d8b-9148-e3be6c30e623}">
          <xlrd:rvb i="9625"/>
        </ext>
      </extLst>
    </bk>
    <bk>
      <extLst>
        <ext uri="{3e2802c4-a4d2-4d8b-9148-e3be6c30e623}">
          <xlrd:rvb i="9628"/>
        </ext>
      </extLst>
    </bk>
    <bk>
      <extLst>
        <ext uri="{3e2802c4-a4d2-4d8b-9148-e3be6c30e623}">
          <xlrd:rvb i="9671"/>
        </ext>
      </extLst>
    </bk>
    <bk>
      <extLst>
        <ext uri="{3e2802c4-a4d2-4d8b-9148-e3be6c30e623}">
          <xlrd:rvb i="9695"/>
        </ext>
      </extLst>
    </bk>
    <bk>
      <extLst>
        <ext uri="{3e2802c4-a4d2-4d8b-9148-e3be6c30e623}">
          <xlrd:rvb i="9854"/>
        </ext>
      </extLst>
    </bk>
    <bk>
      <extLst>
        <ext uri="{3e2802c4-a4d2-4d8b-9148-e3be6c30e623}">
          <xlrd:rvb i="9925"/>
        </ext>
      </extLst>
    </bk>
    <bk>
      <extLst>
        <ext uri="{3e2802c4-a4d2-4d8b-9148-e3be6c30e623}">
          <xlrd:rvb i="9930"/>
        </ext>
      </extLst>
    </bk>
    <bk>
      <extLst>
        <ext uri="{3e2802c4-a4d2-4d8b-9148-e3be6c30e623}">
          <xlrd:rvb i="9932"/>
        </ext>
      </extLst>
    </bk>
    <bk>
      <extLst>
        <ext uri="{3e2802c4-a4d2-4d8b-9148-e3be6c30e623}">
          <xlrd:rvb i="9972"/>
        </ext>
      </extLst>
    </bk>
    <bk>
      <extLst>
        <ext uri="{3e2802c4-a4d2-4d8b-9148-e3be6c30e623}">
          <xlrd:rvb i="9982"/>
        </ext>
      </extLst>
    </bk>
    <bk>
      <extLst>
        <ext uri="{3e2802c4-a4d2-4d8b-9148-e3be6c30e623}">
          <xlrd:rvb i="10096"/>
        </ext>
      </extLst>
    </bk>
    <bk>
      <extLst>
        <ext uri="{3e2802c4-a4d2-4d8b-9148-e3be6c30e623}">
          <xlrd:rvb i="10100"/>
        </ext>
      </extLst>
    </bk>
    <bk>
      <extLst>
        <ext uri="{3e2802c4-a4d2-4d8b-9148-e3be6c30e623}">
          <xlrd:rvb i="10102"/>
        </ext>
      </extLst>
    </bk>
    <bk>
      <extLst>
        <ext uri="{3e2802c4-a4d2-4d8b-9148-e3be6c30e623}">
          <xlrd:rvb i="10157"/>
        </ext>
      </extLst>
    </bk>
    <bk>
      <extLst>
        <ext uri="{3e2802c4-a4d2-4d8b-9148-e3be6c30e623}">
          <xlrd:rvb i="10163"/>
        </ext>
      </extLst>
    </bk>
    <bk>
      <extLst>
        <ext uri="{3e2802c4-a4d2-4d8b-9148-e3be6c30e623}">
          <xlrd:rvb i="10168"/>
        </ext>
      </extLst>
    </bk>
    <bk>
      <extLst>
        <ext uri="{3e2802c4-a4d2-4d8b-9148-e3be6c30e623}">
          <xlrd:rvb i="10172"/>
        </ext>
      </extLst>
    </bk>
    <bk>
      <extLst>
        <ext uri="{3e2802c4-a4d2-4d8b-9148-e3be6c30e623}">
          <xlrd:rvb i="10211"/>
        </ext>
      </extLst>
    </bk>
    <bk>
      <extLst>
        <ext uri="{3e2802c4-a4d2-4d8b-9148-e3be6c30e623}">
          <xlrd:rvb i="10217"/>
        </ext>
      </extLst>
    </bk>
    <bk>
      <extLst>
        <ext uri="{3e2802c4-a4d2-4d8b-9148-e3be6c30e623}">
          <xlrd:rvb i="10219"/>
        </ext>
      </extLst>
    </bk>
    <bk>
      <extLst>
        <ext uri="{3e2802c4-a4d2-4d8b-9148-e3be6c30e623}">
          <xlrd:rvb i="10281"/>
        </ext>
      </extLst>
    </bk>
    <bk>
      <extLst>
        <ext uri="{3e2802c4-a4d2-4d8b-9148-e3be6c30e623}">
          <xlrd:rvb i="10386"/>
        </ext>
      </extLst>
    </bk>
    <bk>
      <extLst>
        <ext uri="{3e2802c4-a4d2-4d8b-9148-e3be6c30e623}">
          <xlrd:rvb i="10445"/>
        </ext>
      </extLst>
    </bk>
    <bk>
      <extLst>
        <ext uri="{3e2802c4-a4d2-4d8b-9148-e3be6c30e623}">
          <xlrd:rvb i="10450"/>
        </ext>
      </extLst>
    </bk>
    <bk>
      <extLst>
        <ext uri="{3e2802c4-a4d2-4d8b-9148-e3be6c30e623}">
          <xlrd:rvb i="10454"/>
        </ext>
      </extLst>
    </bk>
    <bk>
      <extLst>
        <ext uri="{3e2802c4-a4d2-4d8b-9148-e3be6c30e623}">
          <xlrd:rvb i="10503"/>
        </ext>
      </extLst>
    </bk>
    <bk>
      <extLst>
        <ext uri="{3e2802c4-a4d2-4d8b-9148-e3be6c30e623}">
          <xlrd:rvb i="10508"/>
        </ext>
      </extLst>
    </bk>
    <bk>
      <extLst>
        <ext uri="{3e2802c4-a4d2-4d8b-9148-e3be6c30e623}">
          <xlrd:rvb i="10512"/>
        </ext>
      </extLst>
    </bk>
  </futureMetadata>
  <cellMetadata count="1">
    <bk>
      <rc t="1" v="0"/>
    </bk>
  </cellMetadata>
  <valueMetadata count="447">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bk>
      <rc t="2" v="53"/>
    </bk>
    <bk>
      <rc t="2" v="54"/>
    </bk>
    <bk>
      <rc t="2" v="55"/>
    </bk>
    <bk>
      <rc t="2" v="56"/>
    </bk>
    <bk>
      <rc t="2" v="57"/>
    </bk>
    <bk>
      <rc t="2" v="58"/>
    </bk>
    <bk>
      <rc t="2" v="59"/>
    </bk>
    <bk>
      <rc t="2" v="60"/>
    </bk>
    <bk>
      <rc t="2" v="61"/>
    </bk>
    <bk>
      <rc t="2" v="62"/>
    </bk>
    <bk>
      <rc t="2" v="63"/>
    </bk>
    <bk>
      <rc t="2" v="64"/>
    </bk>
    <bk>
      <rc t="2" v="65"/>
    </bk>
    <bk>
      <rc t="2" v="66"/>
    </bk>
    <bk>
      <rc t="2" v="67"/>
    </bk>
    <bk>
      <rc t="2" v="68"/>
    </bk>
    <bk>
      <rc t="2" v="69"/>
    </bk>
    <bk>
      <rc t="2" v="70"/>
    </bk>
    <bk>
      <rc t="2" v="71"/>
    </bk>
    <bk>
      <rc t="2" v="72"/>
    </bk>
    <bk>
      <rc t="2" v="73"/>
    </bk>
    <bk>
      <rc t="2" v="74"/>
    </bk>
    <bk>
      <rc t="2" v="75"/>
    </bk>
    <bk>
      <rc t="2" v="76"/>
    </bk>
    <bk>
      <rc t="2" v="77"/>
    </bk>
    <bk>
      <rc t="2" v="78"/>
    </bk>
    <bk>
      <rc t="2" v="79"/>
    </bk>
    <bk>
      <rc t="2" v="80"/>
    </bk>
    <bk>
      <rc t="2" v="81"/>
    </bk>
    <bk>
      <rc t="2" v="82"/>
    </bk>
    <bk>
      <rc t="2" v="83"/>
    </bk>
    <bk>
      <rc t="2" v="84"/>
    </bk>
    <bk>
      <rc t="2" v="85"/>
    </bk>
    <bk>
      <rc t="2" v="86"/>
    </bk>
    <bk>
      <rc t="2" v="87"/>
    </bk>
    <bk>
      <rc t="2" v="88"/>
    </bk>
    <bk>
      <rc t="2" v="89"/>
    </bk>
    <bk>
      <rc t="2" v="90"/>
    </bk>
    <bk>
      <rc t="2" v="91"/>
    </bk>
    <bk>
      <rc t="2" v="92"/>
    </bk>
    <bk>
      <rc t="2" v="93"/>
    </bk>
    <bk>
      <rc t="2" v="94"/>
    </bk>
    <bk>
      <rc t="2" v="95"/>
    </bk>
    <bk>
      <rc t="2" v="96"/>
    </bk>
    <bk>
      <rc t="2" v="97"/>
    </bk>
    <bk>
      <rc t="2" v="98"/>
    </bk>
    <bk>
      <rc t="2" v="99"/>
    </bk>
    <bk>
      <rc t="2" v="100"/>
    </bk>
    <bk>
      <rc t="2" v="101"/>
    </bk>
    <bk>
      <rc t="2" v="102"/>
    </bk>
    <bk>
      <rc t="2" v="103"/>
    </bk>
    <bk>
      <rc t="2" v="104"/>
    </bk>
    <bk>
      <rc t="2" v="105"/>
    </bk>
    <bk>
      <rc t="2" v="106"/>
    </bk>
    <bk>
      <rc t="2" v="107"/>
    </bk>
    <bk>
      <rc t="2" v="108"/>
    </bk>
    <bk>
      <rc t="2" v="109"/>
    </bk>
    <bk>
      <rc t="2" v="110"/>
    </bk>
    <bk>
      <rc t="2" v="111"/>
    </bk>
    <bk>
      <rc t="2" v="112"/>
    </bk>
    <bk>
      <rc t="2" v="113"/>
    </bk>
    <bk>
      <rc t="2" v="114"/>
    </bk>
    <bk>
      <rc t="2" v="115"/>
    </bk>
    <bk>
      <rc t="2" v="116"/>
    </bk>
    <bk>
      <rc t="2" v="117"/>
    </bk>
    <bk>
      <rc t="2" v="118"/>
    </bk>
    <bk>
      <rc t="2" v="119"/>
    </bk>
    <bk>
      <rc t="2" v="120"/>
    </bk>
    <bk>
      <rc t="2" v="121"/>
    </bk>
    <bk>
      <rc t="2" v="122"/>
    </bk>
    <bk>
      <rc t="2" v="123"/>
    </bk>
    <bk>
      <rc t="2" v="124"/>
    </bk>
    <bk>
      <rc t="2" v="125"/>
    </bk>
    <bk>
      <rc t="2" v="126"/>
    </bk>
    <bk>
      <rc t="2" v="127"/>
    </bk>
    <bk>
      <rc t="2" v="128"/>
    </bk>
    <bk>
      <rc t="2" v="129"/>
    </bk>
    <bk>
      <rc t="2" v="130"/>
    </bk>
    <bk>
      <rc t="2" v="131"/>
    </bk>
    <bk>
      <rc t="2" v="132"/>
    </bk>
    <bk>
      <rc t="2" v="133"/>
    </bk>
    <bk>
      <rc t="2" v="134"/>
    </bk>
    <bk>
      <rc t="2" v="135"/>
    </bk>
    <bk>
      <rc t="2" v="136"/>
    </bk>
    <bk>
      <rc t="2" v="137"/>
    </bk>
    <bk>
      <rc t="2" v="138"/>
    </bk>
    <bk>
      <rc t="2" v="139"/>
    </bk>
    <bk>
      <rc t="2" v="140"/>
    </bk>
    <bk>
      <rc t="2" v="141"/>
    </bk>
    <bk>
      <rc t="2" v="142"/>
    </bk>
    <bk>
      <rc t="2" v="143"/>
    </bk>
    <bk>
      <rc t="2" v="144"/>
    </bk>
    <bk>
      <rc t="2" v="145"/>
    </bk>
    <bk>
      <rc t="2" v="146"/>
    </bk>
    <bk>
      <rc t="2" v="147"/>
    </bk>
    <bk>
      <rc t="2" v="148"/>
    </bk>
    <bk>
      <rc t="2" v="149"/>
    </bk>
    <bk>
      <rc t="2" v="150"/>
    </bk>
    <bk>
      <rc t="2" v="151"/>
    </bk>
    <bk>
      <rc t="2" v="152"/>
    </bk>
    <bk>
      <rc t="2" v="153"/>
    </bk>
    <bk>
      <rc t="2" v="154"/>
    </bk>
    <bk>
      <rc t="2" v="155"/>
    </bk>
    <bk>
      <rc t="2" v="156"/>
    </bk>
    <bk>
      <rc t="2" v="157"/>
    </bk>
    <bk>
      <rc t="2" v="158"/>
    </bk>
    <bk>
      <rc t="2" v="159"/>
    </bk>
    <bk>
      <rc t="2" v="160"/>
    </bk>
    <bk>
      <rc t="2" v="161"/>
    </bk>
    <bk>
      <rc t="2" v="162"/>
    </bk>
    <bk>
      <rc t="2" v="163"/>
    </bk>
    <bk>
      <rc t="2" v="164"/>
    </bk>
    <bk>
      <rc t="2" v="165"/>
    </bk>
    <bk>
      <rc t="2" v="166"/>
    </bk>
    <bk>
      <rc t="2" v="167"/>
    </bk>
    <bk>
      <rc t="2" v="168"/>
    </bk>
    <bk>
      <rc t="2" v="169"/>
    </bk>
    <bk>
      <rc t="2" v="170"/>
    </bk>
    <bk>
      <rc t="2" v="171"/>
    </bk>
    <bk>
      <rc t="2" v="172"/>
    </bk>
    <bk>
      <rc t="2" v="173"/>
    </bk>
    <bk>
      <rc t="2" v="174"/>
    </bk>
    <bk>
      <rc t="2" v="175"/>
    </bk>
    <bk>
      <rc t="2" v="176"/>
    </bk>
    <bk>
      <rc t="2" v="177"/>
    </bk>
    <bk>
      <rc t="2" v="178"/>
    </bk>
    <bk>
      <rc t="2" v="179"/>
    </bk>
    <bk>
      <rc t="2" v="180"/>
    </bk>
    <bk>
      <rc t="2" v="181"/>
    </bk>
    <bk>
      <rc t="2" v="182"/>
    </bk>
    <bk>
      <rc t="2" v="183"/>
    </bk>
    <bk>
      <rc t="2" v="184"/>
    </bk>
    <bk>
      <rc t="2" v="185"/>
    </bk>
    <bk>
      <rc t="2" v="186"/>
    </bk>
    <bk>
      <rc t="2" v="187"/>
    </bk>
    <bk>
      <rc t="2" v="188"/>
    </bk>
    <bk>
      <rc t="2" v="189"/>
    </bk>
    <bk>
      <rc t="2" v="190"/>
    </bk>
    <bk>
      <rc t="2" v="191"/>
    </bk>
    <bk>
      <rc t="2" v="192"/>
    </bk>
    <bk>
      <rc t="2" v="193"/>
    </bk>
    <bk>
      <rc t="2" v="194"/>
    </bk>
    <bk>
      <rc t="2" v="195"/>
    </bk>
    <bk>
      <rc t="2" v="196"/>
    </bk>
    <bk>
      <rc t="2" v="197"/>
    </bk>
    <bk>
      <rc t="2" v="198"/>
    </bk>
    <bk>
      <rc t="2" v="199"/>
    </bk>
    <bk>
      <rc t="2" v="200"/>
    </bk>
    <bk>
      <rc t="2" v="201"/>
    </bk>
    <bk>
      <rc t="2" v="202"/>
    </bk>
    <bk>
      <rc t="2" v="203"/>
    </bk>
    <bk>
      <rc t="2" v="204"/>
    </bk>
    <bk>
      <rc t="2" v="205"/>
    </bk>
    <bk>
      <rc t="2" v="206"/>
    </bk>
    <bk>
      <rc t="2" v="207"/>
    </bk>
    <bk>
      <rc t="2" v="208"/>
    </bk>
    <bk>
      <rc t="2" v="209"/>
    </bk>
    <bk>
      <rc t="2" v="210"/>
    </bk>
    <bk>
      <rc t="2" v="211"/>
    </bk>
    <bk>
      <rc t="2" v="212"/>
    </bk>
    <bk>
      <rc t="2" v="213"/>
    </bk>
    <bk>
      <rc t="2" v="214"/>
    </bk>
    <bk>
      <rc t="2" v="215"/>
    </bk>
    <bk>
      <rc t="2" v="216"/>
    </bk>
    <bk>
      <rc t="2" v="217"/>
    </bk>
    <bk>
      <rc t="2" v="218"/>
    </bk>
    <bk>
      <rc t="2" v="219"/>
    </bk>
    <bk>
      <rc t="2" v="220"/>
    </bk>
    <bk>
      <rc t="2" v="221"/>
    </bk>
    <bk>
      <rc t="2" v="222"/>
    </bk>
    <bk>
      <rc t="2" v="223"/>
    </bk>
    <bk>
      <rc t="2" v="224"/>
    </bk>
    <bk>
      <rc t="2" v="225"/>
    </bk>
    <bk>
      <rc t="2" v="226"/>
    </bk>
    <bk>
      <rc t="2" v="227"/>
    </bk>
    <bk>
      <rc t="2" v="228"/>
    </bk>
    <bk>
      <rc t="2" v="229"/>
    </bk>
    <bk>
      <rc t="2" v="230"/>
    </bk>
    <bk>
      <rc t="2" v="231"/>
    </bk>
    <bk>
      <rc t="2" v="232"/>
    </bk>
    <bk>
      <rc t="2" v="233"/>
    </bk>
    <bk>
      <rc t="2" v="234"/>
    </bk>
    <bk>
      <rc t="2" v="235"/>
    </bk>
    <bk>
      <rc t="2" v="236"/>
    </bk>
    <bk>
      <rc t="2" v="237"/>
    </bk>
    <bk>
      <rc t="2" v="238"/>
    </bk>
    <bk>
      <rc t="2" v="239"/>
    </bk>
    <bk>
      <rc t="2" v="240"/>
    </bk>
    <bk>
      <rc t="2" v="241"/>
    </bk>
    <bk>
      <rc t="2" v="242"/>
    </bk>
    <bk>
      <rc t="2" v="243"/>
    </bk>
    <bk>
      <rc t="2" v="244"/>
    </bk>
    <bk>
      <rc t="2" v="245"/>
    </bk>
    <bk>
      <rc t="2" v="246"/>
    </bk>
    <bk>
      <rc t="2" v="247"/>
    </bk>
    <bk>
      <rc t="2" v="248"/>
    </bk>
    <bk>
      <rc t="2" v="249"/>
    </bk>
    <bk>
      <rc t="2" v="250"/>
    </bk>
    <bk>
      <rc t="2" v="251"/>
    </bk>
    <bk>
      <rc t="2" v="252"/>
    </bk>
    <bk>
      <rc t="2" v="253"/>
    </bk>
    <bk>
      <rc t="2" v="254"/>
    </bk>
    <bk>
      <rc t="2" v="255"/>
    </bk>
    <bk>
      <rc t="2" v="256"/>
    </bk>
    <bk>
      <rc t="2" v="257"/>
    </bk>
    <bk>
      <rc t="2" v="258"/>
    </bk>
    <bk>
      <rc t="2" v="259"/>
    </bk>
    <bk>
      <rc t="2" v="260"/>
    </bk>
    <bk>
      <rc t="2" v="261"/>
    </bk>
    <bk>
      <rc t="2" v="262"/>
    </bk>
    <bk>
      <rc t="2" v="263"/>
    </bk>
    <bk>
      <rc t="2" v="264"/>
    </bk>
    <bk>
      <rc t="2" v="265"/>
    </bk>
    <bk>
      <rc t="2" v="266"/>
    </bk>
    <bk>
      <rc t="2" v="267"/>
    </bk>
    <bk>
      <rc t="2" v="268"/>
    </bk>
    <bk>
      <rc t="2" v="269"/>
    </bk>
    <bk>
      <rc t="2" v="270"/>
    </bk>
    <bk>
      <rc t="2" v="271"/>
    </bk>
    <bk>
      <rc t="2" v="272"/>
    </bk>
    <bk>
      <rc t="2" v="273"/>
    </bk>
    <bk>
      <rc t="2" v="274"/>
    </bk>
    <bk>
      <rc t="2" v="275"/>
    </bk>
    <bk>
      <rc t="2" v="276"/>
    </bk>
    <bk>
      <rc t="2" v="277"/>
    </bk>
    <bk>
      <rc t="2" v="278"/>
    </bk>
    <bk>
      <rc t="2" v="279"/>
    </bk>
    <bk>
      <rc t="2" v="280"/>
    </bk>
    <bk>
      <rc t="2" v="281"/>
    </bk>
    <bk>
      <rc t="2" v="282"/>
    </bk>
    <bk>
      <rc t="2" v="283"/>
    </bk>
    <bk>
      <rc t="2" v="284"/>
    </bk>
    <bk>
      <rc t="2" v="285"/>
    </bk>
    <bk>
      <rc t="2" v="286"/>
    </bk>
    <bk>
      <rc t="2" v="287"/>
    </bk>
    <bk>
      <rc t="2" v="288"/>
    </bk>
    <bk>
      <rc t="2" v="289"/>
    </bk>
    <bk>
      <rc t="2" v="290"/>
    </bk>
    <bk>
      <rc t="2" v="291"/>
    </bk>
    <bk>
      <rc t="2" v="292"/>
    </bk>
    <bk>
      <rc t="2" v="293"/>
    </bk>
    <bk>
      <rc t="2" v="294"/>
    </bk>
    <bk>
      <rc t="2" v="295"/>
    </bk>
    <bk>
      <rc t="2" v="296"/>
    </bk>
    <bk>
      <rc t="2" v="297"/>
    </bk>
    <bk>
      <rc t="2" v="298"/>
    </bk>
    <bk>
      <rc t="2" v="299"/>
    </bk>
    <bk>
      <rc t="2" v="300"/>
    </bk>
    <bk>
      <rc t="2" v="301"/>
    </bk>
    <bk>
      <rc t="2" v="302"/>
    </bk>
    <bk>
      <rc t="2" v="303"/>
    </bk>
    <bk>
      <rc t="2" v="304"/>
    </bk>
    <bk>
      <rc t="2" v="305"/>
    </bk>
    <bk>
      <rc t="2" v="306"/>
    </bk>
    <bk>
      <rc t="2" v="307"/>
    </bk>
    <bk>
      <rc t="2" v="308"/>
    </bk>
    <bk>
      <rc t="2" v="309"/>
    </bk>
    <bk>
      <rc t="2" v="310"/>
    </bk>
    <bk>
      <rc t="2" v="311"/>
    </bk>
    <bk>
      <rc t="2" v="312"/>
    </bk>
    <bk>
      <rc t="2" v="313"/>
    </bk>
    <bk>
      <rc t="2" v="314"/>
    </bk>
    <bk>
      <rc t="2" v="315"/>
    </bk>
    <bk>
      <rc t="2" v="316"/>
    </bk>
    <bk>
      <rc t="2" v="317"/>
    </bk>
    <bk>
      <rc t="2" v="318"/>
    </bk>
    <bk>
      <rc t="2" v="319"/>
    </bk>
    <bk>
      <rc t="2" v="320"/>
    </bk>
    <bk>
      <rc t="2" v="321"/>
    </bk>
    <bk>
      <rc t="2" v="322"/>
    </bk>
    <bk>
      <rc t="2" v="323"/>
    </bk>
    <bk>
      <rc t="2" v="324"/>
    </bk>
    <bk>
      <rc t="2" v="325"/>
    </bk>
    <bk>
      <rc t="2" v="326"/>
    </bk>
    <bk>
      <rc t="2" v="327"/>
    </bk>
    <bk>
      <rc t="2" v="328"/>
    </bk>
    <bk>
      <rc t="2" v="329"/>
    </bk>
    <bk>
      <rc t="2" v="330"/>
    </bk>
    <bk>
      <rc t="2" v="331"/>
    </bk>
    <bk>
      <rc t="2" v="332"/>
    </bk>
    <bk>
      <rc t="2" v="333"/>
    </bk>
    <bk>
      <rc t="2" v="334"/>
    </bk>
    <bk>
      <rc t="2" v="335"/>
    </bk>
    <bk>
      <rc t="2" v="336"/>
    </bk>
    <bk>
      <rc t="2" v="337"/>
    </bk>
    <bk>
      <rc t="2" v="338"/>
    </bk>
    <bk>
      <rc t="2" v="339"/>
    </bk>
    <bk>
      <rc t="2" v="340"/>
    </bk>
    <bk>
      <rc t="2" v="341"/>
    </bk>
    <bk>
      <rc t="2" v="342"/>
    </bk>
    <bk>
      <rc t="2" v="343"/>
    </bk>
    <bk>
      <rc t="2" v="344"/>
    </bk>
    <bk>
      <rc t="2" v="345"/>
    </bk>
    <bk>
      <rc t="2" v="346"/>
    </bk>
    <bk>
      <rc t="2" v="347"/>
    </bk>
    <bk>
      <rc t="2" v="348"/>
    </bk>
    <bk>
      <rc t="2" v="349"/>
    </bk>
    <bk>
      <rc t="2" v="350"/>
    </bk>
    <bk>
      <rc t="2" v="351"/>
    </bk>
    <bk>
      <rc t="2" v="352"/>
    </bk>
    <bk>
      <rc t="2" v="353"/>
    </bk>
    <bk>
      <rc t="2" v="354"/>
    </bk>
    <bk>
      <rc t="2" v="355"/>
    </bk>
    <bk>
      <rc t="2" v="356"/>
    </bk>
    <bk>
      <rc t="2" v="357"/>
    </bk>
    <bk>
      <rc t="2" v="358"/>
    </bk>
    <bk>
      <rc t="2" v="359"/>
    </bk>
    <bk>
      <rc t="2" v="360"/>
    </bk>
    <bk>
      <rc t="2" v="361"/>
    </bk>
    <bk>
      <rc t="2" v="362"/>
    </bk>
    <bk>
      <rc t="2" v="363"/>
    </bk>
    <bk>
      <rc t="2" v="364"/>
    </bk>
    <bk>
      <rc t="2" v="365"/>
    </bk>
    <bk>
      <rc t="2" v="366"/>
    </bk>
    <bk>
      <rc t="2" v="367"/>
    </bk>
    <bk>
      <rc t="2" v="368"/>
    </bk>
    <bk>
      <rc t="2" v="369"/>
    </bk>
    <bk>
      <rc t="2" v="370"/>
    </bk>
    <bk>
      <rc t="2" v="371"/>
    </bk>
    <bk>
      <rc t="2" v="372"/>
    </bk>
    <bk>
      <rc t="2" v="373"/>
    </bk>
    <bk>
      <rc t="2" v="374"/>
    </bk>
    <bk>
      <rc t="2" v="375"/>
    </bk>
    <bk>
      <rc t="2" v="376"/>
    </bk>
    <bk>
      <rc t="2" v="377"/>
    </bk>
    <bk>
      <rc t="2" v="378"/>
    </bk>
    <bk>
      <rc t="2" v="379"/>
    </bk>
    <bk>
      <rc t="2" v="380"/>
    </bk>
    <bk>
      <rc t="2" v="381"/>
    </bk>
    <bk>
      <rc t="2" v="382"/>
    </bk>
    <bk>
      <rc t="2" v="383"/>
    </bk>
    <bk>
      <rc t="2" v="384"/>
    </bk>
    <bk>
      <rc t="2" v="385"/>
    </bk>
    <bk>
      <rc t="2" v="386"/>
    </bk>
    <bk>
      <rc t="2" v="387"/>
    </bk>
    <bk>
      <rc t="2" v="388"/>
    </bk>
    <bk>
      <rc t="2" v="389"/>
    </bk>
    <bk>
      <rc t="2" v="390"/>
    </bk>
    <bk>
      <rc t="2" v="391"/>
    </bk>
    <bk>
      <rc t="2" v="392"/>
    </bk>
    <bk>
      <rc t="2" v="393"/>
    </bk>
    <bk>
      <rc t="2" v="394"/>
    </bk>
    <bk>
      <rc t="2" v="395"/>
    </bk>
    <bk>
      <rc t="2" v="396"/>
    </bk>
    <bk>
      <rc t="2" v="397"/>
    </bk>
    <bk>
      <rc t="2" v="398"/>
    </bk>
    <bk>
      <rc t="2" v="399"/>
    </bk>
    <bk>
      <rc t="2" v="400"/>
    </bk>
    <bk>
      <rc t="2" v="401"/>
    </bk>
    <bk>
      <rc t="2" v="402"/>
    </bk>
    <bk>
      <rc t="2" v="403"/>
    </bk>
    <bk>
      <rc t="2" v="404"/>
    </bk>
    <bk>
      <rc t="2" v="405"/>
    </bk>
    <bk>
      <rc t="2" v="406"/>
    </bk>
    <bk>
      <rc t="2" v="407"/>
    </bk>
    <bk>
      <rc t="2" v="408"/>
    </bk>
    <bk>
      <rc t="2" v="409"/>
    </bk>
    <bk>
      <rc t="2" v="410"/>
    </bk>
    <bk>
      <rc t="2" v="411"/>
    </bk>
    <bk>
      <rc t="2" v="412"/>
    </bk>
    <bk>
      <rc t="2" v="413"/>
    </bk>
    <bk>
      <rc t="2" v="414"/>
    </bk>
    <bk>
      <rc t="2" v="415"/>
    </bk>
    <bk>
      <rc t="2" v="416"/>
    </bk>
    <bk>
      <rc t="2" v="417"/>
    </bk>
    <bk>
      <rc t="2" v="418"/>
    </bk>
    <bk>
      <rc t="2" v="419"/>
    </bk>
    <bk>
      <rc t="2" v="420"/>
    </bk>
    <bk>
      <rc t="2" v="421"/>
    </bk>
    <bk>
      <rc t="2" v="422"/>
    </bk>
    <bk>
      <rc t="2" v="423"/>
    </bk>
    <bk>
      <rc t="2" v="424"/>
    </bk>
    <bk>
      <rc t="2" v="425"/>
    </bk>
    <bk>
      <rc t="2" v="426"/>
    </bk>
    <bk>
      <rc t="2" v="427"/>
    </bk>
    <bk>
      <rc t="2" v="428"/>
    </bk>
    <bk>
      <rc t="2" v="429"/>
    </bk>
    <bk>
      <rc t="2" v="430"/>
    </bk>
    <bk>
      <rc t="2" v="431"/>
    </bk>
    <bk>
      <rc t="2" v="432"/>
    </bk>
    <bk>
      <rc t="2" v="433"/>
    </bk>
    <bk>
      <rc t="2" v="434"/>
    </bk>
    <bk>
      <rc t="2" v="435"/>
    </bk>
    <bk>
      <rc t="2" v="436"/>
    </bk>
    <bk>
      <rc t="2" v="437"/>
    </bk>
    <bk>
      <rc t="2" v="438"/>
    </bk>
    <bk>
      <rc t="2" v="439"/>
    </bk>
    <bk>
      <rc t="2" v="440"/>
    </bk>
    <bk>
      <rc t="2" v="441"/>
    </bk>
    <bk>
      <rc t="2" v="442"/>
    </bk>
    <bk>
      <rc t="2" v="443"/>
    </bk>
    <bk>
      <rc t="2" v="444"/>
    </bk>
    <bk>
      <rc t="2" v="445"/>
    </bk>
    <bk>
      <rc t="2" v="446"/>
    </bk>
  </valueMetadata>
</metadata>
</file>

<file path=xl/sharedStrings.xml><?xml version="1.0" encoding="utf-8"?>
<sst xmlns="http://schemas.openxmlformats.org/spreadsheetml/2006/main" count="1440" uniqueCount="221">
  <si>
    <t>Afghanistan</t>
  </si>
  <si>
    <t>Asia</t>
  </si>
  <si>
    <t>Albania</t>
  </si>
  <si>
    <t>Europe</t>
  </si>
  <si>
    <t>Algeria</t>
  </si>
  <si>
    <t>Africa</t>
  </si>
  <si>
    <t>Andorra</t>
  </si>
  <si>
    <t>Angola</t>
  </si>
  <si>
    <t>Antigua &amp; Barbuda</t>
  </si>
  <si>
    <t>N. America</t>
  </si>
  <si>
    <t>Argentina</t>
  </si>
  <si>
    <t>S. America</t>
  </si>
  <si>
    <t>Armenia</t>
  </si>
  <si>
    <t>Australia</t>
  </si>
  <si>
    <t>Austria</t>
  </si>
  <si>
    <t>Azerbaijan</t>
  </si>
  <si>
    <t>Bahamas</t>
  </si>
  <si>
    <t>Bahrain</t>
  </si>
  <si>
    <t>Bangladesh</t>
  </si>
  <si>
    <t>Barbados</t>
  </si>
  <si>
    <t>Belarus</t>
  </si>
  <si>
    <t>Belgium</t>
  </si>
  <si>
    <t>Belize</t>
  </si>
  <si>
    <t>Benin</t>
  </si>
  <si>
    <t>Bhutan</t>
  </si>
  <si>
    <t>Bolivia</t>
  </si>
  <si>
    <t>Bosnia &amp; Herzegovina</t>
  </si>
  <si>
    <t>Botswana</t>
  </si>
  <si>
    <t>Brazil</t>
  </si>
  <si>
    <t>Brunei</t>
  </si>
  <si>
    <t>Bulgaria</t>
  </si>
  <si>
    <t>Burkina Faso</t>
  </si>
  <si>
    <t>Burundi</t>
  </si>
  <si>
    <t>Cabo Verde</t>
  </si>
  <si>
    <t>Cambodia</t>
  </si>
  <si>
    <t>Cameroon</t>
  </si>
  <si>
    <t>Canada</t>
  </si>
  <si>
    <t>Central African Republic</t>
  </si>
  <si>
    <t>Chad</t>
  </si>
  <si>
    <t>Chile</t>
  </si>
  <si>
    <t>China</t>
  </si>
  <si>
    <t>Colombia</t>
  </si>
  <si>
    <t>Comoros</t>
  </si>
  <si>
    <t>Congo</t>
  </si>
  <si>
    <t>Costa Rica</t>
  </si>
  <si>
    <t>Côte d'Ivoire</t>
  </si>
  <si>
    <t>Croatia</t>
  </si>
  <si>
    <t>Cuba</t>
  </si>
  <si>
    <t>Cyprus</t>
  </si>
  <si>
    <t>Czech Republic</t>
  </si>
  <si>
    <t>Denmark</t>
  </si>
  <si>
    <t>Djibouti</t>
  </si>
  <si>
    <t>Dominica</t>
  </si>
  <si>
    <t>Dominican Republic</t>
  </si>
  <si>
    <t>DR Congo</t>
  </si>
  <si>
    <t>Ecuador</t>
  </si>
  <si>
    <t>Egypt</t>
  </si>
  <si>
    <t>El Salvador</t>
  </si>
  <si>
    <t>Equatorial Guinea</t>
  </si>
  <si>
    <t>Eritrea</t>
  </si>
  <si>
    <t>Estonia</t>
  </si>
  <si>
    <t>Eswatini</t>
  </si>
  <si>
    <t>Ethiopia</t>
  </si>
  <si>
    <t>Fiji</t>
  </si>
  <si>
    <t>Finland</t>
  </si>
  <si>
    <t>France</t>
  </si>
  <si>
    <t>Gabon</t>
  </si>
  <si>
    <t>Gambia</t>
  </si>
  <si>
    <t>Georgia</t>
  </si>
  <si>
    <t>Germany</t>
  </si>
  <si>
    <t>Ghana</t>
  </si>
  <si>
    <t>Greece</t>
  </si>
  <si>
    <t>Grenada</t>
  </si>
  <si>
    <t>Guatemala</t>
  </si>
  <si>
    <t>Guinea</t>
  </si>
  <si>
    <t>Guinea-Bissau</t>
  </si>
  <si>
    <t>Guyana</t>
  </si>
  <si>
    <t>Haiti</t>
  </si>
  <si>
    <t>Holy See</t>
  </si>
  <si>
    <t>Honduras</t>
  </si>
  <si>
    <t>Hungary</t>
  </si>
  <si>
    <t>Iceland</t>
  </si>
  <si>
    <t>India</t>
  </si>
  <si>
    <t>Indonesia</t>
  </si>
  <si>
    <t>Iran</t>
  </si>
  <si>
    <t>Iraq</t>
  </si>
  <si>
    <t>Ireland</t>
  </si>
  <si>
    <t>Israel</t>
  </si>
  <si>
    <t>Italy</t>
  </si>
  <si>
    <t>Jamaica</t>
  </si>
  <si>
    <t>Japan</t>
  </si>
  <si>
    <t>Jordan</t>
  </si>
  <si>
    <t>Kazakhstan</t>
  </si>
  <si>
    <t>Kenya</t>
  </si>
  <si>
    <t>Kiribati</t>
  </si>
  <si>
    <t>Kuwait</t>
  </si>
  <si>
    <t>Kyrgyzstan</t>
  </si>
  <si>
    <t>Laos</t>
  </si>
  <si>
    <t>Latvia</t>
  </si>
  <si>
    <t>Lebanon</t>
  </si>
  <si>
    <t>Lesotho</t>
  </si>
  <si>
    <t>Liberia</t>
  </si>
  <si>
    <t>Libya</t>
  </si>
  <si>
    <t>Liechtenstein</t>
  </si>
  <si>
    <t>Lithuania</t>
  </si>
  <si>
    <t>Luxembourg</t>
  </si>
  <si>
    <t>Madagascar</t>
  </si>
  <si>
    <t>Malawi</t>
  </si>
  <si>
    <t>Malaysia</t>
  </si>
  <si>
    <t>Maldives</t>
  </si>
  <si>
    <t>Mali</t>
  </si>
  <si>
    <t>Malta</t>
  </si>
  <si>
    <t>Marshall Islands</t>
  </si>
  <si>
    <t>Mauritania</t>
  </si>
  <si>
    <t>Mauritius</t>
  </si>
  <si>
    <t>Mexico</t>
  </si>
  <si>
    <t>Micronesia</t>
  </si>
  <si>
    <t>Moldova</t>
  </si>
  <si>
    <t>Monaco</t>
  </si>
  <si>
    <t>Mongolia</t>
  </si>
  <si>
    <t>Montenegro</t>
  </si>
  <si>
    <t>Morocco</t>
  </si>
  <si>
    <t>Mozambique</t>
  </si>
  <si>
    <t>Myanmar</t>
  </si>
  <si>
    <t>Namibia</t>
  </si>
  <si>
    <t>Nauru</t>
  </si>
  <si>
    <t>Nepal</t>
  </si>
  <si>
    <t>Netherlands</t>
  </si>
  <si>
    <t>New Zealand</t>
  </si>
  <si>
    <t>Nicaragua</t>
  </si>
  <si>
    <t>Niger</t>
  </si>
  <si>
    <t>Nigeria</t>
  </si>
  <si>
    <t>North Korea</t>
  </si>
  <si>
    <t>North Macedonia</t>
  </si>
  <si>
    <t>Norway</t>
  </si>
  <si>
    <t>Oman</t>
  </si>
  <si>
    <t>Pakistan</t>
  </si>
  <si>
    <t>Palau</t>
  </si>
  <si>
    <t>Panama</t>
  </si>
  <si>
    <t>Papua New Guinea</t>
  </si>
  <si>
    <t>Paraguay</t>
  </si>
  <si>
    <t>Peru</t>
  </si>
  <si>
    <t>Philippines</t>
  </si>
  <si>
    <t>Poland</t>
  </si>
  <si>
    <t>Portugal</t>
  </si>
  <si>
    <t>Qatar</t>
  </si>
  <si>
    <t>Romania</t>
  </si>
  <si>
    <t>Russia</t>
  </si>
  <si>
    <t>Rwanda</t>
  </si>
  <si>
    <t>Saint Kitts &amp; Nevis</t>
  </si>
  <si>
    <t>Saint Lucia</t>
  </si>
  <si>
    <t>Samoa</t>
  </si>
  <si>
    <t>San Marino</t>
  </si>
  <si>
    <t>Sao Tome &amp; Principe</t>
  </si>
  <si>
    <t>Saudi Arabia</t>
  </si>
  <si>
    <t>Senegal</t>
  </si>
  <si>
    <t>Serbia</t>
  </si>
  <si>
    <t>Seychelles</t>
  </si>
  <si>
    <t>Sierra Leone</t>
  </si>
  <si>
    <t>Singapore</t>
  </si>
  <si>
    <t>Slovakia</t>
  </si>
  <si>
    <t>Slovenia</t>
  </si>
  <si>
    <t>Solomon Islands</t>
  </si>
  <si>
    <t>Somalia</t>
  </si>
  <si>
    <t>South Africa</t>
  </si>
  <si>
    <t>South Korea</t>
  </si>
  <si>
    <t>South Sudan</t>
  </si>
  <si>
    <t>Spain</t>
  </si>
  <si>
    <t>Sri Lanka</t>
  </si>
  <si>
    <t>St. Vincent &amp; Grenadines</t>
  </si>
  <si>
    <t>State of Palestine</t>
  </si>
  <si>
    <t>Sudan</t>
  </si>
  <si>
    <t>Suriname</t>
  </si>
  <si>
    <t>Sweden</t>
  </si>
  <si>
    <t>Switzerland</t>
  </si>
  <si>
    <t>Syria</t>
  </si>
  <si>
    <t>Tajikistan</t>
  </si>
  <si>
    <t>Tanzania</t>
  </si>
  <si>
    <t>Thailand</t>
  </si>
  <si>
    <t>Timor-Leste</t>
  </si>
  <si>
    <t>Togo</t>
  </si>
  <si>
    <t>Tonga</t>
  </si>
  <si>
    <t>Trinidad &amp; Tobago</t>
  </si>
  <si>
    <t>Tunisia</t>
  </si>
  <si>
    <t>Turkey</t>
  </si>
  <si>
    <t>Turkmenistan</t>
  </si>
  <si>
    <t>Tuvalu</t>
  </si>
  <si>
    <t>Uganda</t>
  </si>
  <si>
    <t>Ukraine</t>
  </si>
  <si>
    <t>United Arab Emirates</t>
  </si>
  <si>
    <t>United Kingdom</t>
  </si>
  <si>
    <t>United States</t>
  </si>
  <si>
    <t>Uruguay</t>
  </si>
  <si>
    <t>Uzbekistan</t>
  </si>
  <si>
    <t>Vanuatu</t>
  </si>
  <si>
    <t>Venezuela</t>
  </si>
  <si>
    <t>Vietnam</t>
  </si>
  <si>
    <t>Yemen</t>
  </si>
  <si>
    <t>Zambia</t>
  </si>
  <si>
    <t>Zimbabwe</t>
  </si>
  <si>
    <t>Country</t>
  </si>
  <si>
    <t>Continent</t>
  </si>
  <si>
    <t>Grouping</t>
  </si>
  <si>
    <t>Other eurasia</t>
  </si>
  <si>
    <t>Middle east</t>
  </si>
  <si>
    <t>Other Asia pacific</t>
  </si>
  <si>
    <t>Country specific</t>
  </si>
  <si>
    <t>North africa</t>
  </si>
  <si>
    <t>Sub-saharan africa</t>
  </si>
  <si>
    <t>Oceania</t>
  </si>
  <si>
    <t>Other latin america</t>
  </si>
  <si>
    <t>storage capacity</t>
  </si>
  <si>
    <t>Group / countries</t>
  </si>
  <si>
    <t>Storage capacity</t>
  </si>
  <si>
    <t>Latitude</t>
  </si>
  <si>
    <t>Longitude</t>
  </si>
  <si>
    <t>Lat</t>
  </si>
  <si>
    <t>Lon</t>
  </si>
  <si>
    <t>co2 tax</t>
  </si>
  <si>
    <t>nuclear readiness index</t>
  </si>
  <si>
    <t>ccs readiness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</si>
</sst>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8" formatCode="0.0"/>
    <numFmt numFmtId="170" formatCode="_(* #,##0_);_(* \(#,##0\);_(* &quot;-&quot;??_);_(@_)"/>
  </numFmts>
  <fonts count="7" x14ac:knownFonts="1">
    <font>
      <sz val="11"/>
      <color theme="1"/>
      <name val="Aptos Narrow"/>
      <family val="2"/>
      <scheme val="minor"/>
    </font>
    <font>
      <sz val="11"/>
      <color theme="1"/>
      <name val="Aptos Narrow"/>
      <family val="2"/>
      <scheme val="minor"/>
    </font>
    <font>
      <sz val="10"/>
      <color theme="1"/>
      <name val="Arial"/>
      <family val="2"/>
    </font>
    <font>
      <b/>
      <sz val="9"/>
      <color indexed="81"/>
      <name val="Tahoma"/>
      <family val="2"/>
    </font>
    <font>
      <sz val="9"/>
      <color indexed="81"/>
      <name val="Tahoma"/>
      <family val="2"/>
    </font>
    <font>
      <sz val="9"/>
      <color indexed="81"/>
      <name val="Tahoma"/>
      <charset val="1"/>
    </font>
    <font>
      <b/>
      <sz val="9"/>
      <color indexed="81"/>
      <name val="Tahoma"/>
      <charset val="1"/>
    </font>
  </fonts>
  <fills count="2">
    <fill>
      <patternFill patternType="none"/>
    </fill>
    <fill>
      <patternFill patternType="gray125"/>
    </fill>
  </fills>
  <borders count="1">
    <border>
      <left/>
      <right/>
      <top/>
      <bottom/>
      <diagonal/>
    </border>
  </borders>
  <cellStyleXfs count="2">
    <xf numFmtId="0" fontId="0" fillId="0" borderId="0"/>
    <xf numFmtId="43" fontId="1" fillId="0" borderId="0" applyFont="0" applyFill="0" applyBorder="0" applyAlignment="0" applyProtection="0"/>
  </cellStyleXfs>
  <cellXfs count="9">
    <xf numFmtId="0" fontId="0" fillId="0" borderId="0" xfId="0"/>
    <xf numFmtId="0" fontId="0" fillId="0" borderId="0" xfId="0" applyBorder="1"/>
    <xf numFmtId="0" fontId="2" fillId="0" borderId="0" xfId="0" applyFont="1" applyBorder="1" applyAlignment="1">
      <alignment wrapText="1"/>
    </xf>
    <xf numFmtId="0" fontId="2" fillId="0" borderId="0" xfId="0" applyFont="1" applyAlignment="1">
      <alignment wrapText="1"/>
    </xf>
    <xf numFmtId="168" fontId="0" fillId="0" borderId="0" xfId="0" applyNumberFormat="1"/>
    <xf numFmtId="0" fontId="0" fillId="0" borderId="0" xfId="0" applyNumberFormat="1" applyBorder="1"/>
    <xf numFmtId="0" fontId="0" fillId="0" borderId="0" xfId="0" applyNumberFormat="1"/>
    <xf numFmtId="170" fontId="0" fillId="0" borderId="0" xfId="1" applyNumberFormat="1" applyFont="1"/>
    <xf numFmtId="2" fontId="0" fillId="0" borderId="0" xfId="0" applyNumberFormat="1"/>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microsoft.com/office/2017/06/relationships/rdArray" Target="richData/rdarray.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tyles" Target="styles.xml"/><Relationship Id="rId12" Type="http://schemas.microsoft.com/office/2017/06/relationships/rdRichValueStructure" Target="richData/rdrichvaluestructure.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SupportingPropertyBag" Target="richData/rdsupportingpropertybag.xml"/><Relationship Id="rId1" Type="http://schemas.openxmlformats.org/officeDocument/2006/relationships/worksheet" Target="worksheets/sheet1.xml"/><Relationship Id="rId6" Type="http://schemas.openxmlformats.org/officeDocument/2006/relationships/theme" Target="theme/theme1.xml"/><Relationship Id="rId11" Type="http://schemas.microsoft.com/office/2017/06/relationships/rdRichValue" Target="richData/rdrichvalue.xml"/><Relationship Id="rId5" Type="http://schemas.openxmlformats.org/officeDocument/2006/relationships/externalLink" Target="externalLinks/externalLink1.xml"/><Relationship Id="rId15" Type="http://schemas.microsoft.com/office/2017/06/relationships/rdSupportingPropertyBagStructure" Target="richData/rdsupportingpropertybagstructure.xml"/><Relationship Id="rId10" Type="http://schemas.microsoft.com/office/2020/07/relationships/rdRichValueWebImage" Target="richData/rdRichValueWebImage.xml"/><Relationship Id="rId4" Type="http://schemas.openxmlformats.org/officeDocument/2006/relationships/worksheet" Target="worksheets/sheet4.xml"/><Relationship Id="rId9" Type="http://schemas.openxmlformats.org/officeDocument/2006/relationships/sheetMetadata" Target="metadata.xml"/><Relationship Id="rId14" Type="http://schemas.microsoft.com/office/2017/06/relationships/richStyles" Target="richData/rich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D:\Ahmad%20Syauqis%20Document\Paper%20-%20Nuclear%20DACSS\Code\data.xlsx" TargetMode="External"/><Relationship Id="rId1" Type="http://schemas.openxmlformats.org/officeDocument/2006/relationships/externalLinkPath" Target="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st_table"/>
      <sheetName val="energy_duty"/>
      <sheetName val="env_condition"/>
      <sheetName val="co2_tax"/>
      <sheetName val="co2_storage_capacity"/>
      <sheetName val="gdp"/>
      <sheetName val="capex"/>
      <sheetName val="nuclear_allowed"/>
      <sheetName val="ccs_readiness"/>
      <sheetName val="nuclear_readiness"/>
      <sheetName val="nuclear_perception"/>
      <sheetName val="resource_reserve"/>
      <sheetName val="daccs_included"/>
    </sheetNames>
    <sheetDataSet>
      <sheetData sheetId="0">
        <row r="1">
          <cell r="B1">
            <v>2030</v>
          </cell>
          <cell r="C1">
            <v>2031</v>
          </cell>
          <cell r="D1">
            <v>2032</v>
          </cell>
          <cell r="E1">
            <v>2033</v>
          </cell>
          <cell r="F1">
            <v>2034</v>
          </cell>
          <cell r="G1">
            <v>2035</v>
          </cell>
          <cell r="H1">
            <v>2036</v>
          </cell>
          <cell r="I1">
            <v>2037</v>
          </cell>
          <cell r="J1">
            <v>2038</v>
          </cell>
          <cell r="K1">
            <v>2039</v>
          </cell>
          <cell r="L1">
            <v>2040</v>
          </cell>
          <cell r="M1">
            <v>2041</v>
          </cell>
          <cell r="N1">
            <v>2042</v>
          </cell>
          <cell r="O1">
            <v>2043</v>
          </cell>
          <cell r="P1">
            <v>2044</v>
          </cell>
          <cell r="Q1">
            <v>2045</v>
          </cell>
          <cell r="R1">
            <v>2046</v>
          </cell>
          <cell r="S1">
            <v>2047</v>
          </cell>
          <cell r="T1">
            <v>2048</v>
          </cell>
          <cell r="U1">
            <v>2049</v>
          </cell>
          <cell r="V1">
            <v>2050</v>
          </cell>
          <cell r="W1">
            <v>2051</v>
          </cell>
          <cell r="X1">
            <v>2052</v>
          </cell>
          <cell r="Y1">
            <v>2053</v>
          </cell>
          <cell r="Z1">
            <v>2054</v>
          </cell>
          <cell r="AA1">
            <v>2055</v>
          </cell>
          <cell r="AB1">
            <v>2056</v>
          </cell>
          <cell r="AC1">
            <v>2057</v>
          </cell>
          <cell r="AD1">
            <v>2058</v>
          </cell>
          <cell r="AE1">
            <v>2059</v>
          </cell>
          <cell r="AF1">
            <v>2060</v>
          </cell>
          <cell r="AG1">
            <v>2061</v>
          </cell>
          <cell r="AH1">
            <v>2062</v>
          </cell>
          <cell r="AI1">
            <v>2063</v>
          </cell>
          <cell r="AJ1">
            <v>2064</v>
          </cell>
          <cell r="AK1">
            <v>2065</v>
          </cell>
          <cell r="AL1">
            <v>2066</v>
          </cell>
          <cell r="AM1">
            <v>2067</v>
          </cell>
          <cell r="AN1">
            <v>2068</v>
          </cell>
          <cell r="AO1">
            <v>2069</v>
          </cell>
          <cell r="AP1">
            <v>2070</v>
          </cell>
          <cell r="AQ1">
            <v>2071</v>
          </cell>
          <cell r="AR1">
            <v>2072</v>
          </cell>
          <cell r="AS1">
            <v>2073</v>
          </cell>
          <cell r="AT1">
            <v>2074</v>
          </cell>
          <cell r="AU1">
            <v>2075</v>
          </cell>
          <cell r="AV1">
            <v>2076</v>
          </cell>
          <cell r="AW1">
            <v>2077</v>
          </cell>
          <cell r="AX1">
            <v>2078</v>
          </cell>
          <cell r="AY1">
            <v>2079</v>
          </cell>
          <cell r="AZ1">
            <v>2080</v>
          </cell>
          <cell r="BA1">
            <v>2081</v>
          </cell>
          <cell r="BB1">
            <v>2082</v>
          </cell>
          <cell r="BC1">
            <v>2083</v>
          </cell>
          <cell r="BD1">
            <v>2084</v>
          </cell>
          <cell r="BE1">
            <v>2085</v>
          </cell>
          <cell r="BF1">
            <v>2086</v>
          </cell>
          <cell r="BG1">
            <v>2087</v>
          </cell>
          <cell r="BH1">
            <v>2088</v>
          </cell>
          <cell r="BI1">
            <v>2089</v>
          </cell>
          <cell r="BJ1">
            <v>2090</v>
          </cell>
          <cell r="BK1">
            <v>2091</v>
          </cell>
          <cell r="BL1">
            <v>2092</v>
          </cell>
          <cell r="BM1">
            <v>2093</v>
          </cell>
          <cell r="BN1">
            <v>2094</v>
          </cell>
          <cell r="BO1">
            <v>2095</v>
          </cell>
          <cell r="BP1">
            <v>2096</v>
          </cell>
          <cell r="BQ1">
            <v>2097</v>
          </cell>
          <cell r="BR1">
            <v>2098</v>
          </cell>
          <cell r="BS1">
            <v>2099</v>
          </cell>
          <cell r="BT1">
            <v>2100</v>
          </cell>
        </row>
      </sheetData>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richData/_rels/rdRichValueWebImage.xml.rels><?xml version="1.0" encoding="UTF-8" standalone="yes"?>
<Relationships xmlns="http://schemas.openxmlformats.org/package/2006/relationships"><Relationship Id="rId117" Type="http://schemas.openxmlformats.org/officeDocument/2006/relationships/hyperlink" Target="https://www.bing.com/th?id=OSK.a0f479d723da3a19e65d3725c014d40f&amp;qlt=95" TargetMode="External"/><Relationship Id="rId671" Type="http://schemas.openxmlformats.org/officeDocument/2006/relationships/hyperlink" Target="https://www.bing.com/th?id=OSK.30a540e96f9b1b3398bbed65532e0126&amp;qlt=95" TargetMode="External"/><Relationship Id="rId21" Type="http://schemas.openxmlformats.org/officeDocument/2006/relationships/hyperlink" Target="https://www.bing.com/th?id=OSK.12c9e52bf78e89804d9191564e6bc9c1&amp;qlt=95" TargetMode="External"/><Relationship Id="rId324" Type="http://schemas.openxmlformats.org/officeDocument/2006/relationships/hyperlink" Target="https://www.bing.com/images/search?form=xlimg&amp;q=Jordan" TargetMode="External"/><Relationship Id="rId531" Type="http://schemas.openxmlformats.org/officeDocument/2006/relationships/hyperlink" Target="https://www.bing.com/th?id=OSK._xQ1Y1Yvtq6EAmZhCdbscqWHMwHi__xlEn9meCUrBXY&amp;qlt=95" TargetMode="External"/><Relationship Id="rId629" Type="http://schemas.openxmlformats.org/officeDocument/2006/relationships/hyperlink" Target="https://www.bing.com/th?id=OSK.3d1f7cdd2e4b04d7d59c9c2070509b97&amp;qlt=95" TargetMode="External"/><Relationship Id="rId170" Type="http://schemas.openxmlformats.org/officeDocument/2006/relationships/hyperlink" Target="https://www.bing.com/images/search?form=xlimg&amp;q=Cyprus" TargetMode="External"/><Relationship Id="rId268" Type="http://schemas.openxmlformats.org/officeDocument/2006/relationships/hyperlink" Target="https://www.bing.com/images/search?form=xlimg&amp;q=Guinea" TargetMode="External"/><Relationship Id="rId475" Type="http://schemas.openxmlformats.org/officeDocument/2006/relationships/hyperlink" Target="https://www.bing.com/th?id=OSK.d6a93a92f09e8d8412ff984010efbef7&amp;qlt=95" TargetMode="External"/><Relationship Id="rId682" Type="http://schemas.openxmlformats.org/officeDocument/2006/relationships/hyperlink" Target="https://www.bing.com/images/search?form=xlimg&amp;q=London" TargetMode="External"/><Relationship Id="rId32" Type="http://schemas.openxmlformats.org/officeDocument/2006/relationships/hyperlink" Target="https://www.bing.com/images/search?form=xlimg&amp;q=Armenia" TargetMode="External"/><Relationship Id="rId128" Type="http://schemas.openxmlformats.org/officeDocument/2006/relationships/hyperlink" Target="https://www.bing.com/images/search?form=xlimg&amp;q=N'Djamena" TargetMode="External"/><Relationship Id="rId335" Type="http://schemas.openxmlformats.org/officeDocument/2006/relationships/hyperlink" Target="https://www.bing.com/th?id=OSK.sgxbRKoSYerfL7mnQs2kRfWpSts8LlYet_SDjcnMl-4&amp;qlt=95" TargetMode="External"/><Relationship Id="rId542" Type="http://schemas.openxmlformats.org/officeDocument/2006/relationships/hyperlink" Target="https://www.bing.com/images/search?form=xlimg&amp;q=Apia" TargetMode="External"/><Relationship Id="rId181" Type="http://schemas.openxmlformats.org/officeDocument/2006/relationships/hyperlink" Target="https://www.bing.com/th?id=OSK.6c20e1da135a979320b5455f5ed5c1de&amp;qlt=95" TargetMode="External"/><Relationship Id="rId402" Type="http://schemas.openxmlformats.org/officeDocument/2006/relationships/hyperlink" Target="https://www.bing.com/images/search?form=xlimg&amp;q=Mauritius" TargetMode="External"/><Relationship Id="rId279" Type="http://schemas.openxmlformats.org/officeDocument/2006/relationships/hyperlink" Target="https://www.bing.com/th?id=OSK.e361089b50440849361002f9124948e5&amp;qlt=95" TargetMode="External"/><Relationship Id="rId486" Type="http://schemas.openxmlformats.org/officeDocument/2006/relationships/hyperlink" Target="https://www.bing.com/images/search?form=xlimg&amp;q=Pakistan" TargetMode="External"/><Relationship Id="rId693" Type="http://schemas.openxmlformats.org/officeDocument/2006/relationships/hyperlink" Target="https://www.bing.com/th?id=OSK.891e7f8c12243242fb408a5c01210533&amp;qlt=95" TargetMode="External"/><Relationship Id="rId707" Type="http://schemas.openxmlformats.org/officeDocument/2006/relationships/hyperlink" Target="https://www.bing.com/th?id=OSK.uZwEjKcMrq7mRuJ7EfXa8W1XqF_8MEvx-qGiA9SVN5s&amp;qlt=95" TargetMode="External"/><Relationship Id="rId43" Type="http://schemas.openxmlformats.org/officeDocument/2006/relationships/hyperlink" Target="https://www.bing.com/th?id=OSK.325bb9866e352fcc23a17fcca3d19cfb&amp;qlt=95" TargetMode="External"/><Relationship Id="rId139" Type="http://schemas.openxmlformats.org/officeDocument/2006/relationships/hyperlink" Target="https://www.bing.com/th?id=OSK.hD9Sr3Hkm45Ycyo9eVkK4E9rJ4zT463mIxjiPC9-QTg&amp;qlt=95" TargetMode="External"/><Relationship Id="rId346" Type="http://schemas.openxmlformats.org/officeDocument/2006/relationships/hyperlink" Target="https://www.bing.com/images/search?form=xlimg&amp;q=Maseru" TargetMode="External"/><Relationship Id="rId553" Type="http://schemas.openxmlformats.org/officeDocument/2006/relationships/hyperlink" Target="https://www.bing.com/th?id=OSK.ea377159b319b539c893581efdae6a2c&amp;qlt=95" TargetMode="External"/><Relationship Id="rId192" Type="http://schemas.openxmlformats.org/officeDocument/2006/relationships/hyperlink" Target="https://www.bing.com/images/search?form=xlimg&amp;q=Quito" TargetMode="External"/><Relationship Id="rId206" Type="http://schemas.openxmlformats.org/officeDocument/2006/relationships/hyperlink" Target="https://www.bing.com/images/search?form=xlimg&amp;q=Equatorial%20Guinea" TargetMode="External"/><Relationship Id="rId413" Type="http://schemas.openxmlformats.org/officeDocument/2006/relationships/hyperlink" Target="https://www.bing.com/th?id=OSK.0335b9be8b1f63525cf0a898e3f23bed&amp;qlt=95" TargetMode="External"/><Relationship Id="rId497" Type="http://schemas.openxmlformats.org/officeDocument/2006/relationships/hyperlink" Target="https://www.bing.com/th?id=OSK.0cebd113a042df59220ffef943c91086&amp;qlt=95" TargetMode="External"/><Relationship Id="rId620" Type="http://schemas.openxmlformats.org/officeDocument/2006/relationships/hyperlink" Target="https://www.bing.com/images/search?form=xlimg&amp;q=Stockholm" TargetMode="External"/><Relationship Id="rId357" Type="http://schemas.openxmlformats.org/officeDocument/2006/relationships/hyperlink" Target="https://www.bing.com/th?id=OSK.e7d009975b862b150b78155159099346&amp;qlt=95" TargetMode="External"/><Relationship Id="rId54" Type="http://schemas.openxmlformats.org/officeDocument/2006/relationships/hyperlink" Target="https://www.bing.com/images/search?form=xlimg&amp;q=Bridgetown" TargetMode="External"/><Relationship Id="rId217" Type="http://schemas.openxmlformats.org/officeDocument/2006/relationships/hyperlink" Target="https://www.bing.com/th?id=OSK.1fde0908fb91d79df6c77cb6d8e9fa8b&amp;qlt=95" TargetMode="External"/><Relationship Id="rId564" Type="http://schemas.openxmlformats.org/officeDocument/2006/relationships/hyperlink" Target="https://www.bing.com/images/search?form=xlimg&amp;q=Serbia" TargetMode="External"/><Relationship Id="rId424" Type="http://schemas.openxmlformats.org/officeDocument/2006/relationships/hyperlink" Target="https://www.bing.com/images/search?form=xlimg&amp;q=Podgorica" TargetMode="External"/><Relationship Id="rId631" Type="http://schemas.openxmlformats.org/officeDocument/2006/relationships/hyperlink" Target="https://www.bing.com/th?id=OSK.393e335d05aa20c761c4cf549bb482be&amp;qlt=95" TargetMode="External"/><Relationship Id="rId270" Type="http://schemas.openxmlformats.org/officeDocument/2006/relationships/hyperlink" Target="https://www.bing.com/images/search?form=xlimg&amp;q=Bissau" TargetMode="External"/><Relationship Id="rId65" Type="http://schemas.openxmlformats.org/officeDocument/2006/relationships/hyperlink" Target="https://www.bing.com/th?id=OSK.04fc876a698c7afbd05a9fe9400ddd62&amp;qlt=95" TargetMode="External"/><Relationship Id="rId130" Type="http://schemas.openxmlformats.org/officeDocument/2006/relationships/hyperlink" Target="https://www.bing.com/images/search?form=xlimg&amp;q=Chad" TargetMode="External"/><Relationship Id="rId368" Type="http://schemas.openxmlformats.org/officeDocument/2006/relationships/hyperlink" Target="https://www.bing.com/images/search?form=xlimg&amp;q=Antananarivo" TargetMode="External"/><Relationship Id="rId575" Type="http://schemas.openxmlformats.org/officeDocument/2006/relationships/hyperlink" Target="https://www.bing.com/th?id=OSK.d9b621cc7d88019e0d716dda1c17a307&amp;qlt=95" TargetMode="External"/><Relationship Id="rId228" Type="http://schemas.openxmlformats.org/officeDocument/2006/relationships/hyperlink" Target="https://www.bing.com/images/search?form=xlimg&amp;q=Finland" TargetMode="External"/><Relationship Id="rId435" Type="http://schemas.openxmlformats.org/officeDocument/2006/relationships/hyperlink" Target="https://www.bing.com/th?id=OSK.f2e066d74b09d3e3dfcab4ea24cfd6a4&amp;qlt=95" TargetMode="External"/><Relationship Id="rId642" Type="http://schemas.openxmlformats.org/officeDocument/2006/relationships/hyperlink" Target="https://www.bing.com/images/search?form=xlimg&amp;q=Timor-Leste" TargetMode="External"/><Relationship Id="rId281" Type="http://schemas.openxmlformats.org/officeDocument/2006/relationships/hyperlink" Target="https://www.bing.com/th?id=OSK.97f9b20d1ddd77d444528336320a8e44&amp;qlt=95" TargetMode="External"/><Relationship Id="rId502" Type="http://schemas.openxmlformats.org/officeDocument/2006/relationships/hyperlink" Target="https://www.bing.com/images/search?form=xlimg&amp;q=Paraguay" TargetMode="External"/><Relationship Id="rId76" Type="http://schemas.openxmlformats.org/officeDocument/2006/relationships/hyperlink" Target="https://www.bing.com/images/search?form=xlimg&amp;q=Bhutan" TargetMode="External"/><Relationship Id="rId141" Type="http://schemas.openxmlformats.org/officeDocument/2006/relationships/hyperlink" Target="https://www.bing.com/th?id=OSK.ymB-aUlVtIPobu-J0CqOfis9WIfVxNvQ7P37PoJG0Dw&amp;qlt=95" TargetMode="External"/><Relationship Id="rId379" Type="http://schemas.openxmlformats.org/officeDocument/2006/relationships/hyperlink" Target="https://www.bing.com/th?id=OSK.71899621c1b3aa8b5815b2335dafa7ac&amp;qlt=95" TargetMode="External"/><Relationship Id="rId586" Type="http://schemas.openxmlformats.org/officeDocument/2006/relationships/hyperlink" Target="https://www.bing.com/images/search?form=xlimg&amp;q=Somalia" TargetMode="External"/><Relationship Id="rId7" Type="http://schemas.openxmlformats.org/officeDocument/2006/relationships/hyperlink" Target="https://www.bing.com/th?id=OSK.e267b077bd06f31fb5785a31d5c544f7&amp;qlt=95" TargetMode="External"/><Relationship Id="rId239" Type="http://schemas.openxmlformats.org/officeDocument/2006/relationships/hyperlink" Target="https://www.bing.com/th?id=OSK.A16FXAbSt6L7BABoGxXL1xqnxoW0cmlWiFwpzd6SL2s&amp;qlt=95" TargetMode="External"/><Relationship Id="rId446" Type="http://schemas.openxmlformats.org/officeDocument/2006/relationships/hyperlink" Target="https://www.bing.com/images/search?form=xlimg&amp;q=Nauru" TargetMode="External"/><Relationship Id="rId653" Type="http://schemas.openxmlformats.org/officeDocument/2006/relationships/hyperlink" Target="https://www.bing.com/th?id=OSK.EefusVIgl7D5qWmwc1MlcioTrwylPbwhfm2dLW4Cpbo&amp;qlt=95" TargetMode="External"/><Relationship Id="rId292" Type="http://schemas.openxmlformats.org/officeDocument/2006/relationships/hyperlink" Target="https://www.bing.com/images/search?form=xlimg&amp;q=New%20Delhi" TargetMode="External"/><Relationship Id="rId306" Type="http://schemas.openxmlformats.org/officeDocument/2006/relationships/hyperlink" Target="https://www.bing.com/images/search?form=xlimg&amp;q=Jerusalem" TargetMode="External"/><Relationship Id="rId87" Type="http://schemas.openxmlformats.org/officeDocument/2006/relationships/hyperlink" Target="https://www.bing.com/th?id=OSK.xjcez_sYGF1ts8bOFErxn3oi1HMP73h02CQ-zsQlhIQ&amp;qlt=95" TargetMode="External"/><Relationship Id="rId513" Type="http://schemas.openxmlformats.org/officeDocument/2006/relationships/hyperlink" Target="https://www.bing.com/th?id=OSK.wh-UTEFTEh6yXROAExnHHJuw4N-wHkAAkwvLwczJijw&amp;qlt=95" TargetMode="External"/><Relationship Id="rId597" Type="http://schemas.openxmlformats.org/officeDocument/2006/relationships/hyperlink" Target="https://www.bing.com/th?id=OSK.12f7533dca5f011065a431e87678062b&amp;qlt=95" TargetMode="External"/><Relationship Id="rId152" Type="http://schemas.openxmlformats.org/officeDocument/2006/relationships/hyperlink" Target="https://www.bing.com/images/search?form=xlimg&amp;q=San%20Jos%c3%a9,%20Costa%20Rica" TargetMode="External"/><Relationship Id="rId457" Type="http://schemas.openxmlformats.org/officeDocument/2006/relationships/hyperlink" Target="https://www.bing.com/th?id=OSK.c5d74f09208bfd0d8739f60ad3fadfce&amp;qlt=95" TargetMode="External"/><Relationship Id="rId664" Type="http://schemas.openxmlformats.org/officeDocument/2006/relationships/hyperlink" Target="https://www.bing.com/images/search?form=xlimg&amp;q=Turkmenistan" TargetMode="External"/><Relationship Id="rId14" Type="http://schemas.openxmlformats.org/officeDocument/2006/relationships/hyperlink" Target="https://www.bing.com/images/search?form=xlimg&amp;q=Andorra%20la%20Vella" TargetMode="External"/><Relationship Id="rId317" Type="http://schemas.openxmlformats.org/officeDocument/2006/relationships/hyperlink" Target="https://www.bing.com/th?id=OSK.a5e66df12e2c87d6b1c2825f3d9fd432&amp;qlt=95" TargetMode="External"/><Relationship Id="rId524" Type="http://schemas.openxmlformats.org/officeDocument/2006/relationships/hyperlink" Target="https://www.bing.com/images/search?form=xlimg&amp;q=Bucharest" TargetMode="External"/><Relationship Id="rId98" Type="http://schemas.openxmlformats.org/officeDocument/2006/relationships/hyperlink" Target="https://www.bing.com/images/search?form=xlimg&amp;q=Sofia" TargetMode="External"/><Relationship Id="rId163" Type="http://schemas.openxmlformats.org/officeDocument/2006/relationships/hyperlink" Target="https://www.bing.com/th?id=OSK.28c7924ab127259a72960a5a8d984ba1&amp;qlt=95" TargetMode="External"/><Relationship Id="rId370" Type="http://schemas.openxmlformats.org/officeDocument/2006/relationships/hyperlink" Target="https://www.bing.com/images/search?form=xlimg&amp;q=Madagascar" TargetMode="External"/><Relationship Id="rId230" Type="http://schemas.openxmlformats.org/officeDocument/2006/relationships/hyperlink" Target="https://www.bing.com/images/search?form=xlimg&amp;q=Paris" TargetMode="External"/><Relationship Id="rId468" Type="http://schemas.openxmlformats.org/officeDocument/2006/relationships/hyperlink" Target="https://www.bing.com/images/search?form=xlimg&amp;q=Nigeria" TargetMode="External"/><Relationship Id="rId675" Type="http://schemas.openxmlformats.org/officeDocument/2006/relationships/hyperlink" Target="https://www.bing.com/th?id=OSK.gYPtm5v9C4-FDIvBrAif23Q85Oul0ZWNE0uP7Z6D2gc&amp;qlt=95" TargetMode="External"/><Relationship Id="rId25" Type="http://schemas.openxmlformats.org/officeDocument/2006/relationships/hyperlink" Target="https://www.bing.com/th?id=OSK.b570fbff81851f18e2d3bb9180dc4a38&amp;qlt=95" TargetMode="External"/><Relationship Id="rId328" Type="http://schemas.openxmlformats.org/officeDocument/2006/relationships/hyperlink" Target="https://www.bing.com/images/search?form=xlimg&amp;q=Nairobi" TargetMode="External"/><Relationship Id="rId535" Type="http://schemas.openxmlformats.org/officeDocument/2006/relationships/hyperlink" Target="https://www.bing.com/th?id=OSK.b0fa55ae76926529331739d0cb9ebaf2&amp;qlt=95" TargetMode="External"/><Relationship Id="rId174" Type="http://schemas.openxmlformats.org/officeDocument/2006/relationships/hyperlink" Target="https://www.bing.com/images/search?form=xlimg&amp;q=Copenhagen" TargetMode="External"/><Relationship Id="rId381" Type="http://schemas.openxmlformats.org/officeDocument/2006/relationships/hyperlink" Target="https://www.bing.com/th?id=OSK.f3c491f7dd42b671a692606776614e6b&amp;qlt=95" TargetMode="External"/><Relationship Id="rId602" Type="http://schemas.openxmlformats.org/officeDocument/2006/relationships/hyperlink" Target="https://www.bing.com/images/search?form=xlimg&amp;q=Colombo" TargetMode="External"/><Relationship Id="rId241" Type="http://schemas.openxmlformats.org/officeDocument/2006/relationships/hyperlink" Target="https://www.bing.com/th?id=OSK.770a5909e674888825232795406dcc41&amp;qlt=95" TargetMode="External"/><Relationship Id="rId479" Type="http://schemas.openxmlformats.org/officeDocument/2006/relationships/hyperlink" Target="https://www.bing.com/th?id=OSK.e3ebf1bbf22af9e5d296fdf57fb68ea2&amp;qlt=95" TargetMode="External"/><Relationship Id="rId686" Type="http://schemas.openxmlformats.org/officeDocument/2006/relationships/hyperlink" Target="https://www.bing.com/images/search?form=xlimg&amp;q=United%20States" TargetMode="External"/><Relationship Id="rId36" Type="http://schemas.openxmlformats.org/officeDocument/2006/relationships/hyperlink" Target="https://www.bing.com/images/search?form=xlimg&amp;q=Australia" TargetMode="External"/><Relationship Id="rId339" Type="http://schemas.openxmlformats.org/officeDocument/2006/relationships/hyperlink" Target="https://www.bing.com/th?id=OSK.-wBboG1nhFj0aVTKYtHN2cPaaQjdF84hiPyeCOpiIak&amp;qlt=95" TargetMode="External"/><Relationship Id="rId546" Type="http://schemas.openxmlformats.org/officeDocument/2006/relationships/hyperlink" Target="https://www.bing.com/images/search?form=xlimg&amp;q=City%20of%20San%20Marino" TargetMode="External"/><Relationship Id="rId101" Type="http://schemas.openxmlformats.org/officeDocument/2006/relationships/hyperlink" Target="https://www.bing.com/th?id=OSK.8a83e5a28ce81c667cc03714104a5788&amp;qlt=95" TargetMode="External"/><Relationship Id="rId185" Type="http://schemas.openxmlformats.org/officeDocument/2006/relationships/hyperlink" Target="https://www.bing.com/th?id=OSK.6d5aac2ad4ca0b6b1939cca2d050fbae&amp;qlt=95" TargetMode="External"/><Relationship Id="rId406" Type="http://schemas.openxmlformats.org/officeDocument/2006/relationships/hyperlink" Target="https://www.bing.com/images/search?form=xlimg&amp;q=Mexico" TargetMode="External"/><Relationship Id="rId392" Type="http://schemas.openxmlformats.org/officeDocument/2006/relationships/hyperlink" Target="https://www.bing.com/images/search?form=xlimg&amp;q=Majuro" TargetMode="External"/><Relationship Id="rId613" Type="http://schemas.openxmlformats.org/officeDocument/2006/relationships/hyperlink" Target="https://www.bing.com/th?id=OSK.e9b07c266e405c9ce734f8ba78f77571&amp;qlt=95" TargetMode="External"/><Relationship Id="rId697" Type="http://schemas.openxmlformats.org/officeDocument/2006/relationships/hyperlink" Target="https://www.bing.com/th?id=OSK.5ba702cae9a87a2c9f2fd4eabe646b1d&amp;qlt=95" TargetMode="External"/><Relationship Id="rId252" Type="http://schemas.openxmlformats.org/officeDocument/2006/relationships/hyperlink" Target="https://www.bing.com/images/search?form=xlimg&amp;q=Ghana" TargetMode="External"/><Relationship Id="rId47" Type="http://schemas.openxmlformats.org/officeDocument/2006/relationships/hyperlink" Target="https://www.bing.com/th?id=OSK.354fd9421a928b1c04042ed2db5a2202&amp;qlt=95" TargetMode="External"/><Relationship Id="rId112" Type="http://schemas.openxmlformats.org/officeDocument/2006/relationships/hyperlink" Target="https://www.bing.com/images/search?form=xlimg&amp;q=Phnom%20Penh" TargetMode="External"/><Relationship Id="rId557" Type="http://schemas.openxmlformats.org/officeDocument/2006/relationships/hyperlink" Target="https://www.bing.com/th?id=OSK.e783be6c43eddf3045bdef8373d3d96b&amp;qlt=95" TargetMode="External"/><Relationship Id="rId196" Type="http://schemas.openxmlformats.org/officeDocument/2006/relationships/hyperlink" Target="https://www.bing.com/images/search?form=xlimg&amp;q=Cairo" TargetMode="External"/><Relationship Id="rId417" Type="http://schemas.openxmlformats.org/officeDocument/2006/relationships/hyperlink" Target="https://www.bing.com/th?id=OSK.D4xwjISfUSLao3ePvCDt13L2x2dVn_PmQI8AEriEfWM&amp;qlt=95" TargetMode="External"/><Relationship Id="rId624" Type="http://schemas.openxmlformats.org/officeDocument/2006/relationships/hyperlink" Target="https://www.bing.com/images/search?form=xlimg&amp;q=Damascus" TargetMode="External"/><Relationship Id="rId263" Type="http://schemas.openxmlformats.org/officeDocument/2006/relationships/hyperlink" Target="https://www.bing.com/th?id=OSK.e943d8b4667369324c868169a01701c0&amp;qlt=95" TargetMode="External"/><Relationship Id="rId470" Type="http://schemas.openxmlformats.org/officeDocument/2006/relationships/hyperlink" Target="https://www.bing.com/images/search?form=xlimg&amp;q=Pyongyang" TargetMode="External"/><Relationship Id="rId58" Type="http://schemas.openxmlformats.org/officeDocument/2006/relationships/hyperlink" Target="https://www.bing.com/images/search?form=xlimg&amp;q=Minsk" TargetMode="External"/><Relationship Id="rId123" Type="http://schemas.openxmlformats.org/officeDocument/2006/relationships/hyperlink" Target="https://www.bing.com/th?id=OSK.fcf7839d030865f92d247f0bf5502bac&amp;qlt=95" TargetMode="External"/><Relationship Id="rId330" Type="http://schemas.openxmlformats.org/officeDocument/2006/relationships/hyperlink" Target="https://www.bing.com/images/search?form=xlimg&amp;q=Kenya" TargetMode="External"/><Relationship Id="rId568" Type="http://schemas.openxmlformats.org/officeDocument/2006/relationships/hyperlink" Target="https://www.bing.com/images/search?form=xlimg&amp;q=Seychelles" TargetMode="External"/><Relationship Id="rId428" Type="http://schemas.openxmlformats.org/officeDocument/2006/relationships/hyperlink" Target="https://www.bing.com/images/search?form=xlimg&amp;q=Rabat" TargetMode="External"/><Relationship Id="rId635" Type="http://schemas.openxmlformats.org/officeDocument/2006/relationships/hyperlink" Target="https://www.bing.com/th?id=OSK.a1a42f3902075c9d42cc5b831273180b&amp;qlt=95" TargetMode="External"/><Relationship Id="rId274" Type="http://schemas.openxmlformats.org/officeDocument/2006/relationships/hyperlink" Target="https://www.bing.com/images/search?form=xlimg&amp;q=Georgetown,%20Guyana" TargetMode="External"/><Relationship Id="rId481" Type="http://schemas.openxmlformats.org/officeDocument/2006/relationships/hyperlink" Target="https://www.bing.com/th?id=OSK.c282afb0e6060bf15f29d7ebf581fff8&amp;qlt=95" TargetMode="External"/><Relationship Id="rId702" Type="http://schemas.openxmlformats.org/officeDocument/2006/relationships/hyperlink" Target="https://www.bing.com/images/search?form=xlimg&amp;q=Hanoi" TargetMode="External"/><Relationship Id="rId69" Type="http://schemas.openxmlformats.org/officeDocument/2006/relationships/hyperlink" Target="https://www.bing.com/th?id=OSK.ed19ed780c2ddb11482cb76e74718141&amp;qlt=95" TargetMode="External"/><Relationship Id="rId134" Type="http://schemas.openxmlformats.org/officeDocument/2006/relationships/hyperlink" Target="https://www.bing.com/images/search?form=xlimg&amp;q=Chile" TargetMode="External"/><Relationship Id="rId579" Type="http://schemas.openxmlformats.org/officeDocument/2006/relationships/hyperlink" Target="https://www.bing.com/th?id=OSK.564bb3d0e2056a736cd9f8f5002e3d3e&amp;qlt=95" TargetMode="External"/><Relationship Id="rId341" Type="http://schemas.openxmlformats.org/officeDocument/2006/relationships/hyperlink" Target="https://www.bing.com/th?id=OSK.J3UujR83Dqu7KUF3-Q-4ql8qDuqoFgfSY_SMavkytRU&amp;qlt=95" TargetMode="External"/><Relationship Id="rId439" Type="http://schemas.openxmlformats.org/officeDocument/2006/relationships/hyperlink" Target="https://www.bing.com/th?id=OSK.ccb4055722017be45afba9f579682aad&amp;qlt=95" TargetMode="External"/><Relationship Id="rId646" Type="http://schemas.openxmlformats.org/officeDocument/2006/relationships/hyperlink" Target="https://www.bing.com/images/search?form=xlimg&amp;q=Togo" TargetMode="External"/><Relationship Id="rId201" Type="http://schemas.openxmlformats.org/officeDocument/2006/relationships/hyperlink" Target="https://www.bing.com/th?id=OSK.acba2a762d7da0bda6116851934b1c14&amp;qlt=95" TargetMode="External"/><Relationship Id="rId285" Type="http://schemas.openxmlformats.org/officeDocument/2006/relationships/hyperlink" Target="https://www.bing.com/th?id=OSK.394d10b73ec7991cf17df1ed54a8fc99&amp;qlt=95" TargetMode="External"/><Relationship Id="rId506" Type="http://schemas.openxmlformats.org/officeDocument/2006/relationships/hyperlink" Target="https://www.bing.com/images/search?form=xlimg&amp;q=Peru" TargetMode="External"/><Relationship Id="rId492" Type="http://schemas.openxmlformats.org/officeDocument/2006/relationships/hyperlink" Target="https://www.bing.com/images/search?form=xlimg&amp;q=Panama%20City" TargetMode="External"/><Relationship Id="rId713" Type="http://schemas.openxmlformats.org/officeDocument/2006/relationships/hyperlink" Target="https://www.bing.com/th?id=OSK.22715702b0a0b9ff6daf013e9fc55372&amp;qlt=95" TargetMode="External"/><Relationship Id="rId145" Type="http://schemas.openxmlformats.org/officeDocument/2006/relationships/hyperlink" Target="https://www.bing.com/th?id=OSK.b7a64cb75bd61f944c89b8a7bc843aac&amp;qlt=95" TargetMode="External"/><Relationship Id="rId352" Type="http://schemas.openxmlformats.org/officeDocument/2006/relationships/hyperlink" Target="https://www.bing.com/images/search?form=xlimg&amp;q=Liberia" TargetMode="External"/><Relationship Id="rId212" Type="http://schemas.openxmlformats.org/officeDocument/2006/relationships/hyperlink" Target="https://www.bing.com/images/search?form=xlimg&amp;q=Addis%20Ababa" TargetMode="External"/><Relationship Id="rId657" Type="http://schemas.openxmlformats.org/officeDocument/2006/relationships/hyperlink" Target="https://www.bing.com/th?id=OSK.71ec6e50c09b28d4a6ef80ad01877fb0&amp;qlt=95" TargetMode="External"/><Relationship Id="rId296" Type="http://schemas.openxmlformats.org/officeDocument/2006/relationships/hyperlink" Target="https://www.bing.com/images/search?form=xlimg&amp;q=Indonesia" TargetMode="External"/><Relationship Id="rId517" Type="http://schemas.openxmlformats.org/officeDocument/2006/relationships/hyperlink" Target="https://www.bing.com/th?id=OSK.2d7b7af86f9a55648a4aec7fbe3969e6&amp;qlt=95" TargetMode="External"/><Relationship Id="rId60" Type="http://schemas.openxmlformats.org/officeDocument/2006/relationships/hyperlink" Target="https://www.bing.com/images/search?form=xlimg&amp;q=Belarus" TargetMode="External"/><Relationship Id="rId156" Type="http://schemas.openxmlformats.org/officeDocument/2006/relationships/hyperlink" Target="https://www.bing.com/images/search?form=xlimg&amp;q=Yamoussoukro" TargetMode="External"/><Relationship Id="rId363" Type="http://schemas.openxmlformats.org/officeDocument/2006/relationships/hyperlink" Target="https://www.bing.com/th?id=OSK.0be0bb39d7ad5fc5ed9883845ffd1e6b&amp;qlt=95" TargetMode="External"/><Relationship Id="rId570" Type="http://schemas.openxmlformats.org/officeDocument/2006/relationships/hyperlink" Target="https://www.bing.com/images/search?form=xlimg&amp;q=Freetown" TargetMode="External"/><Relationship Id="rId223" Type="http://schemas.openxmlformats.org/officeDocument/2006/relationships/hyperlink" Target="https://www.bing.com/th?id=OSK.52016c7e71aae8fe94202de7db44aaae&amp;qlt=95" TargetMode="External"/><Relationship Id="rId430" Type="http://schemas.openxmlformats.org/officeDocument/2006/relationships/hyperlink" Target="https://www.bing.com/images/search?form=xlimg&amp;q=Morocco" TargetMode="External"/><Relationship Id="rId668" Type="http://schemas.openxmlformats.org/officeDocument/2006/relationships/hyperlink" Target="https://www.bing.com/images/search?form=xlimg&amp;q=Tuvalu" TargetMode="External"/><Relationship Id="rId18" Type="http://schemas.openxmlformats.org/officeDocument/2006/relationships/hyperlink" Target="https://www.bing.com/images/search?form=xlimg&amp;q=Luanda" TargetMode="External"/><Relationship Id="rId528" Type="http://schemas.openxmlformats.org/officeDocument/2006/relationships/hyperlink" Target="https://www.bing.com/images/search?form=xlimg&amp;q=Russia" TargetMode="External"/><Relationship Id="rId167" Type="http://schemas.openxmlformats.org/officeDocument/2006/relationships/hyperlink" Target="https://www.bing.com/th?id=OSK.-wJPJrsZ08mlCjuOo4ByCekyPdFrbR6s1RPMuNUnqoU&amp;qlt=95" TargetMode="External"/><Relationship Id="rId374" Type="http://schemas.openxmlformats.org/officeDocument/2006/relationships/hyperlink" Target="https://www.bing.com/images/search?form=xlimg&amp;q=Malawi" TargetMode="External"/><Relationship Id="rId581" Type="http://schemas.openxmlformats.org/officeDocument/2006/relationships/hyperlink" Target="https://www.bing.com/th?id=OSK.b454208855b107f84295e713d7529f16&amp;qlt=95" TargetMode="External"/><Relationship Id="rId71" Type="http://schemas.openxmlformats.org/officeDocument/2006/relationships/hyperlink" Target="https://www.bing.com/th?id=OSK.2e21f9a75cd1e71aa4daafcd767676ff&amp;qlt=95" TargetMode="External"/><Relationship Id="rId234" Type="http://schemas.openxmlformats.org/officeDocument/2006/relationships/hyperlink" Target="https://www.bing.com/images/search?form=xlimg&amp;q=Libreville" TargetMode="External"/><Relationship Id="rId679" Type="http://schemas.openxmlformats.org/officeDocument/2006/relationships/hyperlink" Target="https://www.bing.com/th?id=OSK.ffaa47f2f4e92fa19bdb4953fe6f287a&amp;qlt=95" TargetMode="External"/><Relationship Id="rId2" Type="http://schemas.openxmlformats.org/officeDocument/2006/relationships/hyperlink" Target="https://www.bing.com/images/search?form=xlimg&amp;q=Kabul" TargetMode="External"/><Relationship Id="rId29" Type="http://schemas.openxmlformats.org/officeDocument/2006/relationships/hyperlink" Target="https://www.bing.com/th?id=OSK.ALidD41TPUssR3CAESURYd413hy7CX3QD203qxiHYek&amp;qlt=95" TargetMode="External"/><Relationship Id="rId276" Type="http://schemas.openxmlformats.org/officeDocument/2006/relationships/hyperlink" Target="https://www.bing.com/images/search?form=xlimg&amp;q=Guyana" TargetMode="External"/><Relationship Id="rId441" Type="http://schemas.openxmlformats.org/officeDocument/2006/relationships/hyperlink" Target="https://www.bing.com/th?id=OSK.9f29fb755a77bc301bc1999579ecdd64&amp;qlt=95" TargetMode="External"/><Relationship Id="rId483" Type="http://schemas.openxmlformats.org/officeDocument/2006/relationships/hyperlink" Target="https://www.bing.com/th?id=OSK.9cf87913cf6795efa28eba47240ee543&amp;qlt=95" TargetMode="External"/><Relationship Id="rId539" Type="http://schemas.openxmlformats.org/officeDocument/2006/relationships/hyperlink" Target="https://www.bing.com/th?id=OSK.b84a4a5caaf94d53f6b7b6a08e532716&amp;qlt=95" TargetMode="External"/><Relationship Id="rId690" Type="http://schemas.openxmlformats.org/officeDocument/2006/relationships/hyperlink" Target="https://www.bing.com/images/search?form=xlimg&amp;q=Uruguay" TargetMode="External"/><Relationship Id="rId704" Type="http://schemas.openxmlformats.org/officeDocument/2006/relationships/hyperlink" Target="https://www.bing.com/images/search?form=xlimg&amp;q=Vietnam" TargetMode="External"/><Relationship Id="rId40" Type="http://schemas.openxmlformats.org/officeDocument/2006/relationships/hyperlink" Target="https://www.bing.com/images/search?form=xlimg&amp;q=Baku" TargetMode="External"/><Relationship Id="rId136" Type="http://schemas.openxmlformats.org/officeDocument/2006/relationships/hyperlink" Target="https://www.bing.com/images/search?form=xlimg&amp;q=Beijing" TargetMode="External"/><Relationship Id="rId178" Type="http://schemas.openxmlformats.org/officeDocument/2006/relationships/hyperlink" Target="https://www.bing.com/images/search?form=xlimg&amp;q=Djibouti" TargetMode="External"/><Relationship Id="rId301" Type="http://schemas.openxmlformats.org/officeDocument/2006/relationships/hyperlink" Target="https://www.bing.com/th?id=OSK.afae5b2549e0090890cb6dce4ba08c46&amp;qlt=95" TargetMode="External"/><Relationship Id="rId343" Type="http://schemas.openxmlformats.org/officeDocument/2006/relationships/hyperlink" Target="https://www.bing.com/th?id=OSK.Qu9mBpAlE51rkCWXP0IQLac2oekD7nnlkm60Go17ODI&amp;qlt=95" TargetMode="External"/><Relationship Id="rId550" Type="http://schemas.openxmlformats.org/officeDocument/2006/relationships/hyperlink" Target="https://www.bing.com/images/search?form=xlimg&amp;q=S%c3%a3o%20Tom%c3%a9" TargetMode="External"/><Relationship Id="rId82" Type="http://schemas.openxmlformats.org/officeDocument/2006/relationships/hyperlink" Target="https://www.bing.com/images/search?form=xlimg&amp;q=Sarajevo" TargetMode="External"/><Relationship Id="rId203" Type="http://schemas.openxmlformats.org/officeDocument/2006/relationships/hyperlink" Target="https://www.bing.com/th?id=OSK.5e669750c84ac83b895053362e4599ce&amp;qlt=95" TargetMode="External"/><Relationship Id="rId385" Type="http://schemas.openxmlformats.org/officeDocument/2006/relationships/hyperlink" Target="https://www.bing.com/th?id=OSK.LcRMeggx03inKPTzwsb4AzxlvPrHqvGePwbrfJ4NTQI&amp;qlt=95" TargetMode="External"/><Relationship Id="rId592" Type="http://schemas.openxmlformats.org/officeDocument/2006/relationships/hyperlink" Target="https://www.bing.com/images/search?form=xlimg&amp;q=Seoul" TargetMode="External"/><Relationship Id="rId606" Type="http://schemas.openxmlformats.org/officeDocument/2006/relationships/hyperlink" Target="https://www.bing.com/images/search?form=xlimg&amp;q=Kingstown" TargetMode="External"/><Relationship Id="rId648" Type="http://schemas.openxmlformats.org/officeDocument/2006/relationships/hyperlink" Target="https://www.bing.com/images/search?form=xlimg&amp;q=Nuku%ca%bbalofa" TargetMode="External"/><Relationship Id="rId245" Type="http://schemas.openxmlformats.org/officeDocument/2006/relationships/hyperlink" Target="https://www.bing.com/th?id=OSK.a1512a61cf778ac466208259f8dc24f5&amp;qlt=95" TargetMode="External"/><Relationship Id="rId287" Type="http://schemas.openxmlformats.org/officeDocument/2006/relationships/hyperlink" Target="https://www.bing.com/th?id=OSK.V9Ct6b2Uo4yxlpB5i4rgN12yDN9zY-pClzktMqagyN0&amp;qlt=95" TargetMode="External"/><Relationship Id="rId410" Type="http://schemas.openxmlformats.org/officeDocument/2006/relationships/hyperlink" Target="https://www.bing.com/images/search?form=xlimg&amp;q=Federated%20States%20of%20Micronesia" TargetMode="External"/><Relationship Id="rId452" Type="http://schemas.openxmlformats.org/officeDocument/2006/relationships/hyperlink" Target="https://www.bing.com/images/search?form=xlimg&amp;q=Amsterdam" TargetMode="External"/><Relationship Id="rId494" Type="http://schemas.openxmlformats.org/officeDocument/2006/relationships/hyperlink" Target="https://www.bing.com/images/search?form=xlimg&amp;q=Panama" TargetMode="External"/><Relationship Id="rId508" Type="http://schemas.openxmlformats.org/officeDocument/2006/relationships/hyperlink" Target="https://www.bing.com/images/search?form=xlimg&amp;q=Manila" TargetMode="External"/><Relationship Id="rId715" Type="http://schemas.openxmlformats.org/officeDocument/2006/relationships/hyperlink" Target="https://www.bing.com/th?id=OSK.48e0416fe13b263942d8abb1ad86d0d5&amp;qlt=95" TargetMode="External"/><Relationship Id="rId105" Type="http://schemas.openxmlformats.org/officeDocument/2006/relationships/hyperlink" Target="https://www.bing.com/th?id=OSK.baa6e5c6fa646321ca97e56789fc5472&amp;qlt=95" TargetMode="External"/><Relationship Id="rId147" Type="http://schemas.openxmlformats.org/officeDocument/2006/relationships/hyperlink" Target="https://www.bing.com/th?id=OSK.c84148194f4aa5de35d1a6ab63b9ec4b&amp;qlt=95" TargetMode="External"/><Relationship Id="rId312" Type="http://schemas.openxmlformats.org/officeDocument/2006/relationships/hyperlink" Target="https://www.bing.com/images/search?form=xlimg&amp;q=Italy" TargetMode="External"/><Relationship Id="rId354" Type="http://schemas.openxmlformats.org/officeDocument/2006/relationships/hyperlink" Target="https://www.bing.com/images/search?form=xlimg&amp;q=Libya" TargetMode="External"/><Relationship Id="rId51" Type="http://schemas.openxmlformats.org/officeDocument/2006/relationships/hyperlink" Target="https://www.bing.com/th?id=OSK.ynE5Kmk-UwHgsVSJO8UFfkl4GGDvCo332FJNiHikePA&amp;qlt=95" TargetMode="External"/><Relationship Id="rId93" Type="http://schemas.openxmlformats.org/officeDocument/2006/relationships/hyperlink" Target="https://www.bing.com/th?id=OSK.de2e17a05316fa24321a95ba3bfbceb4&amp;qlt=95" TargetMode="External"/><Relationship Id="rId189" Type="http://schemas.openxmlformats.org/officeDocument/2006/relationships/hyperlink" Target="https://www.bing.com/th?id=OSK.f6b1290e9b681e4992c332311e4b1ed5&amp;qlt=95" TargetMode="External"/><Relationship Id="rId396" Type="http://schemas.openxmlformats.org/officeDocument/2006/relationships/hyperlink" Target="https://www.bing.com/images/search?form=xlimg&amp;q=Nouakchott" TargetMode="External"/><Relationship Id="rId561" Type="http://schemas.openxmlformats.org/officeDocument/2006/relationships/hyperlink" Target="https://www.bing.com/th?id=OSK.aa396bbabdb8551aef7526ee1af5ba8b&amp;qlt=95" TargetMode="External"/><Relationship Id="rId617" Type="http://schemas.openxmlformats.org/officeDocument/2006/relationships/hyperlink" Target="https://www.bing.com/th?id=OSK.c99b55cf0754f68c8604be95a595b050&amp;qlt=95" TargetMode="External"/><Relationship Id="rId659" Type="http://schemas.openxmlformats.org/officeDocument/2006/relationships/hyperlink" Target="https://www.bing.com/th?id=OSK.719d887b978059374a429170a3e1485c&amp;qlt=95" TargetMode="External"/><Relationship Id="rId214" Type="http://schemas.openxmlformats.org/officeDocument/2006/relationships/hyperlink" Target="https://www.bing.com/images/search?form=xlimg&amp;q=Tallinn" TargetMode="External"/><Relationship Id="rId256" Type="http://schemas.openxmlformats.org/officeDocument/2006/relationships/hyperlink" Target="https://www.bing.com/images/search?form=xlimg&amp;q=Greece" TargetMode="External"/><Relationship Id="rId298" Type="http://schemas.openxmlformats.org/officeDocument/2006/relationships/hyperlink" Target="https://www.bing.com/images/search?form=xlimg&amp;q=Tehran" TargetMode="External"/><Relationship Id="rId421" Type="http://schemas.openxmlformats.org/officeDocument/2006/relationships/hyperlink" Target="https://www.bing.com/th?id=OSK.e22694cdd7f986bb3ef2c0110d877bba&amp;qlt=95" TargetMode="External"/><Relationship Id="rId463" Type="http://schemas.openxmlformats.org/officeDocument/2006/relationships/hyperlink" Target="https://www.bing.com/th?id=OSK.e2c3dbad92079182e0cfc64b79c56e63&amp;qlt=95" TargetMode="External"/><Relationship Id="rId519" Type="http://schemas.openxmlformats.org/officeDocument/2006/relationships/hyperlink" Target="https://www.bing.com/th?id=OSK.9563e92e2f1c1089dcbd7f45f00ee27b&amp;qlt=95" TargetMode="External"/><Relationship Id="rId670" Type="http://schemas.openxmlformats.org/officeDocument/2006/relationships/hyperlink" Target="https://www.bing.com/images/search?form=xlimg&amp;q=Kampala" TargetMode="External"/><Relationship Id="rId116" Type="http://schemas.openxmlformats.org/officeDocument/2006/relationships/hyperlink" Target="https://www.bing.com/images/search?form=xlimg&amp;q=Yaound%c3%a9" TargetMode="External"/><Relationship Id="rId158" Type="http://schemas.openxmlformats.org/officeDocument/2006/relationships/hyperlink" Target="https://www.bing.com/images/search?form=xlimg&amp;q=Ivory%20Coast" TargetMode="External"/><Relationship Id="rId323" Type="http://schemas.openxmlformats.org/officeDocument/2006/relationships/hyperlink" Target="https://www.bing.com/th?id=OSK.32ccc3069387813a1cebca9111bc6498&amp;qlt=95" TargetMode="External"/><Relationship Id="rId530" Type="http://schemas.openxmlformats.org/officeDocument/2006/relationships/hyperlink" Target="https://www.bing.com/images/search?form=xlimg&amp;q=Kigali" TargetMode="External"/><Relationship Id="rId20" Type="http://schemas.openxmlformats.org/officeDocument/2006/relationships/hyperlink" Target="https://www.bing.com/images/search?form=xlimg&amp;q=Angola" TargetMode="External"/><Relationship Id="rId62" Type="http://schemas.openxmlformats.org/officeDocument/2006/relationships/hyperlink" Target="https://www.bing.com/images/search?form=xlimg&amp;q=City%20of%20Brussels" TargetMode="External"/><Relationship Id="rId365" Type="http://schemas.openxmlformats.org/officeDocument/2006/relationships/hyperlink" Target="https://www.bing.com/th?id=OSK.1BmcMxc0GtCt_jlMQQM5GxJ5Qz5_CF0DkVug9_c7FDY&amp;qlt=95" TargetMode="External"/><Relationship Id="rId572" Type="http://schemas.openxmlformats.org/officeDocument/2006/relationships/hyperlink" Target="https://www.bing.com/images/search?form=xlimg&amp;q=Sierra%20Leone" TargetMode="External"/><Relationship Id="rId628" Type="http://schemas.openxmlformats.org/officeDocument/2006/relationships/hyperlink" Target="https://www.bing.com/images/search?form=xlimg&amp;q=Dushanbe" TargetMode="External"/><Relationship Id="rId225" Type="http://schemas.openxmlformats.org/officeDocument/2006/relationships/hyperlink" Target="https://www.bing.com/th?id=OSK.f3a86a6401fdcd147e6cde20003aa234&amp;qlt=95" TargetMode="External"/><Relationship Id="rId267" Type="http://schemas.openxmlformats.org/officeDocument/2006/relationships/hyperlink" Target="https://www.bing.com/th?id=OSK.luRBUrFKHaBhAUXi6idCPJuJqnXnaUB530rcdoBYL50&amp;qlt=95" TargetMode="External"/><Relationship Id="rId432" Type="http://schemas.openxmlformats.org/officeDocument/2006/relationships/hyperlink" Target="https://www.bing.com/images/search?form=xlimg&amp;q=Maputo" TargetMode="External"/><Relationship Id="rId474" Type="http://schemas.openxmlformats.org/officeDocument/2006/relationships/hyperlink" Target="https://www.bing.com/images/search?form=xlimg&amp;q=Skopje" TargetMode="External"/><Relationship Id="rId127" Type="http://schemas.openxmlformats.org/officeDocument/2006/relationships/hyperlink" Target="https://www.bing.com/th?id=OSK.efee5817186348cacc1baf978079dac9&amp;qlt=95" TargetMode="External"/><Relationship Id="rId681" Type="http://schemas.openxmlformats.org/officeDocument/2006/relationships/hyperlink" Target="https://www.bing.com/th?id=OSK.3666846595b7a7ef3fd0663d5b9791f3&amp;qlt=95" TargetMode="External"/><Relationship Id="rId31" Type="http://schemas.openxmlformats.org/officeDocument/2006/relationships/hyperlink" Target="https://www.bing.com/th?id=OSK.kW9KyAvibKrnDMlT6kRL_v1lzO457FAM9Q9Ti69KTU4&amp;qlt=95" TargetMode="External"/><Relationship Id="rId73" Type="http://schemas.openxmlformats.org/officeDocument/2006/relationships/hyperlink" Target="https://www.bing.com/th?id=OSK.33917165f678462a66aa7866f771b15a&amp;qlt=95" TargetMode="External"/><Relationship Id="rId169" Type="http://schemas.openxmlformats.org/officeDocument/2006/relationships/hyperlink" Target="https://www.bing.com/th?id=OSK.ff642da83e8aefdf0fa9088654eaef86&amp;qlt=95" TargetMode="External"/><Relationship Id="rId334" Type="http://schemas.openxmlformats.org/officeDocument/2006/relationships/hyperlink" Target="https://www.bing.com/images/search?form=xlimg&amp;q=Kuwait" TargetMode="External"/><Relationship Id="rId376" Type="http://schemas.openxmlformats.org/officeDocument/2006/relationships/hyperlink" Target="https://www.bing.com/images/search?form=xlimg&amp;q=Kuala%20Lumpur" TargetMode="External"/><Relationship Id="rId541" Type="http://schemas.openxmlformats.org/officeDocument/2006/relationships/hyperlink" Target="https://www.bing.com/th?id=OSK.OB_D_QlV6Rf0Rj4PesTghNfn36tbrX7WAdr3TZO2OAE&amp;qlt=95" TargetMode="External"/><Relationship Id="rId583" Type="http://schemas.openxmlformats.org/officeDocument/2006/relationships/hyperlink" Target="https://www.bing.com/th?id=OSK.ede47cead1c2833fa16bf6560a203a05&amp;qlt=95" TargetMode="External"/><Relationship Id="rId639" Type="http://schemas.openxmlformats.org/officeDocument/2006/relationships/hyperlink" Target="https://www.bing.com/th?id=OSK.b30a989fc57288d8bd623efaceefb481&amp;qlt=95" TargetMode="External"/><Relationship Id="rId4" Type="http://schemas.openxmlformats.org/officeDocument/2006/relationships/hyperlink" Target="https://www.bing.com/images/search?form=xlimg&amp;q=Afghanistan" TargetMode="External"/><Relationship Id="rId180" Type="http://schemas.openxmlformats.org/officeDocument/2006/relationships/hyperlink" Target="https://www.bing.com/images/search?form=xlimg&amp;q=Roseau" TargetMode="External"/><Relationship Id="rId236" Type="http://schemas.openxmlformats.org/officeDocument/2006/relationships/hyperlink" Target="https://www.bing.com/images/search?form=xlimg&amp;q=Gabon" TargetMode="External"/><Relationship Id="rId278" Type="http://schemas.openxmlformats.org/officeDocument/2006/relationships/hyperlink" Target="https://www.bing.com/images/search?form=xlimg&amp;q=Port-au-Prince" TargetMode="External"/><Relationship Id="rId401" Type="http://schemas.openxmlformats.org/officeDocument/2006/relationships/hyperlink" Target="https://www.bing.com/th?id=OSK.EDIyGEDE84y3RamnSCf3LbkoTiNKb26NajoSDYpHyko&amp;qlt=95" TargetMode="External"/><Relationship Id="rId443" Type="http://schemas.openxmlformats.org/officeDocument/2006/relationships/hyperlink" Target="https://www.bing.com/th?id=OSK.8fd0621b24f8b27f4c7b8cd5fb23ca24&amp;qlt=95" TargetMode="External"/><Relationship Id="rId650" Type="http://schemas.openxmlformats.org/officeDocument/2006/relationships/hyperlink" Target="https://www.bing.com/images/search?form=xlimg&amp;q=Tonga" TargetMode="External"/><Relationship Id="rId303" Type="http://schemas.openxmlformats.org/officeDocument/2006/relationships/hyperlink" Target="https://www.bing.com/th?id=OSK.EaGKENylPymKR2vxwyKFWGRGtGNcLXtM8meCLdtsfYI&amp;qlt=95" TargetMode="External"/><Relationship Id="rId485" Type="http://schemas.openxmlformats.org/officeDocument/2006/relationships/hyperlink" Target="https://www.bing.com/th?id=OSK.e965f24f2ce2a4b2b55f2d2c8f816720&amp;qlt=95" TargetMode="External"/><Relationship Id="rId692" Type="http://schemas.openxmlformats.org/officeDocument/2006/relationships/hyperlink" Target="https://www.bing.com/images/search?form=xlimg&amp;q=Tashkent" TargetMode="External"/><Relationship Id="rId706" Type="http://schemas.openxmlformats.org/officeDocument/2006/relationships/hyperlink" Target="https://www.bing.com/images/search?form=xlimg&amp;q=Sanaa" TargetMode="External"/><Relationship Id="rId42" Type="http://schemas.openxmlformats.org/officeDocument/2006/relationships/hyperlink" Target="https://www.bing.com/images/search?form=xlimg&amp;q=Azerbaijan" TargetMode="External"/><Relationship Id="rId84" Type="http://schemas.openxmlformats.org/officeDocument/2006/relationships/hyperlink" Target="https://www.bing.com/images/search?form=xlimg&amp;q=Bosnia%20and%20Herzegovina" TargetMode="External"/><Relationship Id="rId138" Type="http://schemas.openxmlformats.org/officeDocument/2006/relationships/hyperlink" Target="https://www.bing.com/images/search?form=xlimg&amp;q=China" TargetMode="External"/><Relationship Id="rId345" Type="http://schemas.openxmlformats.org/officeDocument/2006/relationships/hyperlink" Target="https://www.bing.com/th?id=OSK.52b50b991be34f26448f5a554a670fff&amp;qlt=95" TargetMode="External"/><Relationship Id="rId387" Type="http://schemas.openxmlformats.org/officeDocument/2006/relationships/hyperlink" Target="https://www.bing.com/th?id=OSK.5048b4765867a982bffb068a4bc09093&amp;qlt=95" TargetMode="External"/><Relationship Id="rId510" Type="http://schemas.openxmlformats.org/officeDocument/2006/relationships/hyperlink" Target="https://www.bing.com/images/search?form=xlimg&amp;q=Philippines" TargetMode="External"/><Relationship Id="rId552" Type="http://schemas.openxmlformats.org/officeDocument/2006/relationships/hyperlink" Target="https://www.bing.com/images/search?form=xlimg&amp;q=S%c3%a3o%20Tom%c3%a9%20and%20Pr%c3%adncipe" TargetMode="External"/><Relationship Id="rId594" Type="http://schemas.openxmlformats.org/officeDocument/2006/relationships/hyperlink" Target="https://www.bing.com/images/search?form=xlimg&amp;q=Juba" TargetMode="External"/><Relationship Id="rId608" Type="http://schemas.openxmlformats.org/officeDocument/2006/relationships/hyperlink" Target="https://www.bing.com/images/search?form=xlimg&amp;q=Saint%20Vincent%20and%20the%20Grenadines" TargetMode="External"/><Relationship Id="rId191" Type="http://schemas.openxmlformats.org/officeDocument/2006/relationships/hyperlink" Target="https://www.bing.com/th?id=OSK.3396a9230ca21c58e53e55780e02753c&amp;qlt=95" TargetMode="External"/><Relationship Id="rId205" Type="http://schemas.openxmlformats.org/officeDocument/2006/relationships/hyperlink" Target="https://www.bing.com/th?id=OSK.10b383773c620ebfda458623c36d35fb&amp;qlt=95" TargetMode="External"/><Relationship Id="rId247" Type="http://schemas.openxmlformats.org/officeDocument/2006/relationships/hyperlink" Target="https://www.bing.com/th?id=OSK.7_iYqjXftHmThTCYlh51zbqPoNnoe4Qk7UaH59Ba1Z0&amp;qlt=95" TargetMode="External"/><Relationship Id="rId412" Type="http://schemas.openxmlformats.org/officeDocument/2006/relationships/hyperlink" Target="https://www.bing.com/images/search?form=xlimg&amp;q=Chi%c8%99in%c4%83u" TargetMode="External"/><Relationship Id="rId107" Type="http://schemas.openxmlformats.org/officeDocument/2006/relationships/hyperlink" Target="https://www.bing.com/th?id=OSK.c267d9f35caedd91a2d2923d69ac954a&amp;qlt=95" TargetMode="External"/><Relationship Id="rId289" Type="http://schemas.openxmlformats.org/officeDocument/2006/relationships/hyperlink" Target="https://www.bing.com/th?id=OSK.e5b320d70c33bc0a2663783f56ee78ef&amp;qlt=95" TargetMode="External"/><Relationship Id="rId454" Type="http://schemas.openxmlformats.org/officeDocument/2006/relationships/hyperlink" Target="https://www.bing.com/images/search?form=xlimg&amp;q=Wellington" TargetMode="External"/><Relationship Id="rId496" Type="http://schemas.openxmlformats.org/officeDocument/2006/relationships/hyperlink" Target="https://www.bing.com/images/search?form=xlimg&amp;q=Port%20Moresby" TargetMode="External"/><Relationship Id="rId661" Type="http://schemas.openxmlformats.org/officeDocument/2006/relationships/hyperlink" Target="https://www.bing.com/th?id=OSK.b7716891248bb560b9089893173a68cc&amp;qlt=95" TargetMode="External"/><Relationship Id="rId11" Type="http://schemas.openxmlformats.org/officeDocument/2006/relationships/hyperlink" Target="https://www.bing.com/th?id=OSK.316f58a16f5641ca1e7305b18ee3e197&amp;qlt=95" TargetMode="External"/><Relationship Id="rId53" Type="http://schemas.openxmlformats.org/officeDocument/2006/relationships/hyperlink" Target="https://www.bing.com/th?id=OSK.98259956416f6350a71f0e4ca56e97c8&amp;qlt=95" TargetMode="External"/><Relationship Id="rId149" Type="http://schemas.openxmlformats.org/officeDocument/2006/relationships/hyperlink" Target="https://www.bing.com/th?id=OSK.V5uIP_K97jiTEyi_a433miHWuy5ypMA8blibQQdsljU&amp;qlt=95" TargetMode="External"/><Relationship Id="rId314" Type="http://schemas.openxmlformats.org/officeDocument/2006/relationships/hyperlink" Target="https://www.bing.com/images/search?form=xlimg&amp;q=Kingston,%20Jamaica" TargetMode="External"/><Relationship Id="rId356" Type="http://schemas.openxmlformats.org/officeDocument/2006/relationships/hyperlink" Target="https://www.bing.com/images/search?form=xlimg&amp;q=Vaduz" TargetMode="External"/><Relationship Id="rId398" Type="http://schemas.openxmlformats.org/officeDocument/2006/relationships/hyperlink" Target="https://www.bing.com/images/search?form=xlimg&amp;q=Mauritania" TargetMode="External"/><Relationship Id="rId521" Type="http://schemas.openxmlformats.org/officeDocument/2006/relationships/hyperlink" Target="https://www.bing.com/th?id=OSK.TKPSvA-OAW5BarXuVnMs5lQ98P7sJ7maF0Rpbm4vILE&amp;qlt=95" TargetMode="External"/><Relationship Id="rId563" Type="http://schemas.openxmlformats.org/officeDocument/2006/relationships/hyperlink" Target="https://www.bing.com/th?id=OSK.c487ba4ced6ceb655b94fb1585b38896&amp;qlt=95" TargetMode="External"/><Relationship Id="rId619" Type="http://schemas.openxmlformats.org/officeDocument/2006/relationships/hyperlink" Target="https://www.bing.com/th?id=OSK.e3Qk7VDK3s_UJdkFUPfcNiPKTMmjgFfoGSCJzeg6YI8&amp;qlt=95" TargetMode="External"/><Relationship Id="rId95" Type="http://schemas.openxmlformats.org/officeDocument/2006/relationships/hyperlink" Target="https://www.bing.com/th?id=OSK.5b5d12c76939273f857a8a6b27f1e5e3&amp;qlt=95" TargetMode="External"/><Relationship Id="rId160" Type="http://schemas.openxmlformats.org/officeDocument/2006/relationships/hyperlink" Target="https://www.bing.com/images/search?form=xlimg&amp;q=Zagreb" TargetMode="External"/><Relationship Id="rId216" Type="http://schemas.openxmlformats.org/officeDocument/2006/relationships/hyperlink" Target="https://www.bing.com/images/search?form=xlimg&amp;q=Estonia" TargetMode="External"/><Relationship Id="rId423" Type="http://schemas.openxmlformats.org/officeDocument/2006/relationships/hyperlink" Target="https://www.bing.com/th?id=OSK.13698a8aec67952856288a970aa117dc&amp;qlt=95" TargetMode="External"/><Relationship Id="rId258" Type="http://schemas.openxmlformats.org/officeDocument/2006/relationships/hyperlink" Target="https://www.bing.com/images/search?form=xlimg&amp;q=St.%20George's,%20Grenada" TargetMode="External"/><Relationship Id="rId465" Type="http://schemas.openxmlformats.org/officeDocument/2006/relationships/hyperlink" Target="https://www.bing.com/th?id=OSK.inwO4sVreq2q0Moavjtcmb-QA6lQDhRXQiHU_rqtsJQ&amp;qlt=95" TargetMode="External"/><Relationship Id="rId630" Type="http://schemas.openxmlformats.org/officeDocument/2006/relationships/hyperlink" Target="https://www.bing.com/images/search?form=xlimg&amp;q=Tajikistan" TargetMode="External"/><Relationship Id="rId672" Type="http://schemas.openxmlformats.org/officeDocument/2006/relationships/hyperlink" Target="https://www.bing.com/images/search?form=xlimg&amp;q=Uganda" TargetMode="External"/><Relationship Id="rId22" Type="http://schemas.openxmlformats.org/officeDocument/2006/relationships/hyperlink" Target="https://www.bing.com/images/search?form=xlimg&amp;q=St.%20John's,%20Antigua%20and%20Barbuda" TargetMode="External"/><Relationship Id="rId64" Type="http://schemas.openxmlformats.org/officeDocument/2006/relationships/hyperlink" Target="https://www.bing.com/images/search?form=xlimg&amp;q=Belgium" TargetMode="External"/><Relationship Id="rId118" Type="http://schemas.openxmlformats.org/officeDocument/2006/relationships/hyperlink" Target="https://www.bing.com/images/search?form=xlimg&amp;q=Cameroon" TargetMode="External"/><Relationship Id="rId325" Type="http://schemas.openxmlformats.org/officeDocument/2006/relationships/hyperlink" Target="https://www.bing.com/th?id=OSK.f598d7357bf8d85e9450bb3e6de80fc5&amp;qlt=95" TargetMode="External"/><Relationship Id="rId367" Type="http://schemas.openxmlformats.org/officeDocument/2006/relationships/hyperlink" Target="https://www.bing.com/th?id=OSK.c6ff4c4993358b4854a553218e05786d&amp;qlt=95" TargetMode="External"/><Relationship Id="rId532" Type="http://schemas.openxmlformats.org/officeDocument/2006/relationships/hyperlink" Target="https://www.bing.com/images/search?form=xlimg&amp;q=Rwanda" TargetMode="External"/><Relationship Id="rId574" Type="http://schemas.openxmlformats.org/officeDocument/2006/relationships/hyperlink" Target="https://www.bing.com/images/search?form=xlimg&amp;q=Bratislava" TargetMode="External"/><Relationship Id="rId171" Type="http://schemas.openxmlformats.org/officeDocument/2006/relationships/hyperlink" Target="https://www.bing.com/th?id=OSK.20b781e13bc391ce9e66ee42c5e9c504&amp;qlt=95" TargetMode="External"/><Relationship Id="rId227" Type="http://schemas.openxmlformats.org/officeDocument/2006/relationships/hyperlink" Target="https://www.bing.com/th?id=OSK.ea703288926093d94f3ee0ae48dc323c&amp;qlt=95" TargetMode="External"/><Relationship Id="rId269" Type="http://schemas.openxmlformats.org/officeDocument/2006/relationships/hyperlink" Target="https://www.bing.com/th?id=OSK.63b2c9875a2e14a7a69dc296d045cf9d&amp;qlt=95" TargetMode="External"/><Relationship Id="rId434" Type="http://schemas.openxmlformats.org/officeDocument/2006/relationships/hyperlink" Target="https://www.bing.com/images/search?form=xlimg&amp;q=Mozambique" TargetMode="External"/><Relationship Id="rId476" Type="http://schemas.openxmlformats.org/officeDocument/2006/relationships/hyperlink" Target="https://www.bing.com/images/search?form=xlimg&amp;q=North%20Macedonia" TargetMode="External"/><Relationship Id="rId641" Type="http://schemas.openxmlformats.org/officeDocument/2006/relationships/hyperlink" Target="https://www.bing.com/th?id=OSK.247faa6cb35b0d0ab19cc9a50a20c3f7&amp;qlt=95" TargetMode="External"/><Relationship Id="rId683" Type="http://schemas.openxmlformats.org/officeDocument/2006/relationships/hyperlink" Target="https://www.bing.com/th?id=OSK.mO4XHwrP6yfKa7Avo1I5bKuv0yIDhsmaBtDzMrZXF_E&amp;qlt=95" TargetMode="External"/><Relationship Id="rId33" Type="http://schemas.openxmlformats.org/officeDocument/2006/relationships/hyperlink" Target="https://www.bing.com/th?id=OSK.sHvfMK59q__wFs3-6Ixyrcxq1IY3oBFCLgJMppAl-aI&amp;qlt=95" TargetMode="External"/><Relationship Id="rId129" Type="http://schemas.openxmlformats.org/officeDocument/2006/relationships/hyperlink" Target="https://www.bing.com/th?id=OSK.8m9gHrnBcUmC3AWWekXMLGl11Na4mv6wzavSpK-fP5c&amp;qlt=95" TargetMode="External"/><Relationship Id="rId280" Type="http://schemas.openxmlformats.org/officeDocument/2006/relationships/hyperlink" Target="https://www.bing.com/images/search?form=xlimg&amp;q=Haiti" TargetMode="External"/><Relationship Id="rId336" Type="http://schemas.openxmlformats.org/officeDocument/2006/relationships/hyperlink" Target="https://www.bing.com/images/search?form=xlimg&amp;q=Bishkek" TargetMode="External"/><Relationship Id="rId501" Type="http://schemas.openxmlformats.org/officeDocument/2006/relationships/hyperlink" Target="https://www.bing.com/th?id=OSK.3f2c2e35d6d20f861bc4ca4ec4fd7ae8&amp;qlt=95" TargetMode="External"/><Relationship Id="rId543" Type="http://schemas.openxmlformats.org/officeDocument/2006/relationships/hyperlink" Target="https://www.bing.com/th?id=OSK.3ebea6564e4b7edbc8b957a78f0f8d4e&amp;qlt=95" TargetMode="External"/><Relationship Id="rId75" Type="http://schemas.openxmlformats.org/officeDocument/2006/relationships/hyperlink" Target="https://www.bing.com/th?id=OSK.7e7d7c9a712e90465cb2aa6b9b69994a&amp;qlt=95" TargetMode="External"/><Relationship Id="rId140" Type="http://schemas.openxmlformats.org/officeDocument/2006/relationships/hyperlink" Target="https://www.bing.com/images/search?form=xlimg&amp;q=Bogot%c3%a1" TargetMode="External"/><Relationship Id="rId182" Type="http://schemas.openxmlformats.org/officeDocument/2006/relationships/hyperlink" Target="https://www.bing.com/images/search?form=xlimg&amp;q=Dominica" TargetMode="External"/><Relationship Id="rId378" Type="http://schemas.openxmlformats.org/officeDocument/2006/relationships/hyperlink" Target="https://www.bing.com/images/search?form=xlimg&amp;q=Malaysia" TargetMode="External"/><Relationship Id="rId403" Type="http://schemas.openxmlformats.org/officeDocument/2006/relationships/hyperlink" Target="https://www.bing.com/th?id=OSK.7RFmRXoqQSTIr0w9phfTttsce705jXAbNsQPY6jEJ-0&amp;qlt=95" TargetMode="External"/><Relationship Id="rId585" Type="http://schemas.openxmlformats.org/officeDocument/2006/relationships/hyperlink" Target="https://www.bing.com/th?id=OSK.f250f07523766045d1f84d44aa69633c&amp;qlt=95" TargetMode="External"/><Relationship Id="rId6" Type="http://schemas.openxmlformats.org/officeDocument/2006/relationships/hyperlink" Target="https://www.bing.com/images/search?form=xlimg&amp;q=Tirana" TargetMode="External"/><Relationship Id="rId238" Type="http://schemas.openxmlformats.org/officeDocument/2006/relationships/hyperlink" Target="https://www.bing.com/images/search?form=xlimg&amp;q=Banjul" TargetMode="External"/><Relationship Id="rId445" Type="http://schemas.openxmlformats.org/officeDocument/2006/relationships/hyperlink" Target="https://www.bing.com/th?id=OSK.5d1a5982f3d6830b92a8de1170d52293&amp;qlt=95" TargetMode="External"/><Relationship Id="rId487" Type="http://schemas.openxmlformats.org/officeDocument/2006/relationships/hyperlink" Target="https://www.bing.com/th?id=OSK.4131bac6d80603837b0c3740ca53c4bd&amp;qlt=95" TargetMode="External"/><Relationship Id="rId610" Type="http://schemas.openxmlformats.org/officeDocument/2006/relationships/hyperlink" Target="https://www.bing.com/images/search?form=xlimg&amp;q=Ramallah" TargetMode="External"/><Relationship Id="rId652" Type="http://schemas.openxmlformats.org/officeDocument/2006/relationships/hyperlink" Target="https://www.bing.com/images/search?form=xlimg&amp;q=Port%20of%20Spain" TargetMode="External"/><Relationship Id="rId694" Type="http://schemas.openxmlformats.org/officeDocument/2006/relationships/hyperlink" Target="https://www.bing.com/images/search?form=xlimg&amp;q=Port%20Vila" TargetMode="External"/><Relationship Id="rId708" Type="http://schemas.openxmlformats.org/officeDocument/2006/relationships/hyperlink" Target="https://www.bing.com/images/search?form=xlimg&amp;q=Yemen" TargetMode="External"/><Relationship Id="rId291" Type="http://schemas.openxmlformats.org/officeDocument/2006/relationships/hyperlink" Target="https://www.bing.com/th?id=OSK.f130d0d4a3c650c925eac8d2e7122f1d&amp;qlt=95" TargetMode="External"/><Relationship Id="rId305" Type="http://schemas.openxmlformats.org/officeDocument/2006/relationships/hyperlink" Target="https://www.bing.com/th?id=OSK.df5f1ccac0549c30279cb6f524e2c31e&amp;qlt=95" TargetMode="External"/><Relationship Id="rId347" Type="http://schemas.openxmlformats.org/officeDocument/2006/relationships/hyperlink" Target="https://www.bing.com/th?id=OSK.c608165a1b4877d6710ef59734d0800e&amp;qlt=95" TargetMode="External"/><Relationship Id="rId512" Type="http://schemas.openxmlformats.org/officeDocument/2006/relationships/hyperlink" Target="https://www.bing.com/images/search?form=xlimg&amp;q=Warsaw" TargetMode="External"/><Relationship Id="rId44" Type="http://schemas.openxmlformats.org/officeDocument/2006/relationships/hyperlink" Target="https://www.bing.com/images/search?form=xlimg&amp;q=Nassau,%20The%20Bahamas" TargetMode="External"/><Relationship Id="rId86" Type="http://schemas.openxmlformats.org/officeDocument/2006/relationships/hyperlink" Target="https://www.bing.com/images/search?form=xlimg&amp;q=Gaborone" TargetMode="External"/><Relationship Id="rId151" Type="http://schemas.openxmlformats.org/officeDocument/2006/relationships/hyperlink" Target="https://www.bing.com/th?id=OSK.b4c17a1b677ba243261d03d46cb39dfc&amp;qlt=95" TargetMode="External"/><Relationship Id="rId389" Type="http://schemas.openxmlformats.org/officeDocument/2006/relationships/hyperlink" Target="https://www.bing.com/th?id=OSK.99c028b1beae003a52d1a43ed4d4c845&amp;qlt=95" TargetMode="External"/><Relationship Id="rId554" Type="http://schemas.openxmlformats.org/officeDocument/2006/relationships/hyperlink" Target="https://www.bing.com/images/search?form=xlimg&amp;q=Riyadh" TargetMode="External"/><Relationship Id="rId596" Type="http://schemas.openxmlformats.org/officeDocument/2006/relationships/hyperlink" Target="https://www.bing.com/images/search?form=xlimg&amp;q=South%20Sudan" TargetMode="External"/><Relationship Id="rId193" Type="http://schemas.openxmlformats.org/officeDocument/2006/relationships/hyperlink" Target="https://www.bing.com/th?id=OSK.97b5f0752136838ad1c191dacb8c1eaf&amp;qlt=95" TargetMode="External"/><Relationship Id="rId207" Type="http://schemas.openxmlformats.org/officeDocument/2006/relationships/hyperlink" Target="https://www.bing.com/th?id=OSK.602bc730bf939b3f662499f0b8aa7826&amp;qlt=95" TargetMode="External"/><Relationship Id="rId249" Type="http://schemas.openxmlformats.org/officeDocument/2006/relationships/hyperlink" Target="https://www.bing.com/th?id=OSK.CCM2QaTCmPJlQorIO2o7DcV5i6Rro3q7tnYSFd-5Xp0&amp;qlt=95" TargetMode="External"/><Relationship Id="rId414" Type="http://schemas.openxmlformats.org/officeDocument/2006/relationships/hyperlink" Target="https://www.bing.com/images/search?form=xlimg&amp;q=Moldova" TargetMode="External"/><Relationship Id="rId456" Type="http://schemas.openxmlformats.org/officeDocument/2006/relationships/hyperlink" Target="https://www.bing.com/images/search?form=xlimg&amp;q=New%20Zealand" TargetMode="External"/><Relationship Id="rId498" Type="http://schemas.openxmlformats.org/officeDocument/2006/relationships/hyperlink" Target="https://www.bing.com/images/search?form=xlimg&amp;q=Papua%20New%20Guinea" TargetMode="External"/><Relationship Id="rId621" Type="http://schemas.openxmlformats.org/officeDocument/2006/relationships/hyperlink" Target="https://www.bing.com/th?id=OSK.c528044f2cf943f0747d6bbdad069650&amp;qlt=95" TargetMode="External"/><Relationship Id="rId663" Type="http://schemas.openxmlformats.org/officeDocument/2006/relationships/hyperlink" Target="https://www.bing.com/th?id=OSK.c5f048e17508b581af8aae6a4c506eb1&amp;qlt=95" TargetMode="External"/><Relationship Id="rId13" Type="http://schemas.openxmlformats.org/officeDocument/2006/relationships/hyperlink" Target="https://www.bing.com/th?id=OSK.e03064968068d5c552083d0afcde2484&amp;qlt=95" TargetMode="External"/><Relationship Id="rId109" Type="http://schemas.openxmlformats.org/officeDocument/2006/relationships/hyperlink" Target="https://www.bing.com/th?id=OSK.b10995954b549ce3637fcbf37fe63f77&amp;qlt=95" TargetMode="External"/><Relationship Id="rId260" Type="http://schemas.openxmlformats.org/officeDocument/2006/relationships/hyperlink" Target="https://www.bing.com/images/search?form=xlimg&amp;q=Grenada" TargetMode="External"/><Relationship Id="rId316" Type="http://schemas.openxmlformats.org/officeDocument/2006/relationships/hyperlink" Target="https://www.bing.com/images/search?form=xlimg&amp;q=Jamaica" TargetMode="External"/><Relationship Id="rId523" Type="http://schemas.openxmlformats.org/officeDocument/2006/relationships/hyperlink" Target="https://www.bing.com/th?id=OSK.61c087d41677b94a0d8c0aa2555ab732&amp;qlt=95" TargetMode="External"/><Relationship Id="rId55" Type="http://schemas.openxmlformats.org/officeDocument/2006/relationships/hyperlink" Target="https://www.bing.com/th?id=OSK.8cb4db97b36e5c761352b390ba30e085&amp;qlt=95" TargetMode="External"/><Relationship Id="rId97" Type="http://schemas.openxmlformats.org/officeDocument/2006/relationships/hyperlink" Target="https://www.bing.com/th?id=OSK.53cdcea0b5d99330dd769e00596ddb48&amp;qlt=95" TargetMode="External"/><Relationship Id="rId120" Type="http://schemas.openxmlformats.org/officeDocument/2006/relationships/hyperlink" Target="https://www.bing.com/images/search?form=xlimg&amp;q=Ottawa" TargetMode="External"/><Relationship Id="rId358" Type="http://schemas.openxmlformats.org/officeDocument/2006/relationships/hyperlink" Target="https://www.bing.com/images/search?form=xlimg&amp;q=Liechtenstein" TargetMode="External"/><Relationship Id="rId565" Type="http://schemas.openxmlformats.org/officeDocument/2006/relationships/hyperlink" Target="https://www.bing.com/th?id=OSK.580164351fb2c779a582b4b4946b0b0c&amp;qlt=95" TargetMode="External"/><Relationship Id="rId162" Type="http://schemas.openxmlformats.org/officeDocument/2006/relationships/hyperlink" Target="https://www.bing.com/images/search?form=xlimg&amp;q=Croatia" TargetMode="External"/><Relationship Id="rId218" Type="http://schemas.openxmlformats.org/officeDocument/2006/relationships/hyperlink" Target="https://www.bing.com/images/search?form=xlimg&amp;q=Lobamba" TargetMode="External"/><Relationship Id="rId425" Type="http://schemas.openxmlformats.org/officeDocument/2006/relationships/hyperlink" Target="https://www.bing.com/th?id=OSK.55e18930b9f4f69172095b7b3b0671f6&amp;qlt=95" TargetMode="External"/><Relationship Id="rId467" Type="http://schemas.openxmlformats.org/officeDocument/2006/relationships/hyperlink" Target="https://www.bing.com/th?id=OSK.1lDz58-30pTBlPgX6rdnEjTQIwHMDzncwKB6QGzRSaU&amp;qlt=95" TargetMode="External"/><Relationship Id="rId632" Type="http://schemas.openxmlformats.org/officeDocument/2006/relationships/hyperlink" Target="https://www.bing.com/images/search?form=xlimg&amp;q=Dodoma" TargetMode="External"/><Relationship Id="rId271" Type="http://schemas.openxmlformats.org/officeDocument/2006/relationships/hyperlink" Target="https://www.bing.com/th?id=OSK.76b793ca5ab00fad134bbcef5f17570f&amp;qlt=95" TargetMode="External"/><Relationship Id="rId674" Type="http://schemas.openxmlformats.org/officeDocument/2006/relationships/hyperlink" Target="https://www.bing.com/images/search?form=xlimg&amp;q=Kyiv" TargetMode="External"/><Relationship Id="rId24" Type="http://schemas.openxmlformats.org/officeDocument/2006/relationships/hyperlink" Target="https://www.bing.com/images/search?form=xlimg&amp;q=Antigua%20and%20Barbuda" TargetMode="External"/><Relationship Id="rId66" Type="http://schemas.openxmlformats.org/officeDocument/2006/relationships/hyperlink" Target="https://www.bing.com/images/search?form=xlimg&amp;q=Belmopan" TargetMode="External"/><Relationship Id="rId131" Type="http://schemas.openxmlformats.org/officeDocument/2006/relationships/hyperlink" Target="https://www.bing.com/th?id=OSK.tOSHYHGs-Buolznc808yhdUKx4cBIuUyjpjDEgx-X1Y&amp;qlt=95" TargetMode="External"/><Relationship Id="rId327" Type="http://schemas.openxmlformats.org/officeDocument/2006/relationships/hyperlink" Target="https://www.bing.com/th?id=OSK.4d219fdf2ba25cb712bf1c489ea3a610&amp;qlt=95" TargetMode="External"/><Relationship Id="rId369" Type="http://schemas.openxmlformats.org/officeDocument/2006/relationships/hyperlink" Target="https://www.bing.com/th?id=OSK.3e3acdb31b9553a2f3a902adc762caf9&amp;qlt=95" TargetMode="External"/><Relationship Id="rId534" Type="http://schemas.openxmlformats.org/officeDocument/2006/relationships/hyperlink" Target="https://www.bing.com/images/search?form=xlimg&amp;q=Basseterre" TargetMode="External"/><Relationship Id="rId576" Type="http://schemas.openxmlformats.org/officeDocument/2006/relationships/hyperlink" Target="https://www.bing.com/images/search?form=xlimg&amp;q=Slovakia" TargetMode="External"/><Relationship Id="rId173" Type="http://schemas.openxmlformats.org/officeDocument/2006/relationships/hyperlink" Target="https://www.bing.com/th?id=OSK.69880eae343823cab9191aea2b905c15&amp;qlt=95" TargetMode="External"/><Relationship Id="rId229" Type="http://schemas.openxmlformats.org/officeDocument/2006/relationships/hyperlink" Target="https://www.bing.com/th?id=OSK.6f397b35762e2852058e1cfc4607f893&amp;qlt=95" TargetMode="External"/><Relationship Id="rId380" Type="http://schemas.openxmlformats.org/officeDocument/2006/relationships/hyperlink" Target="https://www.bing.com/images/search?form=xlimg&amp;q=Mal%c3%a9" TargetMode="External"/><Relationship Id="rId436" Type="http://schemas.openxmlformats.org/officeDocument/2006/relationships/hyperlink" Target="https://www.bing.com/images/search?form=xlimg&amp;q=Naypyidaw" TargetMode="External"/><Relationship Id="rId601" Type="http://schemas.openxmlformats.org/officeDocument/2006/relationships/hyperlink" Target="https://www.bing.com/th?id=OSK.1765ea55f9135333ad4cda2052450a03&amp;qlt=95" TargetMode="External"/><Relationship Id="rId643" Type="http://schemas.openxmlformats.org/officeDocument/2006/relationships/hyperlink" Target="https://www.bing.com/th?id=OSK.611e678edd52b607caf57647c241896d&amp;qlt=95" TargetMode="External"/><Relationship Id="rId240" Type="http://schemas.openxmlformats.org/officeDocument/2006/relationships/hyperlink" Target="https://www.bing.com/images/search?form=xlimg&amp;q=The%20Gambia" TargetMode="External"/><Relationship Id="rId478" Type="http://schemas.openxmlformats.org/officeDocument/2006/relationships/hyperlink" Target="https://www.bing.com/images/search?form=xlimg&amp;q=Oslo" TargetMode="External"/><Relationship Id="rId685" Type="http://schemas.openxmlformats.org/officeDocument/2006/relationships/hyperlink" Target="https://www.bing.com/th?id=OSK.08d481ce2e6378c8b3492a5438438208&amp;qlt=95" TargetMode="External"/><Relationship Id="rId35" Type="http://schemas.openxmlformats.org/officeDocument/2006/relationships/hyperlink" Target="https://www.bing.com/th?id=OSK.bed9fc3690f3414a4850855fee332f1c&amp;qlt=95" TargetMode="External"/><Relationship Id="rId77" Type="http://schemas.openxmlformats.org/officeDocument/2006/relationships/hyperlink" Target="https://www.bing.com/th?id=OSK.fcc1051da5854270b3d28467a979367e&amp;qlt=95" TargetMode="External"/><Relationship Id="rId100" Type="http://schemas.openxmlformats.org/officeDocument/2006/relationships/hyperlink" Target="https://www.bing.com/images/search?form=xlimg&amp;q=Bulgaria" TargetMode="External"/><Relationship Id="rId282" Type="http://schemas.openxmlformats.org/officeDocument/2006/relationships/hyperlink" Target="https://www.bing.com/images/search?form=xlimg&amp;q=Tegucigalpa" TargetMode="External"/><Relationship Id="rId338" Type="http://schemas.openxmlformats.org/officeDocument/2006/relationships/hyperlink" Target="https://www.bing.com/images/search?form=xlimg&amp;q=Vientiane" TargetMode="External"/><Relationship Id="rId503" Type="http://schemas.openxmlformats.org/officeDocument/2006/relationships/hyperlink" Target="https://www.bing.com/th?id=OSK.VZv-z086imTV0MFLfN-VPG4r7FLwIgDnUN7LAOr3U_w&amp;qlt=95" TargetMode="External"/><Relationship Id="rId545" Type="http://schemas.openxmlformats.org/officeDocument/2006/relationships/hyperlink" Target="https://www.bing.com/th?id=OSK.Zk-T-DVYXX7RNkAr0kNgHhFqDeFLubHFLDZ9eQYDaus&amp;qlt=95" TargetMode="External"/><Relationship Id="rId587" Type="http://schemas.openxmlformats.org/officeDocument/2006/relationships/hyperlink" Target="https://www.bing.com/th?id=OSK.TRnDZ2E0225TKdywOuIXyGIQdPhBA1yNZx09PiVtt5Y&amp;qlt=95" TargetMode="External"/><Relationship Id="rId710" Type="http://schemas.openxmlformats.org/officeDocument/2006/relationships/hyperlink" Target="https://www.bing.com/images/search?form=xlimg&amp;q=Lusaka" TargetMode="External"/><Relationship Id="rId8" Type="http://schemas.openxmlformats.org/officeDocument/2006/relationships/hyperlink" Target="https://www.bing.com/images/search?form=xlimg&amp;q=Albania" TargetMode="External"/><Relationship Id="rId142" Type="http://schemas.openxmlformats.org/officeDocument/2006/relationships/hyperlink" Target="https://www.bing.com/images/search?form=xlimg&amp;q=Colombia" TargetMode="External"/><Relationship Id="rId184" Type="http://schemas.openxmlformats.org/officeDocument/2006/relationships/hyperlink" Target="https://www.bing.com/images/search?form=xlimg&amp;q=Santo%20Domingo" TargetMode="External"/><Relationship Id="rId391" Type="http://schemas.openxmlformats.org/officeDocument/2006/relationships/hyperlink" Target="https://www.bing.com/th?id=OSK.5fcbbad268e8d139d672ca630f26d8fd&amp;qlt=95" TargetMode="External"/><Relationship Id="rId405" Type="http://schemas.openxmlformats.org/officeDocument/2006/relationships/hyperlink" Target="https://www.bing.com/th?id=OSK.cf17e786b97fde4860ff0b98a404701f&amp;qlt=95" TargetMode="External"/><Relationship Id="rId447" Type="http://schemas.openxmlformats.org/officeDocument/2006/relationships/hyperlink" Target="https://www.bing.com/th?id=OSK.y7SomK6HGpjbA9GklPssJ3HvRR0FAtnjPASv7bztE2w&amp;qlt=95" TargetMode="External"/><Relationship Id="rId612" Type="http://schemas.openxmlformats.org/officeDocument/2006/relationships/hyperlink" Target="https://www.bing.com/images/search?form=xlimg&amp;q=Khartoum" TargetMode="External"/><Relationship Id="rId251" Type="http://schemas.openxmlformats.org/officeDocument/2006/relationships/hyperlink" Target="https://www.bing.com/th?id=OSK.95c88aabdfda8a843ae09480e438e76d&amp;qlt=95" TargetMode="External"/><Relationship Id="rId489" Type="http://schemas.openxmlformats.org/officeDocument/2006/relationships/hyperlink" Target="https://www.bing.com/th?id=OSK.LNADp9m9ngm3oSK0K7z5EDtN_KCj1I4IVxwBciygTyE&amp;qlt=95" TargetMode="External"/><Relationship Id="rId654" Type="http://schemas.openxmlformats.org/officeDocument/2006/relationships/hyperlink" Target="https://www.bing.com/images/search?form=xlimg&amp;q=Trinidad%20and%20Tobago" TargetMode="External"/><Relationship Id="rId696" Type="http://schemas.openxmlformats.org/officeDocument/2006/relationships/hyperlink" Target="https://www.bing.com/images/search?form=xlimg&amp;q=Vanuatu" TargetMode="External"/><Relationship Id="rId46" Type="http://schemas.openxmlformats.org/officeDocument/2006/relationships/hyperlink" Target="https://www.bing.com/images/search?form=xlimg&amp;q=The%20Bahamas" TargetMode="External"/><Relationship Id="rId293" Type="http://schemas.openxmlformats.org/officeDocument/2006/relationships/hyperlink" Target="https://www.bing.com/th?id=OSK.e9e045149ef206e69588c29837c2cdef&amp;qlt=95" TargetMode="External"/><Relationship Id="rId307" Type="http://schemas.openxmlformats.org/officeDocument/2006/relationships/hyperlink" Target="https://www.bing.com/th?id=OSK.2645723e4c6975ff4c578c04da130f2e&amp;qlt=95" TargetMode="External"/><Relationship Id="rId349" Type="http://schemas.openxmlformats.org/officeDocument/2006/relationships/hyperlink" Target="https://www.bing.com/th?id=OSK.6b6bd1ffed48204348e8ebf292f3fa94&amp;qlt=95" TargetMode="External"/><Relationship Id="rId514" Type="http://schemas.openxmlformats.org/officeDocument/2006/relationships/hyperlink" Target="https://www.bing.com/images/search?form=xlimg&amp;q=Poland" TargetMode="External"/><Relationship Id="rId556" Type="http://schemas.openxmlformats.org/officeDocument/2006/relationships/hyperlink" Target="https://www.bing.com/images/search?form=xlimg&amp;q=Saudi%20Arabia" TargetMode="External"/><Relationship Id="rId88" Type="http://schemas.openxmlformats.org/officeDocument/2006/relationships/hyperlink" Target="https://www.bing.com/images/search?form=xlimg&amp;q=Botswana" TargetMode="External"/><Relationship Id="rId111" Type="http://schemas.openxmlformats.org/officeDocument/2006/relationships/hyperlink" Target="https://www.bing.com/th?id=OSK.SXR45SXfVH53-m4NArJipCddFPSFzpgIew7Fr1OltiI&amp;qlt=95" TargetMode="External"/><Relationship Id="rId153" Type="http://schemas.openxmlformats.org/officeDocument/2006/relationships/hyperlink" Target="https://www.bing.com/th?id=OSK.gJeCTvNOFIBVadKJtyVRcViTN1SUrr5tzlDNF8aH4ko&amp;qlt=95" TargetMode="External"/><Relationship Id="rId195" Type="http://schemas.openxmlformats.org/officeDocument/2006/relationships/hyperlink" Target="https://www.bing.com/th?id=OSK.530fee800bc2b97684fd5b25023412c1&amp;qlt=95" TargetMode="External"/><Relationship Id="rId209" Type="http://schemas.openxmlformats.org/officeDocument/2006/relationships/hyperlink" Target="https://www.bing.com/th?id=OSK.dfa017168274117a7bbf0e11edd5574d&amp;qlt=95" TargetMode="External"/><Relationship Id="rId360" Type="http://schemas.openxmlformats.org/officeDocument/2006/relationships/hyperlink" Target="https://www.bing.com/images/search?form=xlimg&amp;q=Vilnius" TargetMode="External"/><Relationship Id="rId416" Type="http://schemas.openxmlformats.org/officeDocument/2006/relationships/hyperlink" Target="https://www.bing.com/images/search?form=xlimg&amp;q=Monaco%20City" TargetMode="External"/><Relationship Id="rId598" Type="http://schemas.openxmlformats.org/officeDocument/2006/relationships/hyperlink" Target="https://www.bing.com/images/search?form=xlimg&amp;q=Madrid" TargetMode="External"/><Relationship Id="rId220" Type="http://schemas.openxmlformats.org/officeDocument/2006/relationships/hyperlink" Target="https://www.bing.com/images/search?form=xlimg&amp;q=Eswatini" TargetMode="External"/><Relationship Id="rId458" Type="http://schemas.openxmlformats.org/officeDocument/2006/relationships/hyperlink" Target="https://www.bing.com/images/search?form=xlimg&amp;q=Managua" TargetMode="External"/><Relationship Id="rId623" Type="http://schemas.openxmlformats.org/officeDocument/2006/relationships/hyperlink" Target="https://www.bing.com/th?id=OSK.f4eb14ee9b3e9b97344af5261f4eecfa&amp;qlt=95" TargetMode="External"/><Relationship Id="rId665" Type="http://schemas.openxmlformats.org/officeDocument/2006/relationships/hyperlink" Target="https://www.bing.com/th?id=OSK.54e41fb3a602afa9db288ff6e418f2b5&amp;qlt=95" TargetMode="External"/><Relationship Id="rId15" Type="http://schemas.openxmlformats.org/officeDocument/2006/relationships/hyperlink" Target="https://www.bing.com/th?id=OSK.401c7fa438df85bf9db51cd267aba092&amp;qlt=95" TargetMode="External"/><Relationship Id="rId57" Type="http://schemas.openxmlformats.org/officeDocument/2006/relationships/hyperlink" Target="https://www.bing.com/th?id=OSK.7a0a131dc3ae2f3a1654906a2b0c6ec1&amp;qlt=95" TargetMode="External"/><Relationship Id="rId262" Type="http://schemas.openxmlformats.org/officeDocument/2006/relationships/hyperlink" Target="https://www.bing.com/images/search?form=xlimg&amp;q=Guatemala%20City" TargetMode="External"/><Relationship Id="rId318" Type="http://schemas.openxmlformats.org/officeDocument/2006/relationships/hyperlink" Target="https://www.bing.com/images/search?form=xlimg&amp;q=Tokyo" TargetMode="External"/><Relationship Id="rId525" Type="http://schemas.openxmlformats.org/officeDocument/2006/relationships/hyperlink" Target="https://www.bing.com/th?id=OSK.6b17e29582309b03c29fdd07b491266c&amp;qlt=95" TargetMode="External"/><Relationship Id="rId567" Type="http://schemas.openxmlformats.org/officeDocument/2006/relationships/hyperlink" Target="https://www.bing.com/th?id=OSK.ljNl0oWNJzuDnfkeG13wyiykWTzXRgDIr3ZtPQyxM_k&amp;qlt=95" TargetMode="External"/><Relationship Id="rId99" Type="http://schemas.openxmlformats.org/officeDocument/2006/relationships/hyperlink" Target="https://www.bing.com/th?id=OSK.54UFu-6T1b9DfU9KTfqEHizHE2tCDjdkjR2bduk3q9c&amp;qlt=95" TargetMode="External"/><Relationship Id="rId122" Type="http://schemas.openxmlformats.org/officeDocument/2006/relationships/hyperlink" Target="https://www.bing.com/images/search?form=xlimg&amp;q=Canada" TargetMode="External"/><Relationship Id="rId164" Type="http://schemas.openxmlformats.org/officeDocument/2006/relationships/hyperlink" Target="https://www.bing.com/images/search?form=xlimg&amp;q=Havana" TargetMode="External"/><Relationship Id="rId371" Type="http://schemas.openxmlformats.org/officeDocument/2006/relationships/hyperlink" Target="https://www.bing.com/th?id=OSK.9016b501cc62ec052b26dd7e8939b2b2&amp;qlt=95" TargetMode="External"/><Relationship Id="rId427" Type="http://schemas.openxmlformats.org/officeDocument/2006/relationships/hyperlink" Target="https://www.bing.com/th?id=OSK.bc9068c1688e9e45df9c8d658090f135&amp;qlt=95" TargetMode="External"/><Relationship Id="rId469" Type="http://schemas.openxmlformats.org/officeDocument/2006/relationships/hyperlink" Target="https://www.bing.com/th?id=OSK.eacbef166f7545ceb7b33ab350aab03d&amp;qlt=95" TargetMode="External"/><Relationship Id="rId634" Type="http://schemas.openxmlformats.org/officeDocument/2006/relationships/hyperlink" Target="https://www.bing.com/images/search?form=xlimg&amp;q=Tanzania" TargetMode="External"/><Relationship Id="rId676" Type="http://schemas.openxmlformats.org/officeDocument/2006/relationships/hyperlink" Target="https://www.bing.com/images/search?form=xlimg&amp;q=Ukraine" TargetMode="External"/><Relationship Id="rId26" Type="http://schemas.openxmlformats.org/officeDocument/2006/relationships/hyperlink" Target="https://www.bing.com/images/search?form=xlimg&amp;q=Buenos%20Aires" TargetMode="External"/><Relationship Id="rId231" Type="http://schemas.openxmlformats.org/officeDocument/2006/relationships/hyperlink" Target="https://www.bing.com/th?id=OSK.IJoB2IAflCzjheZJfaz5mfzEWw5jRcoWEgDQz1yU2Yk&amp;qlt=95" TargetMode="External"/><Relationship Id="rId273" Type="http://schemas.openxmlformats.org/officeDocument/2006/relationships/hyperlink" Target="https://www.bing.com/th?id=OSK.cdc94d535020ea27cc9b03df0c1892a7&amp;qlt=95" TargetMode="External"/><Relationship Id="rId329" Type="http://schemas.openxmlformats.org/officeDocument/2006/relationships/hyperlink" Target="https://www.bing.com/th?id=OSK.0590cf2a1c7526a2ed1403b80a7c694b&amp;qlt=95" TargetMode="External"/><Relationship Id="rId480" Type="http://schemas.openxmlformats.org/officeDocument/2006/relationships/hyperlink" Target="https://www.bing.com/images/search?form=xlimg&amp;q=Muscat" TargetMode="External"/><Relationship Id="rId536" Type="http://schemas.openxmlformats.org/officeDocument/2006/relationships/hyperlink" Target="https://www.bing.com/images/search?form=xlimg&amp;q=Saint%20Kitts%20and%20Nevis" TargetMode="External"/><Relationship Id="rId701" Type="http://schemas.openxmlformats.org/officeDocument/2006/relationships/hyperlink" Target="https://www.bing.com/th?id=OSK.fzlFXFZ50cTw9c3psuCq-MymfzLR8LnSbW4d8_dM9Pc&amp;qlt=95" TargetMode="External"/><Relationship Id="rId68" Type="http://schemas.openxmlformats.org/officeDocument/2006/relationships/hyperlink" Target="https://www.bing.com/images/search?form=xlimg&amp;q=Belize" TargetMode="External"/><Relationship Id="rId133" Type="http://schemas.openxmlformats.org/officeDocument/2006/relationships/hyperlink" Target="https://www.bing.com/th?id=OSK.79dcfcb50bb489b9abd805e3a32b4d69&amp;qlt=95" TargetMode="External"/><Relationship Id="rId175" Type="http://schemas.openxmlformats.org/officeDocument/2006/relationships/hyperlink" Target="https://www.bing.com/th?id=OSK.80f229f40215bb0fc0b84cd6a4293333&amp;qlt=95" TargetMode="External"/><Relationship Id="rId340" Type="http://schemas.openxmlformats.org/officeDocument/2006/relationships/hyperlink" Target="https://www.bing.com/images/search?form=xlimg&amp;q=Laos" TargetMode="External"/><Relationship Id="rId578" Type="http://schemas.openxmlformats.org/officeDocument/2006/relationships/hyperlink" Target="https://www.bing.com/images/search?form=xlimg&amp;q=Ljubljana" TargetMode="External"/><Relationship Id="rId200" Type="http://schemas.openxmlformats.org/officeDocument/2006/relationships/hyperlink" Target="https://www.bing.com/images/search?form=xlimg&amp;q=San%20Salvador" TargetMode="External"/><Relationship Id="rId382" Type="http://schemas.openxmlformats.org/officeDocument/2006/relationships/hyperlink" Target="https://www.bing.com/images/search?form=xlimg&amp;q=Maldives" TargetMode="External"/><Relationship Id="rId438" Type="http://schemas.openxmlformats.org/officeDocument/2006/relationships/hyperlink" Target="https://www.bing.com/images/search?form=xlimg&amp;q=Myanmar" TargetMode="External"/><Relationship Id="rId603" Type="http://schemas.openxmlformats.org/officeDocument/2006/relationships/hyperlink" Target="https://www.bing.com/th?id=OSK.91cdd8c2c217bcec6773ddb1c496a218&amp;qlt=95" TargetMode="External"/><Relationship Id="rId645" Type="http://schemas.openxmlformats.org/officeDocument/2006/relationships/hyperlink" Target="https://www.bing.com/th?id=OSK.932ac538df84eaccfd905470a02a2df0&amp;qlt=95" TargetMode="External"/><Relationship Id="rId687" Type="http://schemas.openxmlformats.org/officeDocument/2006/relationships/hyperlink" Target="https://www.bing.com/th?id=OSK.YJ3qOQ9fojtF20ZFDNUAKW0sRgGrSSdPRY1fp2Ladns&amp;qlt=95" TargetMode="External"/><Relationship Id="rId242" Type="http://schemas.openxmlformats.org/officeDocument/2006/relationships/hyperlink" Target="https://www.bing.com/images/search?form=xlimg&amp;q=Tbilisi" TargetMode="External"/><Relationship Id="rId284" Type="http://schemas.openxmlformats.org/officeDocument/2006/relationships/hyperlink" Target="https://www.bing.com/images/search?form=xlimg&amp;q=Honduras" TargetMode="External"/><Relationship Id="rId491" Type="http://schemas.openxmlformats.org/officeDocument/2006/relationships/hyperlink" Target="https://www.bing.com/th?id=OSK.b730157a44a1c83f447a8e451780fc42&amp;qlt=95" TargetMode="External"/><Relationship Id="rId505" Type="http://schemas.openxmlformats.org/officeDocument/2006/relationships/hyperlink" Target="https://www.bing.com/th?id=OSK.S_SnfD5CBAuofnZbKugVqqGeF5OparGyChIFkOAux9M&amp;qlt=95" TargetMode="External"/><Relationship Id="rId712" Type="http://schemas.openxmlformats.org/officeDocument/2006/relationships/hyperlink" Target="https://www.bing.com/images/search?form=xlimg&amp;q=Zambia" TargetMode="External"/><Relationship Id="rId37" Type="http://schemas.openxmlformats.org/officeDocument/2006/relationships/hyperlink" Target="https://www.bing.com/th?id=OSK.3ghXMrl_JnSa1AFsYrUTwZaqRfXbYjgQtpjHYraDko4&amp;qlt=95" TargetMode="External"/><Relationship Id="rId79" Type="http://schemas.openxmlformats.org/officeDocument/2006/relationships/hyperlink" Target="https://www.bing.com/th?id=OSK.omcgCl-spnuFWzMsZau7GsljFNdv4MqbLfkdJpky0FA&amp;qlt=95" TargetMode="External"/><Relationship Id="rId102" Type="http://schemas.openxmlformats.org/officeDocument/2006/relationships/hyperlink" Target="https://www.bing.com/images/search?form=xlimg&amp;q=Ouagadougou" TargetMode="External"/><Relationship Id="rId144" Type="http://schemas.openxmlformats.org/officeDocument/2006/relationships/hyperlink" Target="https://www.bing.com/images/search?form=xlimg&amp;q=Moroni,%20Comoros" TargetMode="External"/><Relationship Id="rId547" Type="http://schemas.openxmlformats.org/officeDocument/2006/relationships/hyperlink" Target="https://www.bing.com/th?id=OSK.246f78b1ebbe95e4f39bcd7df04a3ce6&amp;qlt=95" TargetMode="External"/><Relationship Id="rId589" Type="http://schemas.openxmlformats.org/officeDocument/2006/relationships/hyperlink" Target="https://www.bing.com/th?id=OSK.5ca82a675c844491e9b0ecb82e975a85&amp;qlt=95" TargetMode="External"/><Relationship Id="rId90" Type="http://schemas.openxmlformats.org/officeDocument/2006/relationships/hyperlink" Target="https://www.bing.com/images/search?form=xlimg&amp;q=Bras%c3%adlia" TargetMode="External"/><Relationship Id="rId186" Type="http://schemas.openxmlformats.org/officeDocument/2006/relationships/hyperlink" Target="https://www.bing.com/images/search?form=xlimg&amp;q=Dominican%20Republic" TargetMode="External"/><Relationship Id="rId351" Type="http://schemas.openxmlformats.org/officeDocument/2006/relationships/hyperlink" Target="https://www.bing.com/th?id=OSK.f76d61233f343ee299a43a3238c04b23&amp;qlt=95" TargetMode="External"/><Relationship Id="rId393" Type="http://schemas.openxmlformats.org/officeDocument/2006/relationships/hyperlink" Target="https://www.bing.com/th?id=OSK.Rc1Qm5pTk2AzdVwLkeN3DhYhvHNZ8GgfGxCUCZntD64&amp;qlt=95" TargetMode="External"/><Relationship Id="rId407" Type="http://schemas.openxmlformats.org/officeDocument/2006/relationships/hyperlink" Target="https://www.bing.com/th?id=OSK.3142ea88916e911c8b885b3a404140b4&amp;qlt=95" TargetMode="External"/><Relationship Id="rId449" Type="http://schemas.openxmlformats.org/officeDocument/2006/relationships/hyperlink" Target="https://www.bing.com/th?id=OSK.eed42b6c83e37f53f33fb6943649bb48&amp;qlt=95" TargetMode="External"/><Relationship Id="rId614" Type="http://schemas.openxmlformats.org/officeDocument/2006/relationships/hyperlink" Target="https://www.bing.com/images/search?form=xlimg&amp;q=Sudan" TargetMode="External"/><Relationship Id="rId656" Type="http://schemas.openxmlformats.org/officeDocument/2006/relationships/hyperlink" Target="https://www.bing.com/images/search?form=xlimg&amp;q=Tunis" TargetMode="External"/><Relationship Id="rId211" Type="http://schemas.openxmlformats.org/officeDocument/2006/relationships/hyperlink" Target="https://www.bing.com/th?id=OSK.Ecc9bIvkakddZE_t0FCyUxExUJXrKjXgUv9qY0hk9Uw&amp;qlt=95" TargetMode="External"/><Relationship Id="rId253" Type="http://schemas.openxmlformats.org/officeDocument/2006/relationships/hyperlink" Target="https://www.bing.com/th?id=OSK.79wEVG4D-Z3v6_Tt8tnlClCf5ZXF5l7fq42fpqiShQo&amp;qlt=95" TargetMode="External"/><Relationship Id="rId295" Type="http://schemas.openxmlformats.org/officeDocument/2006/relationships/hyperlink" Target="https://www.bing.com/th?id=OSK.Zl2rYbEOa6RnR5PxgY7VLDcsFkfskAZrZiNUjyMAlyM&amp;qlt=95" TargetMode="External"/><Relationship Id="rId309" Type="http://schemas.openxmlformats.org/officeDocument/2006/relationships/hyperlink" Target="https://www.bing.com/th?id=OSK.54ba4c8c5319b233d595ced38fbabcd1&amp;qlt=95" TargetMode="External"/><Relationship Id="rId460" Type="http://schemas.openxmlformats.org/officeDocument/2006/relationships/hyperlink" Target="https://www.bing.com/images/search?form=xlimg&amp;q=Nicaragua" TargetMode="External"/><Relationship Id="rId516" Type="http://schemas.openxmlformats.org/officeDocument/2006/relationships/hyperlink" Target="https://www.bing.com/images/search?form=xlimg&amp;q=Lisbon" TargetMode="External"/><Relationship Id="rId698" Type="http://schemas.openxmlformats.org/officeDocument/2006/relationships/hyperlink" Target="https://www.bing.com/images/search?form=xlimg&amp;q=Caracas" TargetMode="External"/><Relationship Id="rId48" Type="http://schemas.openxmlformats.org/officeDocument/2006/relationships/hyperlink" Target="https://www.bing.com/images/search?form=xlimg&amp;q=Manama" TargetMode="External"/><Relationship Id="rId113" Type="http://schemas.openxmlformats.org/officeDocument/2006/relationships/hyperlink" Target="https://www.bing.com/th?id=OSK.19ee5d539fc931e7549429c7f08cf16c&amp;qlt=95" TargetMode="External"/><Relationship Id="rId320" Type="http://schemas.openxmlformats.org/officeDocument/2006/relationships/hyperlink" Target="https://www.bing.com/images/search?form=xlimg&amp;q=Japan" TargetMode="External"/><Relationship Id="rId558" Type="http://schemas.openxmlformats.org/officeDocument/2006/relationships/hyperlink" Target="https://www.bing.com/images/search?form=xlimg&amp;q=Dakar" TargetMode="External"/><Relationship Id="rId155" Type="http://schemas.openxmlformats.org/officeDocument/2006/relationships/hyperlink" Target="https://www.bing.com/th?id=OSK.703600f14194b217b00aae355b455a18&amp;qlt=95" TargetMode="External"/><Relationship Id="rId197" Type="http://schemas.openxmlformats.org/officeDocument/2006/relationships/hyperlink" Target="https://www.bing.com/th?id=OSK.cd87a340e69c67ee5da36d9903955518&amp;qlt=95" TargetMode="External"/><Relationship Id="rId362" Type="http://schemas.openxmlformats.org/officeDocument/2006/relationships/hyperlink" Target="https://www.bing.com/images/search?form=xlimg&amp;q=Lithuania" TargetMode="External"/><Relationship Id="rId418" Type="http://schemas.openxmlformats.org/officeDocument/2006/relationships/hyperlink" Target="https://www.bing.com/images/search?form=xlimg&amp;q=Monaco" TargetMode="External"/><Relationship Id="rId625" Type="http://schemas.openxmlformats.org/officeDocument/2006/relationships/hyperlink" Target="https://www.bing.com/th?id=OSK.2f5a96f021639ebc1421c080994ce2c7&amp;qlt=95" TargetMode="External"/><Relationship Id="rId222" Type="http://schemas.openxmlformats.org/officeDocument/2006/relationships/hyperlink" Target="https://www.bing.com/images/search?form=xlimg&amp;q=Suva" TargetMode="External"/><Relationship Id="rId264" Type="http://schemas.openxmlformats.org/officeDocument/2006/relationships/hyperlink" Target="https://www.bing.com/images/search?form=xlimg&amp;q=Guatemala" TargetMode="External"/><Relationship Id="rId471" Type="http://schemas.openxmlformats.org/officeDocument/2006/relationships/hyperlink" Target="https://www.bing.com/th?id=OSK.c224c44215953502f78d61b92b10e01b&amp;qlt=95" TargetMode="External"/><Relationship Id="rId667" Type="http://schemas.openxmlformats.org/officeDocument/2006/relationships/hyperlink" Target="https://www.bing.com/th?id=OSK.73b74397e03b01d704713e78a3c5d314&amp;qlt=95" TargetMode="External"/><Relationship Id="rId17" Type="http://schemas.openxmlformats.org/officeDocument/2006/relationships/hyperlink" Target="https://www.bing.com/th?id=OSK.97cf8240afea7f36d3fdbb4016d2ae06&amp;qlt=95" TargetMode="External"/><Relationship Id="rId59" Type="http://schemas.openxmlformats.org/officeDocument/2006/relationships/hyperlink" Target="https://www.bing.com/th?id=OSK.0b773f0b6aa7867b404d158c59fa6e49&amp;qlt=95" TargetMode="External"/><Relationship Id="rId124" Type="http://schemas.openxmlformats.org/officeDocument/2006/relationships/hyperlink" Target="https://www.bing.com/images/search?form=xlimg&amp;q=Bangui" TargetMode="External"/><Relationship Id="rId527" Type="http://schemas.openxmlformats.org/officeDocument/2006/relationships/hyperlink" Target="https://www.bing.com/th?id=OSK.-vv9GBngWnUSPvi3oyl0yHQjBgdeoIaih8KMBshpXcM&amp;qlt=95" TargetMode="External"/><Relationship Id="rId569" Type="http://schemas.openxmlformats.org/officeDocument/2006/relationships/hyperlink" Target="https://www.bing.com/th?id=OSK.3317a2e32e693820ad44ce3c0d546e6b&amp;qlt=95" TargetMode="External"/><Relationship Id="rId70" Type="http://schemas.openxmlformats.org/officeDocument/2006/relationships/hyperlink" Target="https://www.bing.com/images/search?form=xlimg&amp;q=Porto-Novo" TargetMode="External"/><Relationship Id="rId166" Type="http://schemas.openxmlformats.org/officeDocument/2006/relationships/hyperlink" Target="https://www.bing.com/images/search?form=xlimg&amp;q=Cuba" TargetMode="External"/><Relationship Id="rId331" Type="http://schemas.openxmlformats.org/officeDocument/2006/relationships/hyperlink" Target="https://www.bing.com/th?id=OSK.6aa3f686d545f89caefb52f67a452350&amp;qlt=95" TargetMode="External"/><Relationship Id="rId373" Type="http://schemas.openxmlformats.org/officeDocument/2006/relationships/hyperlink" Target="https://www.bing.com/th?id=OSK.ca6f2d89ccaf37336ed80137ab5b9516&amp;qlt=95" TargetMode="External"/><Relationship Id="rId429" Type="http://schemas.openxmlformats.org/officeDocument/2006/relationships/hyperlink" Target="https://www.bing.com/th?id=OSK.6d045ff0fc33a1c5f73e9eee1111d044&amp;qlt=95" TargetMode="External"/><Relationship Id="rId580" Type="http://schemas.openxmlformats.org/officeDocument/2006/relationships/hyperlink" Target="https://www.bing.com/images/search?form=xlimg&amp;q=Honiara" TargetMode="External"/><Relationship Id="rId636" Type="http://schemas.openxmlformats.org/officeDocument/2006/relationships/hyperlink" Target="https://www.bing.com/images/search?form=xlimg&amp;q=Bangkok" TargetMode="External"/><Relationship Id="rId1" Type="http://schemas.openxmlformats.org/officeDocument/2006/relationships/hyperlink" Target="https://www.bing.com/th?id=OSK.ccd5584b4b30a02d195eba9a7ffc9b3a&amp;qlt=95" TargetMode="External"/><Relationship Id="rId233" Type="http://schemas.openxmlformats.org/officeDocument/2006/relationships/hyperlink" Target="https://www.bing.com/th?id=OSK.bf118f8c50344419c362b72d97c68462&amp;qlt=95" TargetMode="External"/><Relationship Id="rId440" Type="http://schemas.openxmlformats.org/officeDocument/2006/relationships/hyperlink" Target="https://www.bing.com/images/search?form=xlimg&amp;q=Windhoek" TargetMode="External"/><Relationship Id="rId678" Type="http://schemas.openxmlformats.org/officeDocument/2006/relationships/hyperlink" Target="https://www.bing.com/images/search?form=xlimg&amp;q=Abu%20Dhabi" TargetMode="External"/><Relationship Id="rId28" Type="http://schemas.openxmlformats.org/officeDocument/2006/relationships/hyperlink" Target="https://www.bing.com/images/search?form=xlimg&amp;q=Argentina" TargetMode="External"/><Relationship Id="rId275" Type="http://schemas.openxmlformats.org/officeDocument/2006/relationships/hyperlink" Target="https://www.bing.com/th?id=OSK.5baed4d046ef713af0029cc83907841e&amp;qlt=95" TargetMode="External"/><Relationship Id="rId300" Type="http://schemas.openxmlformats.org/officeDocument/2006/relationships/hyperlink" Target="https://www.bing.com/images/search?form=xlimg&amp;q=Baghdad" TargetMode="External"/><Relationship Id="rId482" Type="http://schemas.openxmlformats.org/officeDocument/2006/relationships/hyperlink" Target="https://www.bing.com/images/search?form=xlimg&amp;q=Oman" TargetMode="External"/><Relationship Id="rId538" Type="http://schemas.openxmlformats.org/officeDocument/2006/relationships/hyperlink" Target="https://www.bing.com/images/search?form=xlimg&amp;q=Castries" TargetMode="External"/><Relationship Id="rId703" Type="http://schemas.openxmlformats.org/officeDocument/2006/relationships/hyperlink" Target="https://www.bing.com/th?id=OSK.767fb18401935a96730aaba9da627b58&amp;qlt=95" TargetMode="External"/><Relationship Id="rId81" Type="http://schemas.openxmlformats.org/officeDocument/2006/relationships/hyperlink" Target="https://www.bing.com/th?id=OSK.640d0ce853a1d6866d1b78cbc51dd93f&amp;qlt=95" TargetMode="External"/><Relationship Id="rId135" Type="http://schemas.openxmlformats.org/officeDocument/2006/relationships/hyperlink" Target="https://www.bing.com/th?id=OSK.f9798cea612a5c65e43ca4400b2a7acb&amp;qlt=95" TargetMode="External"/><Relationship Id="rId177" Type="http://schemas.openxmlformats.org/officeDocument/2006/relationships/hyperlink" Target="https://www.bing.com/th?id=OSK.cfa60b3b7dd4347d8f42cb3080ee16f3&amp;qlt=95" TargetMode="External"/><Relationship Id="rId342" Type="http://schemas.openxmlformats.org/officeDocument/2006/relationships/hyperlink" Target="https://www.bing.com/images/search?form=xlimg&amp;q=Riga" TargetMode="External"/><Relationship Id="rId384" Type="http://schemas.openxmlformats.org/officeDocument/2006/relationships/hyperlink" Target="https://www.bing.com/images/search?form=xlimg&amp;q=Bamako" TargetMode="External"/><Relationship Id="rId591" Type="http://schemas.openxmlformats.org/officeDocument/2006/relationships/hyperlink" Target="https://www.bing.com/th?id=OSK.PqVpdKr4iW62MkTkxfsH1jgYedNjwNX5iQ2nikQw4cE&amp;qlt=95" TargetMode="External"/><Relationship Id="rId605" Type="http://schemas.openxmlformats.org/officeDocument/2006/relationships/hyperlink" Target="https://www.bing.com/th?id=OSK.fb67f07c957be49c91f0cddfd7fb504b&amp;qlt=95" TargetMode="External"/><Relationship Id="rId202" Type="http://schemas.openxmlformats.org/officeDocument/2006/relationships/hyperlink" Target="https://www.bing.com/images/search?form=xlimg&amp;q=El%20Salvador" TargetMode="External"/><Relationship Id="rId244" Type="http://schemas.openxmlformats.org/officeDocument/2006/relationships/hyperlink" Target="https://www.bing.com/images/search?form=xlimg&amp;q=Georgia%20(country)" TargetMode="External"/><Relationship Id="rId647" Type="http://schemas.openxmlformats.org/officeDocument/2006/relationships/hyperlink" Target="https://www.bing.com/th?id=OSK.NJ6O0ikHeQc4OCb2D6qtnf2QXTOC1QHz3vcevULCZC4&amp;qlt=95" TargetMode="External"/><Relationship Id="rId689" Type="http://schemas.openxmlformats.org/officeDocument/2006/relationships/hyperlink" Target="https://www.bing.com/th?id=OSK.7ea08d999100e33f03f970c4c3a5b798&amp;qlt=95" TargetMode="External"/><Relationship Id="rId39" Type="http://schemas.openxmlformats.org/officeDocument/2006/relationships/hyperlink" Target="https://www.bing.com/th?id=OSK.Ii54fBNXOxFp7Wl-ixqjRZ4y1iVuacBPh-HRqPwv4rc&amp;qlt=95" TargetMode="External"/><Relationship Id="rId286" Type="http://schemas.openxmlformats.org/officeDocument/2006/relationships/hyperlink" Target="https://www.bing.com/images/search?form=xlimg&amp;q=Budapest" TargetMode="External"/><Relationship Id="rId451" Type="http://schemas.openxmlformats.org/officeDocument/2006/relationships/hyperlink" Target="https://www.bing.com/th?id=OSK.15f9b0b50ebfafda555c2959c080af5a&amp;qlt=95" TargetMode="External"/><Relationship Id="rId493" Type="http://schemas.openxmlformats.org/officeDocument/2006/relationships/hyperlink" Target="https://www.bing.com/th?id=OSK.4b54a773b13f1918eeb48f0792a7914b&amp;qlt=95" TargetMode="External"/><Relationship Id="rId507" Type="http://schemas.openxmlformats.org/officeDocument/2006/relationships/hyperlink" Target="https://www.bing.com/th?id=OSK.eaJhf_9EP0WfaDSVB9fyqpoWi0pivNR_we1a-BvJIZ0&amp;qlt=95" TargetMode="External"/><Relationship Id="rId549" Type="http://schemas.openxmlformats.org/officeDocument/2006/relationships/hyperlink" Target="https://www.bing.com/th?id=OSK.f96ce7f6a22513b84299d747b1fcac25&amp;qlt=95" TargetMode="External"/><Relationship Id="rId714" Type="http://schemas.openxmlformats.org/officeDocument/2006/relationships/hyperlink" Target="https://www.bing.com/images/search?form=xlimg&amp;q=Harare" TargetMode="External"/><Relationship Id="rId50" Type="http://schemas.openxmlformats.org/officeDocument/2006/relationships/hyperlink" Target="https://www.bing.com/images/search?form=xlimg&amp;q=Dhaka" TargetMode="External"/><Relationship Id="rId104" Type="http://schemas.openxmlformats.org/officeDocument/2006/relationships/hyperlink" Target="https://www.bing.com/images/search?form=xlimg&amp;q=Gitega" TargetMode="External"/><Relationship Id="rId146" Type="http://schemas.openxmlformats.org/officeDocument/2006/relationships/hyperlink" Target="https://www.bing.com/images/search?form=xlimg&amp;q=Comoros" TargetMode="External"/><Relationship Id="rId188" Type="http://schemas.openxmlformats.org/officeDocument/2006/relationships/hyperlink" Target="https://www.bing.com/images/search?form=xlimg&amp;q=Kinshasa" TargetMode="External"/><Relationship Id="rId311" Type="http://schemas.openxmlformats.org/officeDocument/2006/relationships/hyperlink" Target="https://www.bing.com/th?id=OSK.YyStd3n6FeCyDWZVKn54i8IqezKRsFpq7XThd1PUiDk&amp;qlt=95" TargetMode="External"/><Relationship Id="rId353" Type="http://schemas.openxmlformats.org/officeDocument/2006/relationships/hyperlink" Target="https://www.bing.com/th?id=OSK.fb4d51ce3b3c5a41b4f906a3da0010c7&amp;qlt=95" TargetMode="External"/><Relationship Id="rId395" Type="http://schemas.openxmlformats.org/officeDocument/2006/relationships/hyperlink" Target="https://www.bing.com/th?id=OSK.87abceb7fcdb2692022a5d65f0956bdb&amp;qlt=95" TargetMode="External"/><Relationship Id="rId409" Type="http://schemas.openxmlformats.org/officeDocument/2006/relationships/hyperlink" Target="https://www.bing.com/th?id=OSK.040aff26ac57d83856e2f846c0472874&amp;qlt=95" TargetMode="External"/><Relationship Id="rId560" Type="http://schemas.openxmlformats.org/officeDocument/2006/relationships/hyperlink" Target="https://www.bing.com/images/search?form=xlimg&amp;q=Senegal" TargetMode="External"/><Relationship Id="rId92" Type="http://schemas.openxmlformats.org/officeDocument/2006/relationships/hyperlink" Target="https://www.bing.com/images/search?form=xlimg&amp;q=Brazil" TargetMode="External"/><Relationship Id="rId213" Type="http://schemas.openxmlformats.org/officeDocument/2006/relationships/hyperlink" Target="https://www.bing.com/th?id=OSK.b96274f0f82a91ecf3943b52bb636a3c&amp;qlt=95" TargetMode="External"/><Relationship Id="rId420" Type="http://schemas.openxmlformats.org/officeDocument/2006/relationships/hyperlink" Target="https://www.bing.com/images/search?form=xlimg&amp;q=Ulaanbaatar" TargetMode="External"/><Relationship Id="rId616" Type="http://schemas.openxmlformats.org/officeDocument/2006/relationships/hyperlink" Target="https://www.bing.com/images/search?form=xlimg&amp;q=Paramaribo" TargetMode="External"/><Relationship Id="rId658" Type="http://schemas.openxmlformats.org/officeDocument/2006/relationships/hyperlink" Target="https://www.bing.com/images/search?form=xlimg&amp;q=Tunisia" TargetMode="External"/><Relationship Id="rId255" Type="http://schemas.openxmlformats.org/officeDocument/2006/relationships/hyperlink" Target="https://www.bing.com/th?id=OSK.37868521ec6f61afb97b5ab07c93e834&amp;qlt=95" TargetMode="External"/><Relationship Id="rId297" Type="http://schemas.openxmlformats.org/officeDocument/2006/relationships/hyperlink" Target="https://www.bing.com/th?id=OSK.0c1d34e469d90c1871c9c417c5a4a7b6&amp;qlt=95" TargetMode="External"/><Relationship Id="rId462" Type="http://schemas.openxmlformats.org/officeDocument/2006/relationships/hyperlink" Target="https://www.bing.com/images/search?form=xlimg&amp;q=Niamey" TargetMode="External"/><Relationship Id="rId518" Type="http://schemas.openxmlformats.org/officeDocument/2006/relationships/hyperlink" Target="https://www.bing.com/images/search?form=xlimg&amp;q=Portugal" TargetMode="External"/><Relationship Id="rId115" Type="http://schemas.openxmlformats.org/officeDocument/2006/relationships/hyperlink" Target="https://www.bing.com/th?id=OSK.edcf9fbb46b80607e06c9347f2f01df8&amp;qlt=95" TargetMode="External"/><Relationship Id="rId157" Type="http://schemas.openxmlformats.org/officeDocument/2006/relationships/hyperlink" Target="https://www.bing.com/th?id=OSK.CRt0S1jwh1AM6iumV3dhe8G8t6Oe-LTUAOcRL4GjmoI&amp;qlt=95" TargetMode="External"/><Relationship Id="rId322" Type="http://schemas.openxmlformats.org/officeDocument/2006/relationships/hyperlink" Target="https://www.bing.com/images/search?form=xlimg&amp;q=Amman" TargetMode="External"/><Relationship Id="rId364" Type="http://schemas.openxmlformats.org/officeDocument/2006/relationships/hyperlink" Target="https://www.bing.com/images/search?form=xlimg&amp;q=Luxembourg%20City" TargetMode="External"/><Relationship Id="rId61" Type="http://schemas.openxmlformats.org/officeDocument/2006/relationships/hyperlink" Target="https://www.bing.com/th?id=OSK.e20bc870d19994b5eaee98955229e13d&amp;qlt=95" TargetMode="External"/><Relationship Id="rId199" Type="http://schemas.openxmlformats.org/officeDocument/2006/relationships/hyperlink" Target="https://www.bing.com/th?id=OSK.XPazGtSXj2we3j2IxCk79RwVAgCe1i2Hkw8digwKF4g&amp;qlt=95" TargetMode="External"/><Relationship Id="rId571" Type="http://schemas.openxmlformats.org/officeDocument/2006/relationships/hyperlink" Target="https://www.bing.com/th?id=OSK.a-LKH8Bu_XoEXBm4VFcuRmrDKUG1dduG_8m7eGmJyLM&amp;qlt=95" TargetMode="External"/><Relationship Id="rId627" Type="http://schemas.openxmlformats.org/officeDocument/2006/relationships/hyperlink" Target="https://www.bing.com/th?id=OSK.72c304c63ccf851729a36cf78f7da845&amp;qlt=95" TargetMode="External"/><Relationship Id="rId669" Type="http://schemas.openxmlformats.org/officeDocument/2006/relationships/hyperlink" Target="https://www.bing.com/th?id=OSK.74c20f43811ecb9019b8b8816ae3d0f7&amp;qlt=95" TargetMode="External"/><Relationship Id="rId19" Type="http://schemas.openxmlformats.org/officeDocument/2006/relationships/hyperlink" Target="https://www.bing.com/th?id=OSK.28f25d8574b2f8252e105bcfcaeb2d18&amp;qlt=95" TargetMode="External"/><Relationship Id="rId224" Type="http://schemas.openxmlformats.org/officeDocument/2006/relationships/hyperlink" Target="https://www.bing.com/images/search?form=xlimg&amp;q=Fiji" TargetMode="External"/><Relationship Id="rId266" Type="http://schemas.openxmlformats.org/officeDocument/2006/relationships/hyperlink" Target="https://www.bing.com/images/search?form=xlimg&amp;q=Conakry" TargetMode="External"/><Relationship Id="rId431" Type="http://schemas.openxmlformats.org/officeDocument/2006/relationships/hyperlink" Target="https://www.bing.com/th?id=OSK.53c66f976f2ba88b7b6511281aa5fc99&amp;qlt=95" TargetMode="External"/><Relationship Id="rId473" Type="http://schemas.openxmlformats.org/officeDocument/2006/relationships/hyperlink" Target="https://www.bing.com/th?id=OSK.XbC-qinjZ7hosib7-f6KsLTXl9qwhjc8CzaB7ekaoZU&amp;qlt=95" TargetMode="External"/><Relationship Id="rId529" Type="http://schemas.openxmlformats.org/officeDocument/2006/relationships/hyperlink" Target="https://www.bing.com/th?id=OSK.9c76d3a0586783f0d0a9dbc1bfb54a64&amp;qlt=95" TargetMode="External"/><Relationship Id="rId680" Type="http://schemas.openxmlformats.org/officeDocument/2006/relationships/hyperlink" Target="https://www.bing.com/images/search?form=xlimg&amp;q=United%20Arab%20Emirates" TargetMode="External"/><Relationship Id="rId30" Type="http://schemas.openxmlformats.org/officeDocument/2006/relationships/hyperlink" Target="https://www.bing.com/images/search?form=xlimg&amp;q=Yerevan" TargetMode="External"/><Relationship Id="rId126" Type="http://schemas.openxmlformats.org/officeDocument/2006/relationships/hyperlink" Target="https://www.bing.com/images/search?form=xlimg&amp;q=Central%20African%20Republic" TargetMode="External"/><Relationship Id="rId168" Type="http://schemas.openxmlformats.org/officeDocument/2006/relationships/hyperlink" Target="https://www.bing.com/images/search?form=xlimg&amp;q=Nicosia" TargetMode="External"/><Relationship Id="rId333" Type="http://schemas.openxmlformats.org/officeDocument/2006/relationships/hyperlink" Target="https://www.bing.com/th?id=OSK.ce72c991fa8eb54e1fd5f8ff9ee41658&amp;qlt=95" TargetMode="External"/><Relationship Id="rId540" Type="http://schemas.openxmlformats.org/officeDocument/2006/relationships/hyperlink" Target="https://www.bing.com/images/search?form=xlimg&amp;q=Saint%20Lucia" TargetMode="External"/><Relationship Id="rId72" Type="http://schemas.openxmlformats.org/officeDocument/2006/relationships/hyperlink" Target="https://www.bing.com/images/search?form=xlimg&amp;q=Benin" TargetMode="External"/><Relationship Id="rId375" Type="http://schemas.openxmlformats.org/officeDocument/2006/relationships/hyperlink" Target="https://www.bing.com/th?id=OSK.e-IvvYMVbNBxYtivaAndiXz6G8ozxP48JqYpOtzAAv8&amp;qlt=95" TargetMode="External"/><Relationship Id="rId582" Type="http://schemas.openxmlformats.org/officeDocument/2006/relationships/hyperlink" Target="https://www.bing.com/images/search?form=xlimg&amp;q=Solomon%20Islands" TargetMode="External"/><Relationship Id="rId638" Type="http://schemas.openxmlformats.org/officeDocument/2006/relationships/hyperlink" Target="https://www.bing.com/images/search?form=xlimg&amp;q=Thailand" TargetMode="External"/><Relationship Id="rId3" Type="http://schemas.openxmlformats.org/officeDocument/2006/relationships/hyperlink" Target="https://www.bing.com/th?id=OSK.ff1ad505f14b93325a93dcbed11c041f&amp;qlt=95" TargetMode="External"/><Relationship Id="rId235" Type="http://schemas.openxmlformats.org/officeDocument/2006/relationships/hyperlink" Target="https://www.bing.com/th?id=OSK.rhIyj2WW0hsUl4NlGBJAu_-zi0KA8Bpyf1gU8Sa91LA&amp;qlt=95" TargetMode="External"/><Relationship Id="rId277" Type="http://schemas.openxmlformats.org/officeDocument/2006/relationships/hyperlink" Target="https://www.bing.com/th?id=OSK.23223493ead619b0de486148e6b17804&amp;qlt=95" TargetMode="External"/><Relationship Id="rId400" Type="http://schemas.openxmlformats.org/officeDocument/2006/relationships/hyperlink" Target="https://www.bing.com/images/search?form=xlimg&amp;q=Port%20Louis" TargetMode="External"/><Relationship Id="rId442" Type="http://schemas.openxmlformats.org/officeDocument/2006/relationships/hyperlink" Target="https://www.bing.com/images/search?form=xlimg&amp;q=Namibia" TargetMode="External"/><Relationship Id="rId484" Type="http://schemas.openxmlformats.org/officeDocument/2006/relationships/hyperlink" Target="https://www.bing.com/images/search?form=xlimg&amp;q=Islamabad" TargetMode="External"/><Relationship Id="rId705" Type="http://schemas.openxmlformats.org/officeDocument/2006/relationships/hyperlink" Target="https://www.bing.com/th?id=OSK.IHQooTCnSGB6v3jW4y_NTEf45MCUuPqc9OIni35M4Sg&amp;qlt=95" TargetMode="External"/><Relationship Id="rId137" Type="http://schemas.openxmlformats.org/officeDocument/2006/relationships/hyperlink" Target="https://www.bing.com/th?id=OSK.0e6c478df6cde6a6638a941604998dae&amp;qlt=95" TargetMode="External"/><Relationship Id="rId302" Type="http://schemas.openxmlformats.org/officeDocument/2006/relationships/hyperlink" Target="https://www.bing.com/images/search?form=xlimg&amp;q=Dublin" TargetMode="External"/><Relationship Id="rId344" Type="http://schemas.openxmlformats.org/officeDocument/2006/relationships/hyperlink" Target="https://www.bing.com/images/search?form=xlimg&amp;q=Beirut" TargetMode="External"/><Relationship Id="rId691" Type="http://schemas.openxmlformats.org/officeDocument/2006/relationships/hyperlink" Target="https://www.bing.com/th?id=OSK.WwTVYbX3uIEXj95dyIhKkaS5T3wCxRerewKjG8ZUWQw&amp;qlt=95" TargetMode="External"/><Relationship Id="rId41" Type="http://schemas.openxmlformats.org/officeDocument/2006/relationships/hyperlink" Target="https://www.bing.com/th?id=OSK.20cf1de67a92536c8111dae53ca7812b&amp;qlt=95" TargetMode="External"/><Relationship Id="rId83" Type="http://schemas.openxmlformats.org/officeDocument/2006/relationships/hyperlink" Target="https://www.bing.com/th?id=OSK.85cffc16527c4e9b6091e4e3c80fc5e4&amp;qlt=95" TargetMode="External"/><Relationship Id="rId179" Type="http://schemas.openxmlformats.org/officeDocument/2006/relationships/hyperlink" Target="https://www.bing.com/th?id=OSK.d74fa9627b8106dbe4dfa66dc3cb0262&amp;qlt=95" TargetMode="External"/><Relationship Id="rId386" Type="http://schemas.openxmlformats.org/officeDocument/2006/relationships/hyperlink" Target="https://www.bing.com/images/search?form=xlimg&amp;q=Mali" TargetMode="External"/><Relationship Id="rId551" Type="http://schemas.openxmlformats.org/officeDocument/2006/relationships/hyperlink" Target="https://www.bing.com/th?id=OSK.eec76c0ad67c3f351e6fc949b2ac827f&amp;qlt=95" TargetMode="External"/><Relationship Id="rId593" Type="http://schemas.openxmlformats.org/officeDocument/2006/relationships/hyperlink" Target="https://www.bing.com/th?id=OSK.n695CfLRtRlwsEIi8OTw8yIAaTvkaIXV79gVUtRrZYI&amp;qlt=95" TargetMode="External"/><Relationship Id="rId607" Type="http://schemas.openxmlformats.org/officeDocument/2006/relationships/hyperlink" Target="https://www.bing.com/th?id=OSK.322ba1b2334b05382bac048c1bc3ec22&amp;qlt=95" TargetMode="External"/><Relationship Id="rId649" Type="http://schemas.openxmlformats.org/officeDocument/2006/relationships/hyperlink" Target="https://www.bing.com/th?id=OSK.da87c1cf0c6018a4d764a1a556d3f0e1&amp;qlt=95" TargetMode="External"/><Relationship Id="rId190" Type="http://schemas.openxmlformats.org/officeDocument/2006/relationships/hyperlink" Target="https://www.bing.com/images/search?form=xlimg&amp;q=Democratic%20Republic%20of%20the%20Congo" TargetMode="External"/><Relationship Id="rId204" Type="http://schemas.openxmlformats.org/officeDocument/2006/relationships/hyperlink" Target="https://www.bing.com/images/search?form=xlimg&amp;q=Ciudad%20de%20la%20Paz" TargetMode="External"/><Relationship Id="rId246" Type="http://schemas.openxmlformats.org/officeDocument/2006/relationships/hyperlink" Target="https://www.bing.com/images/search?form=xlimg&amp;q=Berlin" TargetMode="External"/><Relationship Id="rId288" Type="http://schemas.openxmlformats.org/officeDocument/2006/relationships/hyperlink" Target="https://www.bing.com/images/search?form=xlimg&amp;q=Hungary" TargetMode="External"/><Relationship Id="rId411" Type="http://schemas.openxmlformats.org/officeDocument/2006/relationships/hyperlink" Target="https://www.bing.com/th?id=OSK.6219127bd72b1fb16e7e5bfb80469154&amp;qlt=95" TargetMode="External"/><Relationship Id="rId453" Type="http://schemas.openxmlformats.org/officeDocument/2006/relationships/hyperlink" Target="https://www.bing.com/th?id=OSK.AfXxeiHuHB_24EoMWN2qVqfUuuoJAaL_fecplWU9MWQ&amp;qlt=95" TargetMode="External"/><Relationship Id="rId509" Type="http://schemas.openxmlformats.org/officeDocument/2006/relationships/hyperlink" Target="https://www.bing.com/th?id=OSK.94d547e45ab6412094898994510adb0e&amp;qlt=95" TargetMode="External"/><Relationship Id="rId660" Type="http://schemas.openxmlformats.org/officeDocument/2006/relationships/hyperlink" Target="https://www.bing.com/images/search?form=xlimg&amp;q=Ankara" TargetMode="External"/><Relationship Id="rId106" Type="http://schemas.openxmlformats.org/officeDocument/2006/relationships/hyperlink" Target="https://www.bing.com/images/search?form=xlimg&amp;q=Burundi" TargetMode="External"/><Relationship Id="rId313" Type="http://schemas.openxmlformats.org/officeDocument/2006/relationships/hyperlink" Target="https://www.bing.com/th?id=OSK.8f320107ad651e64ea2694552e307a94&amp;qlt=95" TargetMode="External"/><Relationship Id="rId495" Type="http://schemas.openxmlformats.org/officeDocument/2006/relationships/hyperlink" Target="https://www.bing.com/th?id=OSK.65aa1e947c50eab03e3046dd357deefa&amp;qlt=95" TargetMode="External"/><Relationship Id="rId716" Type="http://schemas.openxmlformats.org/officeDocument/2006/relationships/hyperlink" Target="https://www.bing.com/images/search?form=xlimg&amp;q=Zimbabwe" TargetMode="External"/><Relationship Id="rId10" Type="http://schemas.openxmlformats.org/officeDocument/2006/relationships/hyperlink" Target="https://www.bing.com/images/search?form=xlimg&amp;q=Algiers" TargetMode="External"/><Relationship Id="rId52" Type="http://schemas.openxmlformats.org/officeDocument/2006/relationships/hyperlink" Target="https://www.bing.com/images/search?form=xlimg&amp;q=Bangladesh" TargetMode="External"/><Relationship Id="rId94" Type="http://schemas.openxmlformats.org/officeDocument/2006/relationships/hyperlink" Target="https://www.bing.com/images/search?form=xlimg&amp;q=Bandar%20Seri%20Begawan" TargetMode="External"/><Relationship Id="rId148" Type="http://schemas.openxmlformats.org/officeDocument/2006/relationships/hyperlink" Target="https://www.bing.com/images/search?form=xlimg&amp;q=Brazzaville" TargetMode="External"/><Relationship Id="rId355" Type="http://schemas.openxmlformats.org/officeDocument/2006/relationships/hyperlink" Target="https://www.bing.com/th?id=OSK.d7ce9d815e3fed841bc0d80a17158116&amp;qlt=95" TargetMode="External"/><Relationship Id="rId397" Type="http://schemas.openxmlformats.org/officeDocument/2006/relationships/hyperlink" Target="https://www.bing.com/th?id=OSK.8ebdfc7443092f62beea25dfd8750072&amp;qlt=95" TargetMode="External"/><Relationship Id="rId520" Type="http://schemas.openxmlformats.org/officeDocument/2006/relationships/hyperlink" Target="https://www.bing.com/images/search?form=xlimg&amp;q=Doha" TargetMode="External"/><Relationship Id="rId562" Type="http://schemas.openxmlformats.org/officeDocument/2006/relationships/hyperlink" Target="https://www.bing.com/images/search?form=xlimg&amp;q=Belgrade" TargetMode="External"/><Relationship Id="rId618" Type="http://schemas.openxmlformats.org/officeDocument/2006/relationships/hyperlink" Target="https://www.bing.com/images/search?form=xlimg&amp;q=Suriname" TargetMode="External"/><Relationship Id="rId215" Type="http://schemas.openxmlformats.org/officeDocument/2006/relationships/hyperlink" Target="https://www.bing.com/th?id=OSK.WcDBhNg5Sj0kUcJkvRp-ZrDSosOQLIn6jWEiIOY3cPM&amp;qlt=95" TargetMode="External"/><Relationship Id="rId257" Type="http://schemas.openxmlformats.org/officeDocument/2006/relationships/hyperlink" Target="https://www.bing.com/th?id=OSK.ac0d92ac89cef52895ce9d955e6698a3&amp;qlt=95" TargetMode="External"/><Relationship Id="rId422" Type="http://schemas.openxmlformats.org/officeDocument/2006/relationships/hyperlink" Target="https://www.bing.com/images/search?form=xlimg&amp;q=Mongolia" TargetMode="External"/><Relationship Id="rId464" Type="http://schemas.openxmlformats.org/officeDocument/2006/relationships/hyperlink" Target="https://www.bing.com/images/search?form=xlimg&amp;q=Niger" TargetMode="External"/><Relationship Id="rId299" Type="http://schemas.openxmlformats.org/officeDocument/2006/relationships/hyperlink" Target="https://www.bing.com/th?id=OSK.b2feacf804cf222f1795d2e800d46e2a&amp;qlt=95" TargetMode="External"/><Relationship Id="rId63" Type="http://schemas.openxmlformats.org/officeDocument/2006/relationships/hyperlink" Target="https://www.bing.com/th?id=OSK.dQRnOlTKTXrhKm9OaxUUVBGNjKK1hL9mKy8jDit9INI&amp;qlt=95" TargetMode="External"/><Relationship Id="rId159" Type="http://schemas.openxmlformats.org/officeDocument/2006/relationships/hyperlink" Target="https://www.bing.com/th?id=OSK.87ca2bac0fe16477b57a51c32e6933a0&amp;qlt=95" TargetMode="External"/><Relationship Id="rId366" Type="http://schemas.openxmlformats.org/officeDocument/2006/relationships/hyperlink" Target="https://www.bing.com/images/search?form=xlimg&amp;q=Luxembourg" TargetMode="External"/><Relationship Id="rId573" Type="http://schemas.openxmlformats.org/officeDocument/2006/relationships/hyperlink" Target="https://www.bing.com/th?id=OSK.ab647d85fcb8cb95298698ac47550cd9&amp;qlt=95" TargetMode="External"/><Relationship Id="rId226" Type="http://schemas.openxmlformats.org/officeDocument/2006/relationships/hyperlink" Target="https://www.bing.com/images/search?form=xlimg&amp;q=Helsinki" TargetMode="External"/><Relationship Id="rId433" Type="http://schemas.openxmlformats.org/officeDocument/2006/relationships/hyperlink" Target="https://www.bing.com/th?id=OSK.989670e50ad251d79db87c50146adcce&amp;qlt=95" TargetMode="External"/><Relationship Id="rId640" Type="http://schemas.openxmlformats.org/officeDocument/2006/relationships/hyperlink" Target="https://www.bing.com/images/search?form=xlimg&amp;q=Dili" TargetMode="External"/><Relationship Id="rId74" Type="http://schemas.openxmlformats.org/officeDocument/2006/relationships/hyperlink" Target="https://www.bing.com/images/search?form=xlimg&amp;q=Thimphu" TargetMode="External"/><Relationship Id="rId377" Type="http://schemas.openxmlformats.org/officeDocument/2006/relationships/hyperlink" Target="https://www.bing.com/th?id=OSK.75c2b81210d1707ebd5a79ba71af5914&amp;qlt=95" TargetMode="External"/><Relationship Id="rId500" Type="http://schemas.openxmlformats.org/officeDocument/2006/relationships/hyperlink" Target="https://www.bing.com/images/search?form=xlimg&amp;q=Asunci%c3%b3n" TargetMode="External"/><Relationship Id="rId584" Type="http://schemas.openxmlformats.org/officeDocument/2006/relationships/hyperlink" Target="https://www.bing.com/images/search?form=xlimg&amp;q=Mogadishu" TargetMode="External"/><Relationship Id="rId5" Type="http://schemas.openxmlformats.org/officeDocument/2006/relationships/hyperlink" Target="https://www.bing.com/th?id=OSK.NIziTQZd_gz-PV8DG69WzaU2q4NiFEpVxEBQcZd4Dvg&amp;qlt=95" TargetMode="External"/><Relationship Id="rId237" Type="http://schemas.openxmlformats.org/officeDocument/2006/relationships/hyperlink" Target="https://www.bing.com/th?id=OSK.a4cebd6a56a86de73e146d125d99c451&amp;qlt=95" TargetMode="External"/><Relationship Id="rId444" Type="http://schemas.openxmlformats.org/officeDocument/2006/relationships/hyperlink" Target="https://www.bing.com/images/search?form=xlimg&amp;q=Yaren%20District" TargetMode="External"/><Relationship Id="rId651" Type="http://schemas.openxmlformats.org/officeDocument/2006/relationships/hyperlink" Target="https://www.bing.com/th?id=OSK.a797d7dbee4becbbc2b34fd2a3e1e951&amp;qlt=95" TargetMode="External"/><Relationship Id="rId290" Type="http://schemas.openxmlformats.org/officeDocument/2006/relationships/hyperlink" Target="https://www.bing.com/images/search?form=xlimg&amp;q=Reykjav%c3%adk" TargetMode="External"/><Relationship Id="rId304" Type="http://schemas.openxmlformats.org/officeDocument/2006/relationships/hyperlink" Target="https://www.bing.com/images/search?form=xlimg&amp;q=Republic%20of%20Ireland" TargetMode="External"/><Relationship Id="rId388" Type="http://schemas.openxmlformats.org/officeDocument/2006/relationships/hyperlink" Target="https://www.bing.com/images/search?form=xlimg&amp;q=Valletta" TargetMode="External"/><Relationship Id="rId511" Type="http://schemas.openxmlformats.org/officeDocument/2006/relationships/hyperlink" Target="https://www.bing.com/th?id=OSK.e3c53525eb9e09ea18720d70cc198057&amp;qlt=95" TargetMode="External"/><Relationship Id="rId609" Type="http://schemas.openxmlformats.org/officeDocument/2006/relationships/hyperlink" Target="https://www.bing.com/th?id=OSK.f893a11bca18eca729619c892f6dd935&amp;qlt=95" TargetMode="External"/><Relationship Id="rId85" Type="http://schemas.openxmlformats.org/officeDocument/2006/relationships/hyperlink" Target="https://www.bing.com/th?id=OSK.HneaWXyzxbbOCXdZp-BzuVdD0Hiuk6_7sBFD7hm69hE&amp;qlt=95" TargetMode="External"/><Relationship Id="rId150" Type="http://schemas.openxmlformats.org/officeDocument/2006/relationships/hyperlink" Target="https://www.bing.com/images/search?form=xlimg&amp;q=Republic%20of%20the%20Congo" TargetMode="External"/><Relationship Id="rId595" Type="http://schemas.openxmlformats.org/officeDocument/2006/relationships/hyperlink" Target="https://www.bing.com/th?id=OSK.bd2a569fefd12ea471208670e0e1bc94&amp;qlt=95" TargetMode="External"/><Relationship Id="rId248" Type="http://schemas.openxmlformats.org/officeDocument/2006/relationships/hyperlink" Target="https://www.bing.com/images/search?form=xlimg&amp;q=Germany" TargetMode="External"/><Relationship Id="rId455" Type="http://schemas.openxmlformats.org/officeDocument/2006/relationships/hyperlink" Target="https://www.bing.com/th?id=OSK.b6a5970ae3dca3a8d37948add590bac6&amp;qlt=95" TargetMode="External"/><Relationship Id="rId662" Type="http://schemas.openxmlformats.org/officeDocument/2006/relationships/hyperlink" Target="https://www.bing.com/images/search?form=xlimg&amp;q=Ashgabat" TargetMode="External"/><Relationship Id="rId12" Type="http://schemas.openxmlformats.org/officeDocument/2006/relationships/hyperlink" Target="https://www.bing.com/images/search?form=xlimg&amp;q=Algeria" TargetMode="External"/><Relationship Id="rId108" Type="http://schemas.openxmlformats.org/officeDocument/2006/relationships/hyperlink" Target="https://www.bing.com/images/search?form=xlimg&amp;q=Praia" TargetMode="External"/><Relationship Id="rId315" Type="http://schemas.openxmlformats.org/officeDocument/2006/relationships/hyperlink" Target="https://www.bing.com/th?id=OSK.94086dce43b799884caf1b5baa7e59d4&amp;qlt=95" TargetMode="External"/><Relationship Id="rId522" Type="http://schemas.openxmlformats.org/officeDocument/2006/relationships/hyperlink" Target="https://www.bing.com/images/search?form=xlimg&amp;q=Qatar" TargetMode="External"/><Relationship Id="rId96" Type="http://schemas.openxmlformats.org/officeDocument/2006/relationships/hyperlink" Target="https://www.bing.com/images/search?form=xlimg&amp;q=Brunei" TargetMode="External"/><Relationship Id="rId161" Type="http://schemas.openxmlformats.org/officeDocument/2006/relationships/hyperlink" Target="https://www.bing.com/th?id=OSK.909e75f79c08029f7d3305071d2c5b94&amp;qlt=95" TargetMode="External"/><Relationship Id="rId399" Type="http://schemas.openxmlformats.org/officeDocument/2006/relationships/hyperlink" Target="https://www.bing.com/th?id=OSK.f3f5537ff06387cc5921b67264754754&amp;qlt=95" TargetMode="External"/><Relationship Id="rId259" Type="http://schemas.openxmlformats.org/officeDocument/2006/relationships/hyperlink" Target="https://www.bing.com/th?id=OSK.5e63513449601751fa6a83998a4ac667&amp;qlt=95" TargetMode="External"/><Relationship Id="rId466" Type="http://schemas.openxmlformats.org/officeDocument/2006/relationships/hyperlink" Target="https://www.bing.com/images/search?form=xlimg&amp;q=Abuja" TargetMode="External"/><Relationship Id="rId673" Type="http://schemas.openxmlformats.org/officeDocument/2006/relationships/hyperlink" Target="https://www.bing.com/th?id=OSK.Qd3kzdCHJhMaNo68iPEiGU5nD5mRk2r5tEXFQaAnhSU&amp;qlt=95" TargetMode="External"/><Relationship Id="rId23" Type="http://schemas.openxmlformats.org/officeDocument/2006/relationships/hyperlink" Target="https://www.bing.com/th?id=OSK.e4e932cdac3d24d7408d7916382a29e8&amp;qlt=95" TargetMode="External"/><Relationship Id="rId119" Type="http://schemas.openxmlformats.org/officeDocument/2006/relationships/hyperlink" Target="https://www.bing.com/th?id=OSK.6b078b3c654012824008e7debb92bf03&amp;qlt=95" TargetMode="External"/><Relationship Id="rId326" Type="http://schemas.openxmlformats.org/officeDocument/2006/relationships/hyperlink" Target="https://www.bing.com/images/search?form=xlimg&amp;q=Astana" TargetMode="External"/><Relationship Id="rId533" Type="http://schemas.openxmlformats.org/officeDocument/2006/relationships/hyperlink" Target="https://www.bing.com/th?id=OSK.61ab0267a7e07f9e08cdfc499d8f0d13&amp;qlt=95" TargetMode="External"/><Relationship Id="rId172" Type="http://schemas.openxmlformats.org/officeDocument/2006/relationships/hyperlink" Target="https://www.bing.com/images/search?form=xlimg&amp;q=Prague" TargetMode="External"/><Relationship Id="rId477" Type="http://schemas.openxmlformats.org/officeDocument/2006/relationships/hyperlink" Target="https://www.bing.com/th?id=OSK.z9Qt5-YfhGE_iuS8yjtHSQEgnamj0vDu13Q_JoOm9BE&amp;qlt=95" TargetMode="External"/><Relationship Id="rId600" Type="http://schemas.openxmlformats.org/officeDocument/2006/relationships/hyperlink" Target="https://www.bing.com/images/search?form=xlimg&amp;q=Spain" TargetMode="External"/><Relationship Id="rId684" Type="http://schemas.openxmlformats.org/officeDocument/2006/relationships/hyperlink" Target="https://www.bing.com/images/search?form=xlimg&amp;q=Washington,%20D.C." TargetMode="External"/><Relationship Id="rId337" Type="http://schemas.openxmlformats.org/officeDocument/2006/relationships/hyperlink" Target="https://www.bing.com/th?id=OSK.Pd98CmtdVD1em1ofclHtAnNqCpKklYGNP1irVQnlEZs&amp;qlt=95" TargetMode="External"/><Relationship Id="rId34" Type="http://schemas.openxmlformats.org/officeDocument/2006/relationships/hyperlink" Target="https://www.bing.com/images/search?form=xlimg&amp;q=Canberra" TargetMode="External"/><Relationship Id="rId544" Type="http://schemas.openxmlformats.org/officeDocument/2006/relationships/hyperlink" Target="https://www.bing.com/images/search?form=xlimg&amp;q=Samoa" TargetMode="External"/><Relationship Id="rId183" Type="http://schemas.openxmlformats.org/officeDocument/2006/relationships/hyperlink" Target="https://www.bing.com/th?id=OSK.62f3622524d1cfd8fa97fa5d9d344b1b&amp;qlt=95" TargetMode="External"/><Relationship Id="rId390" Type="http://schemas.openxmlformats.org/officeDocument/2006/relationships/hyperlink" Target="https://www.bing.com/images/search?form=xlimg&amp;q=Malta" TargetMode="External"/><Relationship Id="rId404" Type="http://schemas.openxmlformats.org/officeDocument/2006/relationships/hyperlink" Target="https://www.bing.com/images/search?form=xlimg&amp;q=Mexico%20City" TargetMode="External"/><Relationship Id="rId611" Type="http://schemas.openxmlformats.org/officeDocument/2006/relationships/hyperlink" Target="https://www.bing.com/th?id=OSK.d70cb80e94a994c88db95c866daf80a9&amp;qlt=95" TargetMode="External"/><Relationship Id="rId250" Type="http://schemas.openxmlformats.org/officeDocument/2006/relationships/hyperlink" Target="https://www.bing.com/images/search?form=xlimg&amp;q=Accra" TargetMode="External"/><Relationship Id="rId488" Type="http://schemas.openxmlformats.org/officeDocument/2006/relationships/hyperlink" Target="https://www.bing.com/images/search?form=xlimg&amp;q=Ngerulmud" TargetMode="External"/><Relationship Id="rId695" Type="http://schemas.openxmlformats.org/officeDocument/2006/relationships/hyperlink" Target="https://www.bing.com/th?id=OSK.b7bf48b04f89c646e6afa3e8b89f10e2&amp;qlt=95" TargetMode="External"/><Relationship Id="rId709" Type="http://schemas.openxmlformats.org/officeDocument/2006/relationships/hyperlink" Target="https://www.bing.com/th?id=OSK.ea0f3de7218c03ac00a74c86dd1b368f&amp;qlt=95" TargetMode="External"/><Relationship Id="rId45" Type="http://schemas.openxmlformats.org/officeDocument/2006/relationships/hyperlink" Target="https://www.bing.com/th?id=OSK.7c9a6cdfedee2c8f1f92a4222684ab4d&amp;qlt=95" TargetMode="External"/><Relationship Id="rId110" Type="http://schemas.openxmlformats.org/officeDocument/2006/relationships/hyperlink" Target="https://www.bing.com/images/search?form=xlimg&amp;q=Cape%20Verde" TargetMode="External"/><Relationship Id="rId348" Type="http://schemas.openxmlformats.org/officeDocument/2006/relationships/hyperlink" Target="https://www.bing.com/images/search?form=xlimg&amp;q=Lesotho" TargetMode="External"/><Relationship Id="rId555" Type="http://schemas.openxmlformats.org/officeDocument/2006/relationships/hyperlink" Target="https://www.bing.com/th?id=OSK.ced05ad7f720b03979b07bac539097c8&amp;qlt=95" TargetMode="External"/><Relationship Id="rId194" Type="http://schemas.openxmlformats.org/officeDocument/2006/relationships/hyperlink" Target="https://www.bing.com/images/search?form=xlimg&amp;q=Ecuador" TargetMode="External"/><Relationship Id="rId208" Type="http://schemas.openxmlformats.org/officeDocument/2006/relationships/hyperlink" Target="https://www.bing.com/images/search?form=xlimg&amp;q=Asmara" TargetMode="External"/><Relationship Id="rId415" Type="http://schemas.openxmlformats.org/officeDocument/2006/relationships/hyperlink" Target="https://www.bing.com/th?id=OSK.c437e5b8ffccbf0fd81948a74e4f2617&amp;qlt=95" TargetMode="External"/><Relationship Id="rId622" Type="http://schemas.openxmlformats.org/officeDocument/2006/relationships/hyperlink" Target="https://www.bing.com/images/search?form=xlimg&amp;q=Bern" TargetMode="External"/><Relationship Id="rId261" Type="http://schemas.openxmlformats.org/officeDocument/2006/relationships/hyperlink" Target="https://www.bing.com/th?id=OSK.kVn_U4scKWDPTD2zeFLoDYjvxNzOSet2mxljNatfuFQ&amp;qlt=95" TargetMode="External"/><Relationship Id="rId499" Type="http://schemas.openxmlformats.org/officeDocument/2006/relationships/hyperlink" Target="https://www.bing.com/th?id=OSK.e505b6acb508534c003b865b5b0625ed&amp;qlt=95" TargetMode="External"/><Relationship Id="rId56" Type="http://schemas.openxmlformats.org/officeDocument/2006/relationships/hyperlink" Target="https://www.bing.com/images/search?form=xlimg&amp;q=Barbados" TargetMode="External"/><Relationship Id="rId359" Type="http://schemas.openxmlformats.org/officeDocument/2006/relationships/hyperlink" Target="https://www.bing.com/th?id=OSK.KoBGqXsZk-GcHsfX2IkqpE4gR7J9XOl_iUopszlqBqg&amp;qlt=95" TargetMode="External"/><Relationship Id="rId566" Type="http://schemas.openxmlformats.org/officeDocument/2006/relationships/hyperlink" Target="https://www.bing.com/images/search?form=xlimg&amp;q=Victoria,%20Seychelles" TargetMode="External"/><Relationship Id="rId121" Type="http://schemas.openxmlformats.org/officeDocument/2006/relationships/hyperlink" Target="https://www.bing.com/th?id=OSK.f2dbd079068622692d8b57832120921d&amp;qlt=95" TargetMode="External"/><Relationship Id="rId219" Type="http://schemas.openxmlformats.org/officeDocument/2006/relationships/hyperlink" Target="https://www.bing.com/th?id=OSK.614644a3d27cd5547c2b13d9f7886a4f&amp;qlt=95" TargetMode="External"/><Relationship Id="rId426" Type="http://schemas.openxmlformats.org/officeDocument/2006/relationships/hyperlink" Target="https://www.bing.com/images/search?form=xlimg&amp;q=Montenegro" TargetMode="External"/><Relationship Id="rId633" Type="http://schemas.openxmlformats.org/officeDocument/2006/relationships/hyperlink" Target="https://www.bing.com/th?id=OSK.tX4SMFps4CYK8kF24UIm56tPjW_Ak0xcsMgKLeiQt1w&amp;qlt=95" TargetMode="External"/><Relationship Id="rId67" Type="http://schemas.openxmlformats.org/officeDocument/2006/relationships/hyperlink" Target="https://www.bing.com/th?id=OSK.3e8eb40155a3834ac82d791754cf32f1&amp;qlt=95" TargetMode="External"/><Relationship Id="rId272" Type="http://schemas.openxmlformats.org/officeDocument/2006/relationships/hyperlink" Target="https://www.bing.com/images/search?form=xlimg&amp;q=Guinea-Bissau" TargetMode="External"/><Relationship Id="rId577" Type="http://schemas.openxmlformats.org/officeDocument/2006/relationships/hyperlink" Target="https://www.bing.com/th?id=OSK.60b99c0da60fd327cfdb143cafdfddd3&amp;qlt=95" TargetMode="External"/><Relationship Id="rId700" Type="http://schemas.openxmlformats.org/officeDocument/2006/relationships/hyperlink" Target="https://www.bing.com/images/search?form=xlimg&amp;q=Venezuela" TargetMode="External"/><Relationship Id="rId132" Type="http://schemas.openxmlformats.org/officeDocument/2006/relationships/hyperlink" Target="https://www.bing.com/images/search?form=xlimg&amp;q=Santiago" TargetMode="External"/><Relationship Id="rId437" Type="http://schemas.openxmlformats.org/officeDocument/2006/relationships/hyperlink" Target="https://www.bing.com/th?id=OSK.2cd9330c156b88cf38e058249385607a&amp;qlt=95" TargetMode="External"/><Relationship Id="rId644" Type="http://schemas.openxmlformats.org/officeDocument/2006/relationships/hyperlink" Target="https://www.bing.com/images/search?form=xlimg&amp;q=Lom%c3%a9" TargetMode="External"/><Relationship Id="rId283" Type="http://schemas.openxmlformats.org/officeDocument/2006/relationships/hyperlink" Target="https://www.bing.com/th?id=OSK.88c1f5be841e4632efc4c814214a60a8&amp;qlt=95" TargetMode="External"/><Relationship Id="rId490" Type="http://schemas.openxmlformats.org/officeDocument/2006/relationships/hyperlink" Target="https://www.bing.com/images/search?form=xlimg&amp;q=Palau" TargetMode="External"/><Relationship Id="rId504" Type="http://schemas.openxmlformats.org/officeDocument/2006/relationships/hyperlink" Target="https://www.bing.com/images/search?form=xlimg&amp;q=Lima" TargetMode="External"/><Relationship Id="rId711" Type="http://schemas.openxmlformats.org/officeDocument/2006/relationships/hyperlink" Target="https://www.bing.com/th?id=OSK.94ea83d20c824b4f536276a7b2ed8fe5&amp;qlt=95" TargetMode="External"/><Relationship Id="rId78" Type="http://schemas.openxmlformats.org/officeDocument/2006/relationships/hyperlink" Target="https://www.bing.com/images/search?form=xlimg&amp;q=Sucre" TargetMode="External"/><Relationship Id="rId143" Type="http://schemas.openxmlformats.org/officeDocument/2006/relationships/hyperlink" Target="https://www.bing.com/th?id=OSK.0533054a82c45c9562f9f337f93c285d&amp;qlt=95" TargetMode="External"/><Relationship Id="rId350" Type="http://schemas.openxmlformats.org/officeDocument/2006/relationships/hyperlink" Target="https://www.bing.com/images/search?form=xlimg&amp;q=Monrovia" TargetMode="External"/><Relationship Id="rId588" Type="http://schemas.openxmlformats.org/officeDocument/2006/relationships/hyperlink" Target="https://www.bing.com/images/search?form=xlimg&amp;q=Pretoria" TargetMode="External"/><Relationship Id="rId9" Type="http://schemas.openxmlformats.org/officeDocument/2006/relationships/hyperlink" Target="https://www.bing.com/th?id=OSK.0e4b2c13de41ef2d4c21f433819196bd&amp;qlt=95" TargetMode="External"/><Relationship Id="rId210" Type="http://schemas.openxmlformats.org/officeDocument/2006/relationships/hyperlink" Target="https://www.bing.com/images/search?form=xlimg&amp;q=Ethiopia" TargetMode="External"/><Relationship Id="rId448" Type="http://schemas.openxmlformats.org/officeDocument/2006/relationships/hyperlink" Target="https://www.bing.com/images/search?form=xlimg&amp;q=Kathmandu" TargetMode="External"/><Relationship Id="rId655" Type="http://schemas.openxmlformats.org/officeDocument/2006/relationships/hyperlink" Target="https://www.bing.com/th?id=OSK.40f7785469d16b82e49f366196764133&amp;qlt=95" TargetMode="External"/><Relationship Id="rId294" Type="http://schemas.openxmlformats.org/officeDocument/2006/relationships/hyperlink" Target="https://www.bing.com/images/search?form=xlimg&amp;q=Jakarta" TargetMode="External"/><Relationship Id="rId308" Type="http://schemas.openxmlformats.org/officeDocument/2006/relationships/hyperlink" Target="https://www.bing.com/images/search?form=xlimg&amp;q=Israel" TargetMode="External"/><Relationship Id="rId515" Type="http://schemas.openxmlformats.org/officeDocument/2006/relationships/hyperlink" Target="https://www.bing.com/th?id=OSK.afd232fc301bf2f60901c59a64d2fe66&amp;qlt=95" TargetMode="External"/><Relationship Id="rId89" Type="http://schemas.openxmlformats.org/officeDocument/2006/relationships/hyperlink" Target="https://www.bing.com/th?id=OSK.dc9705a8db8528faac35de15f4d07b8b&amp;qlt=95" TargetMode="External"/><Relationship Id="rId154" Type="http://schemas.openxmlformats.org/officeDocument/2006/relationships/hyperlink" Target="https://www.bing.com/images/search?form=xlimg&amp;q=Costa%20Rica" TargetMode="External"/><Relationship Id="rId361" Type="http://schemas.openxmlformats.org/officeDocument/2006/relationships/hyperlink" Target="https://www.bing.com/th?id=OSK.WmoS0gHjANRJSdYNHA64N5PdRRN3Ixgv0cesvBZZacU&amp;qlt=95" TargetMode="External"/><Relationship Id="rId599" Type="http://schemas.openxmlformats.org/officeDocument/2006/relationships/hyperlink" Target="https://www.bing.com/th?id=OSK.fbb71d5e592f7fda00cf81328e03b81f&amp;qlt=95" TargetMode="External"/><Relationship Id="rId459" Type="http://schemas.openxmlformats.org/officeDocument/2006/relationships/hyperlink" Target="https://www.bing.com/th?id=OSK.ba16ef5b1a62624fff12d7049683342e&amp;qlt=95" TargetMode="External"/><Relationship Id="rId666" Type="http://schemas.openxmlformats.org/officeDocument/2006/relationships/hyperlink" Target="https://www.bing.com/images/search?form=xlimg&amp;q=Funafuti" TargetMode="External"/><Relationship Id="rId16" Type="http://schemas.openxmlformats.org/officeDocument/2006/relationships/hyperlink" Target="https://www.bing.com/images/search?form=xlimg&amp;q=Andorra" TargetMode="External"/><Relationship Id="rId221" Type="http://schemas.openxmlformats.org/officeDocument/2006/relationships/hyperlink" Target="https://www.bing.com/th?id=OSK.6fca4fcf3f7cce184d9edcd5b9eae3aa&amp;qlt=95" TargetMode="External"/><Relationship Id="rId319" Type="http://schemas.openxmlformats.org/officeDocument/2006/relationships/hyperlink" Target="https://www.bing.com/th?id=OSK.mTs9AdlNDLziaMN3BIhJpWCGZaOOUwqIR2jN3FJEeTw&amp;qlt=95" TargetMode="External"/><Relationship Id="rId526" Type="http://schemas.openxmlformats.org/officeDocument/2006/relationships/hyperlink" Target="https://www.bing.com/images/search?form=xlimg&amp;q=Moscow" TargetMode="External"/><Relationship Id="rId165" Type="http://schemas.openxmlformats.org/officeDocument/2006/relationships/hyperlink" Target="https://www.bing.com/th?id=OSK.0b6525ec30df41018acbac53e2de0e2e&amp;qlt=95" TargetMode="External"/><Relationship Id="rId372" Type="http://schemas.openxmlformats.org/officeDocument/2006/relationships/hyperlink" Target="https://www.bing.com/images/search?form=xlimg&amp;q=Lilongwe" TargetMode="External"/><Relationship Id="rId677" Type="http://schemas.openxmlformats.org/officeDocument/2006/relationships/hyperlink" Target="https://www.bing.com/th?id=OSK.b2ed0af5a8b904e8db1cac5ff1108af8&amp;qlt=95" TargetMode="External"/><Relationship Id="rId232" Type="http://schemas.openxmlformats.org/officeDocument/2006/relationships/hyperlink" Target="https://www.bing.com/images/search?form=xlimg&amp;q=France" TargetMode="External"/><Relationship Id="rId27" Type="http://schemas.openxmlformats.org/officeDocument/2006/relationships/hyperlink" Target="https://www.bing.com/th?id=OSK.1edc269d232791835391410ad86aef09&amp;qlt=95" TargetMode="External"/><Relationship Id="rId537" Type="http://schemas.openxmlformats.org/officeDocument/2006/relationships/hyperlink" Target="https://www.bing.com/th?id=OSK.a5103d2e1e707722b2747889b35cf3d2&amp;qlt=95" TargetMode="External"/><Relationship Id="rId80" Type="http://schemas.openxmlformats.org/officeDocument/2006/relationships/hyperlink" Target="https://www.bing.com/images/search?form=xlimg&amp;q=Bolivia" TargetMode="External"/><Relationship Id="rId176" Type="http://schemas.openxmlformats.org/officeDocument/2006/relationships/hyperlink" Target="https://www.bing.com/images/search?form=xlimg&amp;q=Djibouti%20City" TargetMode="External"/><Relationship Id="rId383" Type="http://schemas.openxmlformats.org/officeDocument/2006/relationships/hyperlink" Target="https://www.bing.com/th?id=OSK.a0efe9bc5a154bcbb2e5cf83c8626103&amp;qlt=95" TargetMode="External"/><Relationship Id="rId590" Type="http://schemas.openxmlformats.org/officeDocument/2006/relationships/hyperlink" Target="https://www.bing.com/images/search?form=xlimg&amp;q=South%20Africa" TargetMode="External"/><Relationship Id="rId604" Type="http://schemas.openxmlformats.org/officeDocument/2006/relationships/hyperlink" Target="https://www.bing.com/images/search?form=xlimg&amp;q=Sri%20Lanka" TargetMode="External"/><Relationship Id="rId243" Type="http://schemas.openxmlformats.org/officeDocument/2006/relationships/hyperlink" Target="https://www.bing.com/th?id=OSK.c550b8301145c16d505c45b5c8026434&amp;qlt=95" TargetMode="External"/><Relationship Id="rId450" Type="http://schemas.openxmlformats.org/officeDocument/2006/relationships/hyperlink" Target="https://www.bing.com/images/search?form=xlimg&amp;q=Nepal" TargetMode="External"/><Relationship Id="rId688" Type="http://schemas.openxmlformats.org/officeDocument/2006/relationships/hyperlink" Target="https://www.bing.com/images/search?form=xlimg&amp;q=Montevideo" TargetMode="External"/><Relationship Id="rId38" Type="http://schemas.openxmlformats.org/officeDocument/2006/relationships/hyperlink" Target="https://www.bing.com/images/search?form=xlimg&amp;q=Vienna" TargetMode="External"/><Relationship Id="rId103" Type="http://schemas.openxmlformats.org/officeDocument/2006/relationships/hyperlink" Target="https://www.bing.com/th?id=OSK.918680af260ad3302a9b0eb5cb199da1&amp;qlt=95" TargetMode="External"/><Relationship Id="rId310" Type="http://schemas.openxmlformats.org/officeDocument/2006/relationships/hyperlink" Target="https://www.bing.com/images/search?form=xlimg&amp;q=Rome" TargetMode="External"/><Relationship Id="rId548" Type="http://schemas.openxmlformats.org/officeDocument/2006/relationships/hyperlink" Target="https://www.bing.com/images/search?form=xlimg&amp;q=San%20Marino" TargetMode="External"/><Relationship Id="rId91" Type="http://schemas.openxmlformats.org/officeDocument/2006/relationships/hyperlink" Target="https://www.bing.com/th?id=OSK.380316b6ec7e3f5c2fadae3206181af4&amp;qlt=95" TargetMode="External"/><Relationship Id="rId187" Type="http://schemas.openxmlformats.org/officeDocument/2006/relationships/hyperlink" Target="https://www.bing.com/th?id=OSK.3ee5e93954d87046b82c7ad1591a96b4&amp;qlt=95" TargetMode="External"/><Relationship Id="rId394" Type="http://schemas.openxmlformats.org/officeDocument/2006/relationships/hyperlink" Target="https://www.bing.com/images/search?form=xlimg&amp;q=Marshall%20Islands" TargetMode="External"/><Relationship Id="rId408" Type="http://schemas.openxmlformats.org/officeDocument/2006/relationships/hyperlink" Target="https://www.bing.com/images/search?form=xlimg&amp;q=Palikir" TargetMode="External"/><Relationship Id="rId615" Type="http://schemas.openxmlformats.org/officeDocument/2006/relationships/hyperlink" Target="https://www.bing.com/th?id=OSK.fa25afd90c10e9ab8f2f795989870187&amp;qlt=95" TargetMode="External"/><Relationship Id="rId254" Type="http://schemas.openxmlformats.org/officeDocument/2006/relationships/hyperlink" Target="https://www.bing.com/images/search?form=xlimg&amp;q=Athens" TargetMode="External"/><Relationship Id="rId699" Type="http://schemas.openxmlformats.org/officeDocument/2006/relationships/hyperlink" Target="https://www.bing.com/th?id=OSK.a63573e184a1dd6a203fecd8090ad2ed&amp;qlt=95" TargetMode="External"/><Relationship Id="rId49" Type="http://schemas.openxmlformats.org/officeDocument/2006/relationships/hyperlink" Target="https://www.bing.com/th?id=OSK.a272f6820cb65f81fc2eda22ce58393d&amp;qlt=95" TargetMode="External"/><Relationship Id="rId114" Type="http://schemas.openxmlformats.org/officeDocument/2006/relationships/hyperlink" Target="https://www.bing.com/images/search?form=xlimg&amp;q=Cambodia" TargetMode="External"/><Relationship Id="rId461" Type="http://schemas.openxmlformats.org/officeDocument/2006/relationships/hyperlink" Target="https://www.bing.com/th?id=OSK.87b01e2319b30246cbbe2aa9ab8d4685&amp;qlt=95" TargetMode="External"/><Relationship Id="rId559" Type="http://schemas.openxmlformats.org/officeDocument/2006/relationships/hyperlink" Target="https://www.bing.com/th?id=OSK.105f7944db0ae6d2e72c59412a229957&amp;qlt=95" TargetMode="External"/><Relationship Id="rId198" Type="http://schemas.openxmlformats.org/officeDocument/2006/relationships/hyperlink" Target="https://www.bing.com/images/search?form=xlimg&amp;q=Egypt" TargetMode="External"/><Relationship Id="rId321" Type="http://schemas.openxmlformats.org/officeDocument/2006/relationships/hyperlink" Target="https://www.bing.com/th?id=OSK.wFH5NR6gq2qj7-iiiJJWOU-6FgL0g8d6FqOrCTY46zU&amp;qlt=95" TargetMode="External"/><Relationship Id="rId419" Type="http://schemas.openxmlformats.org/officeDocument/2006/relationships/hyperlink" Target="https://www.bing.com/th?id=OSK.4c993f6539c33a690d58e51dfffb31df&amp;qlt=95" TargetMode="External"/><Relationship Id="rId626" Type="http://schemas.openxmlformats.org/officeDocument/2006/relationships/hyperlink" Target="https://www.bing.com/images/search?form=xlimg&amp;q=Syria" TargetMode="External"/><Relationship Id="rId265" Type="http://schemas.openxmlformats.org/officeDocument/2006/relationships/hyperlink" Target="https://www.bing.com/th?id=OSK.7adcc8c42a1a6eb4cd7d8b6105ef269f&amp;qlt=95" TargetMode="External"/><Relationship Id="rId472" Type="http://schemas.openxmlformats.org/officeDocument/2006/relationships/hyperlink" Target="https://www.bing.com/images/search?form=xlimg&amp;q=North%20Korea" TargetMode="External"/><Relationship Id="rId125" Type="http://schemas.openxmlformats.org/officeDocument/2006/relationships/hyperlink" Target="https://www.bing.com/th?id=OSK.8b01c89bf36ba81b06d9157e3bbfe9da&amp;qlt=95" TargetMode="External"/><Relationship Id="rId332" Type="http://schemas.openxmlformats.org/officeDocument/2006/relationships/hyperlink" Target="https://www.bing.com/images/search?form=xlimg&amp;q=Kuwait%20City" TargetMode="External"/><Relationship Id="rId637" Type="http://schemas.openxmlformats.org/officeDocument/2006/relationships/hyperlink" Target="https://www.bing.com/th?id=OSK.GqOT1qhL9G6u_5AL8_ul98pC_nA8lVsG2EBdNFIzeRo&amp;qlt=95" TargetMode="Externa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2">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cvi">
          <flag name="ShowInCardView" value="0"/>
          <flag name="ShowInDotNotation" value="0"/>
          <flag name="ShowInAutoComplete" value="0"/>
          <flag name="ExcludeFromCalcComparison" value="1"/>
        </key>
      </keyFlags>
    </type>
    <type name="_linkedentity2core">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DataRetrievedTime">
          <flag name="ShowInCardView" value="0"/>
          <flag name="ShowInDotNotation" value="0"/>
          <flag name="ShowInAutoComplete" value="0"/>
          <flag name="ExcludeFromCalcComparison" value="1"/>
        </key>
        <key name="%EntityDomainIdString">
          <flag name="ShowInCardView" value="0"/>
          <flag name="ShowInDotNotation" value="0"/>
          <flag name="ShowInAutoComplete" value="0"/>
        </key>
        <key name="%InfoToolTipLabelNames">
          <flag name="ShowInCardView" value="0"/>
          <flag name="ShowInDotNotation" value="0"/>
          <flag name="ShowInAutoComplete" value="0"/>
        </key>
        <key name="%InfoToolTipLabelValues">
          <flag name="ShowInCardView" value="0"/>
          <flag name="ShowInDotNotation" value="0"/>
          <flag name="ShowInAutoComplete" value="0"/>
        </key>
        <key name="%InfoToolTipLabelValuesType">
          <flag name="ShowInCardView" value="0"/>
          <flag name="ShowInDotNotation" value="0"/>
          <flag name="ShowInAutoComplete" value="0"/>
        </key>
        <key name="%DataProviderString">
          <flag name="ShowInCardView" value="0"/>
          <flag name="ShowInDotNotation" value="0"/>
          <flag name="ShowInAutoComplete" value="0"/>
        </key>
        <key name="%ClassificationId">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moreImagesAddress r:id="rId2"/>
  </webImageSrd>
  <webImageSrd>
    <address r:id="rId3"/>
    <moreImagesAddress r:id="rId4"/>
  </webImageSrd>
  <webImageSrd>
    <address r:id="rId5"/>
    <moreImagesAddress r:id="rId6"/>
  </webImageSrd>
  <webImageSrd>
    <address r:id="rId7"/>
    <moreImagesAddress r:id="rId8"/>
  </webImageSrd>
  <webImageSrd>
    <address r:id="rId9"/>
    <moreImagesAddress r:id="rId10"/>
  </webImageSrd>
  <webImageSrd>
    <address r:id="rId11"/>
    <moreImagesAddress r:id="rId12"/>
  </webImageSrd>
  <webImageSrd>
    <address r:id="rId13"/>
    <moreImagesAddress r:id="rId14"/>
  </webImageSrd>
  <webImageSrd>
    <address r:id="rId15"/>
    <moreImagesAddress r:id="rId16"/>
  </webImageSrd>
  <webImageSrd>
    <address r:id="rId17"/>
    <moreImagesAddress r:id="rId18"/>
  </webImageSrd>
  <webImageSrd>
    <address r:id="rId19"/>
    <moreImagesAddress r:id="rId20"/>
  </webImageSrd>
  <webImageSrd>
    <address r:id="rId21"/>
    <moreImagesAddress r:id="rId22"/>
  </webImageSrd>
  <webImageSrd>
    <address r:id="rId23"/>
    <moreImagesAddress r:id="rId24"/>
  </webImageSrd>
  <webImageSrd>
    <address r:id="rId25"/>
    <moreImagesAddress r:id="rId26"/>
  </webImageSrd>
  <webImageSrd>
    <address r:id="rId27"/>
    <moreImagesAddress r:id="rId28"/>
  </webImageSrd>
  <webImageSrd>
    <address r:id="rId29"/>
    <moreImagesAddress r:id="rId30"/>
  </webImageSrd>
  <webImageSrd>
    <address r:id="rId31"/>
    <moreImagesAddress r:id="rId32"/>
  </webImageSrd>
  <webImageSrd>
    <address r:id="rId33"/>
    <moreImagesAddress r:id="rId34"/>
  </webImageSrd>
  <webImageSrd>
    <address r:id="rId35"/>
    <moreImagesAddress r:id="rId36"/>
  </webImageSrd>
  <webImageSrd>
    <address r:id="rId37"/>
    <moreImagesAddress r:id="rId38"/>
  </webImageSrd>
  <webImageSrd>
    <address r:id="rId39"/>
    <moreImagesAddress r:id="rId40"/>
  </webImageSrd>
  <webImageSrd>
    <address r:id="rId41"/>
    <moreImagesAddress r:id="rId42"/>
  </webImageSrd>
  <webImageSrd>
    <address r:id="rId43"/>
    <moreImagesAddress r:id="rId44"/>
  </webImageSrd>
  <webImageSrd>
    <address r:id="rId45"/>
    <moreImagesAddress r:id="rId46"/>
  </webImageSrd>
  <webImageSrd>
    <address r:id="rId47"/>
    <moreImagesAddress r:id="rId48"/>
  </webImageSrd>
  <webImageSrd>
    <address r:id="rId49"/>
    <moreImagesAddress r:id="rId50"/>
  </webImageSrd>
  <webImageSrd>
    <address r:id="rId51"/>
    <moreImagesAddress r:id="rId52"/>
  </webImageSrd>
  <webImageSrd>
    <address r:id="rId53"/>
    <moreImagesAddress r:id="rId54"/>
  </webImageSrd>
  <webImageSrd>
    <address r:id="rId55"/>
    <moreImagesAddress r:id="rId56"/>
  </webImageSrd>
  <webImageSrd>
    <address r:id="rId57"/>
    <moreImagesAddress r:id="rId58"/>
  </webImageSrd>
  <webImageSrd>
    <address r:id="rId59"/>
    <moreImagesAddress r:id="rId60"/>
  </webImageSrd>
  <webImageSrd>
    <address r:id="rId61"/>
    <moreImagesAddress r:id="rId62"/>
  </webImageSrd>
  <webImageSrd>
    <address r:id="rId63"/>
    <moreImagesAddress r:id="rId64"/>
  </webImageSrd>
  <webImageSrd>
    <address r:id="rId65"/>
    <moreImagesAddress r:id="rId66"/>
  </webImageSrd>
  <webImageSrd>
    <address r:id="rId67"/>
    <moreImagesAddress r:id="rId68"/>
  </webImageSrd>
  <webImageSrd>
    <address r:id="rId69"/>
    <moreImagesAddress r:id="rId70"/>
  </webImageSrd>
  <webImageSrd>
    <address r:id="rId71"/>
    <moreImagesAddress r:id="rId72"/>
  </webImageSrd>
  <webImageSrd>
    <address r:id="rId73"/>
    <moreImagesAddress r:id="rId74"/>
  </webImageSrd>
  <webImageSrd>
    <address r:id="rId75"/>
    <moreImagesAddress r:id="rId76"/>
  </webImageSrd>
  <webImageSrd>
    <address r:id="rId77"/>
    <moreImagesAddress r:id="rId78"/>
  </webImageSrd>
  <webImageSrd>
    <address r:id="rId79"/>
    <moreImagesAddress r:id="rId80"/>
  </webImageSrd>
  <webImageSrd>
    <address r:id="rId81"/>
    <moreImagesAddress r:id="rId82"/>
  </webImageSrd>
  <webImageSrd>
    <address r:id="rId83"/>
    <moreImagesAddress r:id="rId84"/>
  </webImageSrd>
  <webImageSrd>
    <address r:id="rId85"/>
    <moreImagesAddress r:id="rId86"/>
  </webImageSrd>
  <webImageSrd>
    <address r:id="rId87"/>
    <moreImagesAddress r:id="rId88"/>
  </webImageSrd>
  <webImageSrd>
    <address r:id="rId89"/>
    <moreImagesAddress r:id="rId90"/>
  </webImageSrd>
  <webImageSrd>
    <address r:id="rId91"/>
    <moreImagesAddress r:id="rId92"/>
  </webImageSrd>
  <webImageSrd>
    <address r:id="rId93"/>
    <moreImagesAddress r:id="rId94"/>
  </webImageSrd>
  <webImageSrd>
    <address r:id="rId95"/>
    <moreImagesAddress r:id="rId96"/>
  </webImageSrd>
  <webImageSrd>
    <address r:id="rId97"/>
    <moreImagesAddress r:id="rId98"/>
  </webImageSrd>
  <webImageSrd>
    <address r:id="rId99"/>
    <moreImagesAddress r:id="rId100"/>
  </webImageSrd>
  <webImageSrd>
    <address r:id="rId101"/>
    <moreImagesAddress r:id="rId102"/>
  </webImageSrd>
  <webImageSrd>
    <address r:id="rId103"/>
    <moreImagesAddress r:id="rId104"/>
  </webImageSrd>
  <webImageSrd>
    <address r:id="rId105"/>
    <moreImagesAddress r:id="rId106"/>
  </webImageSrd>
  <webImageSrd>
    <address r:id="rId107"/>
    <moreImagesAddress r:id="rId108"/>
  </webImageSrd>
  <webImageSrd>
    <address r:id="rId109"/>
    <moreImagesAddress r:id="rId110"/>
  </webImageSrd>
  <webImageSrd>
    <address r:id="rId111"/>
    <moreImagesAddress r:id="rId112"/>
  </webImageSrd>
  <webImageSrd>
    <address r:id="rId113"/>
    <moreImagesAddress r:id="rId114"/>
  </webImageSrd>
  <webImageSrd>
    <address r:id="rId115"/>
    <moreImagesAddress r:id="rId116"/>
  </webImageSrd>
  <webImageSrd>
    <address r:id="rId117"/>
    <moreImagesAddress r:id="rId118"/>
  </webImageSrd>
  <webImageSrd>
    <address r:id="rId119"/>
    <moreImagesAddress r:id="rId120"/>
  </webImageSrd>
  <webImageSrd>
    <address r:id="rId121"/>
    <moreImagesAddress r:id="rId122"/>
  </webImageSrd>
  <webImageSrd>
    <address r:id="rId123"/>
    <moreImagesAddress r:id="rId124"/>
  </webImageSrd>
  <webImageSrd>
    <address r:id="rId125"/>
    <moreImagesAddress r:id="rId126"/>
  </webImageSrd>
  <webImageSrd>
    <address r:id="rId127"/>
    <moreImagesAddress r:id="rId128"/>
  </webImageSrd>
  <webImageSrd>
    <address r:id="rId129"/>
    <moreImagesAddress r:id="rId130"/>
  </webImageSrd>
  <webImageSrd>
    <address r:id="rId131"/>
    <moreImagesAddress r:id="rId132"/>
  </webImageSrd>
  <webImageSrd>
    <address r:id="rId133"/>
    <moreImagesAddress r:id="rId134"/>
  </webImageSrd>
  <webImageSrd>
    <address r:id="rId135"/>
    <moreImagesAddress r:id="rId136"/>
  </webImageSrd>
  <webImageSrd>
    <address r:id="rId137"/>
    <moreImagesAddress r:id="rId138"/>
  </webImageSrd>
  <webImageSrd>
    <address r:id="rId139"/>
    <moreImagesAddress r:id="rId140"/>
  </webImageSrd>
  <webImageSrd>
    <address r:id="rId141"/>
    <moreImagesAddress r:id="rId142"/>
  </webImageSrd>
  <webImageSrd>
    <address r:id="rId143"/>
    <moreImagesAddress r:id="rId144"/>
  </webImageSrd>
  <webImageSrd>
    <address r:id="rId145"/>
    <moreImagesAddress r:id="rId146"/>
  </webImageSrd>
  <webImageSrd>
    <address r:id="rId147"/>
    <moreImagesAddress r:id="rId148"/>
  </webImageSrd>
  <webImageSrd>
    <address r:id="rId149"/>
    <moreImagesAddress r:id="rId150"/>
  </webImageSrd>
  <webImageSrd>
    <address r:id="rId151"/>
    <moreImagesAddress r:id="rId152"/>
  </webImageSrd>
  <webImageSrd>
    <address r:id="rId153"/>
    <moreImagesAddress r:id="rId154"/>
  </webImageSrd>
  <webImageSrd>
    <address r:id="rId155"/>
    <moreImagesAddress r:id="rId156"/>
  </webImageSrd>
  <webImageSrd>
    <address r:id="rId157"/>
    <moreImagesAddress r:id="rId158"/>
  </webImageSrd>
  <webImageSrd>
    <address r:id="rId159"/>
    <moreImagesAddress r:id="rId160"/>
  </webImageSrd>
  <webImageSrd>
    <address r:id="rId161"/>
    <moreImagesAddress r:id="rId162"/>
  </webImageSrd>
  <webImageSrd>
    <address r:id="rId163"/>
    <moreImagesAddress r:id="rId164"/>
  </webImageSrd>
  <webImageSrd>
    <address r:id="rId165"/>
    <moreImagesAddress r:id="rId166"/>
  </webImageSrd>
  <webImageSrd>
    <address r:id="rId167"/>
    <moreImagesAddress r:id="rId168"/>
  </webImageSrd>
  <webImageSrd>
    <address r:id="rId169"/>
    <moreImagesAddress r:id="rId170"/>
  </webImageSrd>
  <webImageSrd>
    <address r:id="rId171"/>
    <moreImagesAddress r:id="rId172"/>
  </webImageSrd>
  <webImageSrd>
    <address r:id="rId173"/>
    <moreImagesAddress r:id="rId174"/>
  </webImageSrd>
  <webImageSrd>
    <address r:id="rId175"/>
    <moreImagesAddress r:id="rId176"/>
  </webImageSrd>
  <webImageSrd>
    <address r:id="rId177"/>
    <moreImagesAddress r:id="rId178"/>
  </webImageSrd>
  <webImageSrd>
    <address r:id="rId179"/>
    <moreImagesAddress r:id="rId180"/>
  </webImageSrd>
  <webImageSrd>
    <address r:id="rId181"/>
    <moreImagesAddress r:id="rId182"/>
  </webImageSrd>
  <webImageSrd>
    <address r:id="rId183"/>
    <moreImagesAddress r:id="rId184"/>
  </webImageSrd>
  <webImageSrd>
    <address r:id="rId185"/>
    <moreImagesAddress r:id="rId186"/>
  </webImageSrd>
  <webImageSrd>
    <address r:id="rId187"/>
    <moreImagesAddress r:id="rId188"/>
  </webImageSrd>
  <webImageSrd>
    <address r:id="rId189"/>
    <moreImagesAddress r:id="rId190"/>
  </webImageSrd>
  <webImageSrd>
    <address r:id="rId191"/>
    <moreImagesAddress r:id="rId192"/>
  </webImageSrd>
  <webImageSrd>
    <address r:id="rId193"/>
    <moreImagesAddress r:id="rId194"/>
  </webImageSrd>
  <webImageSrd>
    <address r:id="rId195"/>
    <moreImagesAddress r:id="rId196"/>
  </webImageSrd>
  <webImageSrd>
    <address r:id="rId197"/>
    <moreImagesAddress r:id="rId198"/>
  </webImageSrd>
  <webImageSrd>
    <address r:id="rId199"/>
    <moreImagesAddress r:id="rId200"/>
  </webImageSrd>
  <webImageSrd>
    <address r:id="rId201"/>
    <moreImagesAddress r:id="rId202"/>
  </webImageSrd>
  <webImageSrd>
    <address r:id="rId203"/>
    <moreImagesAddress r:id="rId204"/>
  </webImageSrd>
  <webImageSrd>
    <address r:id="rId205"/>
    <moreImagesAddress r:id="rId206"/>
  </webImageSrd>
  <webImageSrd>
    <address r:id="rId207"/>
    <moreImagesAddress r:id="rId208"/>
  </webImageSrd>
  <webImageSrd>
    <address r:id="rId209"/>
    <moreImagesAddress r:id="rId210"/>
  </webImageSrd>
  <webImageSrd>
    <address r:id="rId211"/>
    <moreImagesAddress r:id="rId212"/>
  </webImageSrd>
  <webImageSrd>
    <address r:id="rId213"/>
    <moreImagesAddress r:id="rId214"/>
  </webImageSrd>
  <webImageSrd>
    <address r:id="rId215"/>
    <moreImagesAddress r:id="rId216"/>
  </webImageSrd>
  <webImageSrd>
    <address r:id="rId217"/>
    <moreImagesAddress r:id="rId218"/>
  </webImageSrd>
  <webImageSrd>
    <address r:id="rId219"/>
    <moreImagesAddress r:id="rId220"/>
  </webImageSrd>
  <webImageSrd>
    <address r:id="rId221"/>
    <moreImagesAddress r:id="rId222"/>
  </webImageSrd>
  <webImageSrd>
    <address r:id="rId223"/>
    <moreImagesAddress r:id="rId224"/>
  </webImageSrd>
  <webImageSrd>
    <address r:id="rId225"/>
    <moreImagesAddress r:id="rId226"/>
  </webImageSrd>
  <webImageSrd>
    <address r:id="rId227"/>
    <moreImagesAddress r:id="rId228"/>
  </webImageSrd>
  <webImageSrd>
    <address r:id="rId229"/>
    <moreImagesAddress r:id="rId230"/>
  </webImageSrd>
  <webImageSrd>
    <address r:id="rId231"/>
    <moreImagesAddress r:id="rId232"/>
  </webImageSrd>
  <webImageSrd>
    <address r:id="rId233"/>
    <moreImagesAddress r:id="rId234"/>
  </webImageSrd>
  <webImageSrd>
    <address r:id="rId235"/>
    <moreImagesAddress r:id="rId236"/>
  </webImageSrd>
  <webImageSrd>
    <address r:id="rId237"/>
    <moreImagesAddress r:id="rId238"/>
  </webImageSrd>
  <webImageSrd>
    <address r:id="rId239"/>
    <moreImagesAddress r:id="rId240"/>
  </webImageSrd>
  <webImageSrd>
    <address r:id="rId241"/>
    <moreImagesAddress r:id="rId242"/>
  </webImageSrd>
  <webImageSrd>
    <address r:id="rId243"/>
    <moreImagesAddress r:id="rId244"/>
  </webImageSrd>
  <webImageSrd>
    <address r:id="rId245"/>
    <moreImagesAddress r:id="rId246"/>
  </webImageSrd>
  <webImageSrd>
    <address r:id="rId247"/>
    <moreImagesAddress r:id="rId248"/>
  </webImageSrd>
  <webImageSrd>
    <address r:id="rId249"/>
    <moreImagesAddress r:id="rId250"/>
  </webImageSrd>
  <webImageSrd>
    <address r:id="rId251"/>
    <moreImagesAddress r:id="rId252"/>
  </webImageSrd>
  <webImageSrd>
    <address r:id="rId253"/>
    <moreImagesAddress r:id="rId254"/>
  </webImageSrd>
  <webImageSrd>
    <address r:id="rId255"/>
    <moreImagesAddress r:id="rId256"/>
  </webImageSrd>
  <webImageSrd>
    <address r:id="rId257"/>
    <moreImagesAddress r:id="rId258"/>
  </webImageSrd>
  <webImageSrd>
    <address r:id="rId259"/>
    <moreImagesAddress r:id="rId260"/>
  </webImageSrd>
  <webImageSrd>
    <address r:id="rId261"/>
    <moreImagesAddress r:id="rId262"/>
  </webImageSrd>
  <webImageSrd>
    <address r:id="rId263"/>
    <moreImagesAddress r:id="rId264"/>
  </webImageSrd>
  <webImageSrd>
    <address r:id="rId265"/>
    <moreImagesAddress r:id="rId266"/>
  </webImageSrd>
  <webImageSrd>
    <address r:id="rId267"/>
    <moreImagesAddress r:id="rId268"/>
  </webImageSrd>
  <webImageSrd>
    <address r:id="rId269"/>
    <moreImagesAddress r:id="rId270"/>
  </webImageSrd>
  <webImageSrd>
    <address r:id="rId271"/>
    <moreImagesAddress r:id="rId272"/>
  </webImageSrd>
  <webImageSrd>
    <address r:id="rId273"/>
    <moreImagesAddress r:id="rId274"/>
  </webImageSrd>
  <webImageSrd>
    <address r:id="rId275"/>
    <moreImagesAddress r:id="rId276"/>
  </webImageSrd>
  <webImageSrd>
    <address r:id="rId277"/>
    <moreImagesAddress r:id="rId278"/>
  </webImageSrd>
  <webImageSrd>
    <address r:id="rId279"/>
    <moreImagesAddress r:id="rId280"/>
  </webImageSrd>
  <webImageSrd>
    <address r:id="rId281"/>
    <moreImagesAddress r:id="rId282"/>
  </webImageSrd>
  <webImageSrd>
    <address r:id="rId283"/>
    <moreImagesAddress r:id="rId284"/>
  </webImageSrd>
  <webImageSrd>
    <address r:id="rId285"/>
    <moreImagesAddress r:id="rId286"/>
  </webImageSrd>
  <webImageSrd>
    <address r:id="rId287"/>
    <moreImagesAddress r:id="rId288"/>
  </webImageSrd>
  <webImageSrd>
    <address r:id="rId289"/>
    <moreImagesAddress r:id="rId290"/>
  </webImageSrd>
  <webImageSrd>
    <address r:id="rId291"/>
    <moreImagesAddress r:id="rId292"/>
  </webImageSrd>
  <webImageSrd>
    <address r:id="rId293"/>
    <moreImagesAddress r:id="rId294"/>
  </webImageSrd>
  <webImageSrd>
    <address r:id="rId295"/>
    <moreImagesAddress r:id="rId296"/>
  </webImageSrd>
  <webImageSrd>
    <address r:id="rId297"/>
    <moreImagesAddress r:id="rId298"/>
  </webImageSrd>
  <webImageSrd>
    <address r:id="rId299"/>
    <moreImagesAddress r:id="rId300"/>
  </webImageSrd>
  <webImageSrd>
    <address r:id="rId301"/>
    <moreImagesAddress r:id="rId302"/>
  </webImageSrd>
  <webImageSrd>
    <address r:id="rId303"/>
    <moreImagesAddress r:id="rId304"/>
  </webImageSrd>
  <webImageSrd>
    <address r:id="rId305"/>
    <moreImagesAddress r:id="rId306"/>
  </webImageSrd>
  <webImageSrd>
    <address r:id="rId307"/>
    <moreImagesAddress r:id="rId308"/>
  </webImageSrd>
  <webImageSrd>
    <address r:id="rId309"/>
    <moreImagesAddress r:id="rId310"/>
  </webImageSrd>
  <webImageSrd>
    <address r:id="rId311"/>
    <moreImagesAddress r:id="rId312"/>
  </webImageSrd>
  <webImageSrd>
    <address r:id="rId313"/>
    <moreImagesAddress r:id="rId314"/>
  </webImageSrd>
  <webImageSrd>
    <address r:id="rId315"/>
    <moreImagesAddress r:id="rId316"/>
  </webImageSrd>
  <webImageSrd>
    <address r:id="rId317"/>
    <moreImagesAddress r:id="rId318"/>
  </webImageSrd>
  <webImageSrd>
    <address r:id="rId319"/>
    <moreImagesAddress r:id="rId320"/>
  </webImageSrd>
  <webImageSrd>
    <address r:id="rId321"/>
    <moreImagesAddress r:id="rId322"/>
  </webImageSrd>
  <webImageSrd>
    <address r:id="rId323"/>
    <moreImagesAddress r:id="rId324"/>
  </webImageSrd>
  <webImageSrd>
    <address r:id="rId325"/>
    <moreImagesAddress r:id="rId326"/>
  </webImageSrd>
  <webImageSrd>
    <address r:id="rId327"/>
    <moreImagesAddress r:id="rId328"/>
  </webImageSrd>
  <webImageSrd>
    <address r:id="rId329"/>
    <moreImagesAddress r:id="rId330"/>
  </webImageSrd>
  <webImageSrd>
    <address r:id="rId331"/>
    <moreImagesAddress r:id="rId332"/>
  </webImageSrd>
  <webImageSrd>
    <address r:id="rId333"/>
    <moreImagesAddress r:id="rId334"/>
  </webImageSrd>
  <webImageSrd>
    <address r:id="rId335"/>
    <moreImagesAddress r:id="rId336"/>
  </webImageSrd>
  <webImageSrd>
    <address r:id="rId337"/>
    <moreImagesAddress r:id="rId338"/>
  </webImageSrd>
  <webImageSrd>
    <address r:id="rId339"/>
    <moreImagesAddress r:id="rId340"/>
  </webImageSrd>
  <webImageSrd>
    <address r:id="rId341"/>
    <moreImagesAddress r:id="rId342"/>
  </webImageSrd>
  <webImageSrd>
    <address r:id="rId343"/>
    <moreImagesAddress r:id="rId344"/>
  </webImageSrd>
  <webImageSrd>
    <address r:id="rId345"/>
    <moreImagesAddress r:id="rId346"/>
  </webImageSrd>
  <webImageSrd>
    <address r:id="rId347"/>
    <moreImagesAddress r:id="rId348"/>
  </webImageSrd>
  <webImageSrd>
    <address r:id="rId349"/>
    <moreImagesAddress r:id="rId350"/>
  </webImageSrd>
  <webImageSrd>
    <address r:id="rId351"/>
    <moreImagesAddress r:id="rId352"/>
  </webImageSrd>
  <webImageSrd>
    <address r:id="rId353"/>
    <moreImagesAddress r:id="rId354"/>
  </webImageSrd>
  <webImageSrd>
    <address r:id="rId355"/>
    <moreImagesAddress r:id="rId356"/>
  </webImageSrd>
  <webImageSrd>
    <address r:id="rId357"/>
    <moreImagesAddress r:id="rId358"/>
  </webImageSrd>
  <webImageSrd>
    <address r:id="rId359"/>
    <moreImagesAddress r:id="rId360"/>
  </webImageSrd>
  <webImageSrd>
    <address r:id="rId361"/>
    <moreImagesAddress r:id="rId362"/>
  </webImageSrd>
  <webImageSrd>
    <address r:id="rId363"/>
    <moreImagesAddress r:id="rId364"/>
  </webImageSrd>
  <webImageSrd>
    <address r:id="rId365"/>
    <moreImagesAddress r:id="rId366"/>
  </webImageSrd>
  <webImageSrd>
    <address r:id="rId367"/>
    <moreImagesAddress r:id="rId368"/>
  </webImageSrd>
  <webImageSrd>
    <address r:id="rId369"/>
    <moreImagesAddress r:id="rId370"/>
  </webImageSrd>
  <webImageSrd>
    <address r:id="rId371"/>
    <moreImagesAddress r:id="rId372"/>
  </webImageSrd>
  <webImageSrd>
    <address r:id="rId373"/>
    <moreImagesAddress r:id="rId374"/>
  </webImageSrd>
  <webImageSrd>
    <address r:id="rId375"/>
    <moreImagesAddress r:id="rId376"/>
  </webImageSrd>
  <webImageSrd>
    <address r:id="rId377"/>
    <moreImagesAddress r:id="rId378"/>
  </webImageSrd>
  <webImageSrd>
    <address r:id="rId379"/>
    <moreImagesAddress r:id="rId380"/>
  </webImageSrd>
  <webImageSrd>
    <address r:id="rId381"/>
    <moreImagesAddress r:id="rId382"/>
  </webImageSrd>
  <webImageSrd>
    <address r:id="rId383"/>
    <moreImagesAddress r:id="rId384"/>
  </webImageSrd>
  <webImageSrd>
    <address r:id="rId385"/>
    <moreImagesAddress r:id="rId386"/>
  </webImageSrd>
  <webImageSrd>
    <address r:id="rId387"/>
    <moreImagesAddress r:id="rId388"/>
  </webImageSrd>
  <webImageSrd>
    <address r:id="rId389"/>
    <moreImagesAddress r:id="rId390"/>
  </webImageSrd>
  <webImageSrd>
    <address r:id="rId391"/>
    <moreImagesAddress r:id="rId392"/>
  </webImageSrd>
  <webImageSrd>
    <address r:id="rId393"/>
    <moreImagesAddress r:id="rId394"/>
  </webImageSrd>
  <webImageSrd>
    <address r:id="rId395"/>
    <moreImagesAddress r:id="rId396"/>
  </webImageSrd>
  <webImageSrd>
    <address r:id="rId397"/>
    <moreImagesAddress r:id="rId398"/>
  </webImageSrd>
  <webImageSrd>
    <address r:id="rId399"/>
    <moreImagesAddress r:id="rId400"/>
  </webImageSrd>
  <webImageSrd>
    <address r:id="rId401"/>
    <moreImagesAddress r:id="rId402"/>
  </webImageSrd>
  <webImageSrd>
    <address r:id="rId403"/>
    <moreImagesAddress r:id="rId404"/>
  </webImageSrd>
  <webImageSrd>
    <address r:id="rId405"/>
    <moreImagesAddress r:id="rId406"/>
  </webImageSrd>
  <webImageSrd>
    <address r:id="rId407"/>
    <moreImagesAddress r:id="rId408"/>
  </webImageSrd>
  <webImageSrd>
    <address r:id="rId409"/>
    <moreImagesAddress r:id="rId410"/>
  </webImageSrd>
  <webImageSrd>
    <address r:id="rId411"/>
    <moreImagesAddress r:id="rId412"/>
  </webImageSrd>
  <webImageSrd>
    <address r:id="rId413"/>
    <moreImagesAddress r:id="rId414"/>
  </webImageSrd>
  <webImageSrd>
    <address r:id="rId415"/>
    <moreImagesAddress r:id="rId416"/>
  </webImageSrd>
  <webImageSrd>
    <address r:id="rId417"/>
    <moreImagesAddress r:id="rId418"/>
  </webImageSrd>
  <webImageSrd>
    <address r:id="rId419"/>
    <moreImagesAddress r:id="rId420"/>
  </webImageSrd>
  <webImageSrd>
    <address r:id="rId421"/>
    <moreImagesAddress r:id="rId422"/>
  </webImageSrd>
  <webImageSrd>
    <address r:id="rId423"/>
    <moreImagesAddress r:id="rId424"/>
  </webImageSrd>
  <webImageSrd>
    <address r:id="rId425"/>
    <moreImagesAddress r:id="rId426"/>
  </webImageSrd>
  <webImageSrd>
    <address r:id="rId427"/>
    <moreImagesAddress r:id="rId428"/>
  </webImageSrd>
  <webImageSrd>
    <address r:id="rId429"/>
    <moreImagesAddress r:id="rId430"/>
  </webImageSrd>
  <webImageSrd>
    <address r:id="rId431"/>
    <moreImagesAddress r:id="rId432"/>
  </webImageSrd>
  <webImageSrd>
    <address r:id="rId433"/>
    <moreImagesAddress r:id="rId434"/>
  </webImageSrd>
  <webImageSrd>
    <address r:id="rId435"/>
    <moreImagesAddress r:id="rId436"/>
  </webImageSrd>
  <webImageSrd>
    <address r:id="rId437"/>
    <moreImagesAddress r:id="rId438"/>
  </webImageSrd>
  <webImageSrd>
    <address r:id="rId439"/>
    <moreImagesAddress r:id="rId440"/>
  </webImageSrd>
  <webImageSrd>
    <address r:id="rId441"/>
    <moreImagesAddress r:id="rId442"/>
  </webImageSrd>
  <webImageSrd>
    <address r:id="rId443"/>
    <moreImagesAddress r:id="rId444"/>
  </webImageSrd>
  <webImageSrd>
    <address r:id="rId445"/>
    <moreImagesAddress r:id="rId446"/>
  </webImageSrd>
  <webImageSrd>
    <address r:id="rId447"/>
    <moreImagesAddress r:id="rId448"/>
  </webImageSrd>
  <webImageSrd>
    <address r:id="rId449"/>
    <moreImagesAddress r:id="rId450"/>
  </webImageSrd>
  <webImageSrd>
    <address r:id="rId451"/>
    <moreImagesAddress r:id="rId452"/>
  </webImageSrd>
  <webImageSrd>
    <address r:id="rId453"/>
    <moreImagesAddress r:id="rId454"/>
  </webImageSrd>
  <webImageSrd>
    <address r:id="rId455"/>
    <moreImagesAddress r:id="rId456"/>
  </webImageSrd>
  <webImageSrd>
    <address r:id="rId457"/>
    <moreImagesAddress r:id="rId458"/>
  </webImageSrd>
  <webImageSrd>
    <address r:id="rId459"/>
    <moreImagesAddress r:id="rId460"/>
  </webImageSrd>
  <webImageSrd>
    <address r:id="rId461"/>
    <moreImagesAddress r:id="rId462"/>
  </webImageSrd>
  <webImageSrd>
    <address r:id="rId463"/>
    <moreImagesAddress r:id="rId464"/>
  </webImageSrd>
  <webImageSrd>
    <address r:id="rId465"/>
    <moreImagesAddress r:id="rId466"/>
  </webImageSrd>
  <webImageSrd>
    <address r:id="rId467"/>
    <moreImagesAddress r:id="rId468"/>
  </webImageSrd>
  <webImageSrd>
    <address r:id="rId469"/>
    <moreImagesAddress r:id="rId470"/>
  </webImageSrd>
  <webImageSrd>
    <address r:id="rId471"/>
    <moreImagesAddress r:id="rId472"/>
  </webImageSrd>
  <webImageSrd>
    <address r:id="rId473"/>
    <moreImagesAddress r:id="rId474"/>
  </webImageSrd>
  <webImageSrd>
    <address r:id="rId475"/>
    <moreImagesAddress r:id="rId476"/>
  </webImageSrd>
  <webImageSrd>
    <address r:id="rId477"/>
    <moreImagesAddress r:id="rId478"/>
  </webImageSrd>
  <webImageSrd>
    <address r:id="rId479"/>
    <moreImagesAddress r:id="rId480"/>
  </webImageSrd>
  <webImageSrd>
    <address r:id="rId481"/>
    <moreImagesAddress r:id="rId482"/>
  </webImageSrd>
  <webImageSrd>
    <address r:id="rId483"/>
    <moreImagesAddress r:id="rId484"/>
  </webImageSrd>
  <webImageSrd>
    <address r:id="rId485"/>
    <moreImagesAddress r:id="rId486"/>
  </webImageSrd>
  <webImageSrd>
    <address r:id="rId487"/>
    <moreImagesAddress r:id="rId488"/>
  </webImageSrd>
  <webImageSrd>
    <address r:id="rId489"/>
    <moreImagesAddress r:id="rId490"/>
  </webImageSrd>
  <webImageSrd>
    <address r:id="rId491"/>
    <moreImagesAddress r:id="rId492"/>
  </webImageSrd>
  <webImageSrd>
    <address r:id="rId493"/>
    <moreImagesAddress r:id="rId494"/>
  </webImageSrd>
  <webImageSrd>
    <address r:id="rId495"/>
    <moreImagesAddress r:id="rId496"/>
  </webImageSrd>
  <webImageSrd>
    <address r:id="rId497"/>
    <moreImagesAddress r:id="rId498"/>
  </webImageSrd>
  <webImageSrd>
    <address r:id="rId499"/>
    <moreImagesAddress r:id="rId500"/>
  </webImageSrd>
  <webImageSrd>
    <address r:id="rId501"/>
    <moreImagesAddress r:id="rId502"/>
  </webImageSrd>
  <webImageSrd>
    <address r:id="rId503"/>
    <moreImagesAddress r:id="rId504"/>
  </webImageSrd>
  <webImageSrd>
    <address r:id="rId505"/>
    <moreImagesAddress r:id="rId506"/>
  </webImageSrd>
  <webImageSrd>
    <address r:id="rId507"/>
    <moreImagesAddress r:id="rId508"/>
  </webImageSrd>
  <webImageSrd>
    <address r:id="rId509"/>
    <moreImagesAddress r:id="rId510"/>
  </webImageSrd>
  <webImageSrd>
    <address r:id="rId511"/>
    <moreImagesAddress r:id="rId512"/>
  </webImageSrd>
  <webImageSrd>
    <address r:id="rId513"/>
    <moreImagesAddress r:id="rId514"/>
  </webImageSrd>
  <webImageSrd>
    <address r:id="rId515"/>
    <moreImagesAddress r:id="rId516"/>
  </webImageSrd>
  <webImageSrd>
    <address r:id="rId517"/>
    <moreImagesAddress r:id="rId518"/>
  </webImageSrd>
  <webImageSrd>
    <address r:id="rId519"/>
    <moreImagesAddress r:id="rId520"/>
  </webImageSrd>
  <webImageSrd>
    <address r:id="rId521"/>
    <moreImagesAddress r:id="rId522"/>
  </webImageSrd>
  <webImageSrd>
    <address r:id="rId523"/>
    <moreImagesAddress r:id="rId524"/>
  </webImageSrd>
  <webImageSrd>
    <address r:id="rId525"/>
    <moreImagesAddress r:id="rId526"/>
  </webImageSrd>
  <webImageSrd>
    <address r:id="rId527"/>
    <moreImagesAddress r:id="rId528"/>
  </webImageSrd>
  <webImageSrd>
    <address r:id="rId529"/>
    <moreImagesAddress r:id="rId530"/>
  </webImageSrd>
  <webImageSrd>
    <address r:id="rId531"/>
    <moreImagesAddress r:id="rId532"/>
  </webImageSrd>
  <webImageSrd>
    <address r:id="rId533"/>
    <moreImagesAddress r:id="rId534"/>
  </webImageSrd>
  <webImageSrd>
    <address r:id="rId535"/>
    <moreImagesAddress r:id="rId536"/>
  </webImageSrd>
  <webImageSrd>
    <address r:id="rId537"/>
    <moreImagesAddress r:id="rId538"/>
  </webImageSrd>
  <webImageSrd>
    <address r:id="rId539"/>
    <moreImagesAddress r:id="rId540"/>
  </webImageSrd>
  <webImageSrd>
    <address r:id="rId541"/>
    <moreImagesAddress r:id="rId542"/>
  </webImageSrd>
  <webImageSrd>
    <address r:id="rId543"/>
    <moreImagesAddress r:id="rId544"/>
  </webImageSrd>
  <webImageSrd>
    <address r:id="rId545"/>
    <moreImagesAddress r:id="rId546"/>
  </webImageSrd>
  <webImageSrd>
    <address r:id="rId547"/>
    <moreImagesAddress r:id="rId548"/>
  </webImageSrd>
  <webImageSrd>
    <address r:id="rId549"/>
    <moreImagesAddress r:id="rId550"/>
  </webImageSrd>
  <webImageSrd>
    <address r:id="rId551"/>
    <moreImagesAddress r:id="rId552"/>
  </webImageSrd>
  <webImageSrd>
    <address r:id="rId553"/>
    <moreImagesAddress r:id="rId554"/>
  </webImageSrd>
  <webImageSrd>
    <address r:id="rId555"/>
    <moreImagesAddress r:id="rId556"/>
  </webImageSrd>
  <webImageSrd>
    <address r:id="rId557"/>
    <moreImagesAddress r:id="rId558"/>
  </webImageSrd>
  <webImageSrd>
    <address r:id="rId559"/>
    <moreImagesAddress r:id="rId560"/>
  </webImageSrd>
  <webImageSrd>
    <address r:id="rId561"/>
    <moreImagesAddress r:id="rId562"/>
  </webImageSrd>
  <webImageSrd>
    <address r:id="rId563"/>
    <moreImagesAddress r:id="rId564"/>
  </webImageSrd>
  <webImageSrd>
    <address r:id="rId565"/>
    <moreImagesAddress r:id="rId566"/>
  </webImageSrd>
  <webImageSrd>
    <address r:id="rId567"/>
    <moreImagesAddress r:id="rId568"/>
  </webImageSrd>
  <webImageSrd>
    <address r:id="rId569"/>
    <moreImagesAddress r:id="rId570"/>
  </webImageSrd>
  <webImageSrd>
    <address r:id="rId571"/>
    <moreImagesAddress r:id="rId572"/>
  </webImageSrd>
  <webImageSrd>
    <address r:id="rId573"/>
    <moreImagesAddress r:id="rId574"/>
  </webImageSrd>
  <webImageSrd>
    <address r:id="rId575"/>
    <moreImagesAddress r:id="rId576"/>
  </webImageSrd>
  <webImageSrd>
    <address r:id="rId577"/>
    <moreImagesAddress r:id="rId578"/>
  </webImageSrd>
  <webImageSrd>
    <address r:id="rId579"/>
    <moreImagesAddress r:id="rId580"/>
  </webImageSrd>
  <webImageSrd>
    <address r:id="rId581"/>
    <moreImagesAddress r:id="rId582"/>
  </webImageSrd>
  <webImageSrd>
    <address r:id="rId583"/>
    <moreImagesAddress r:id="rId584"/>
  </webImageSrd>
  <webImageSrd>
    <address r:id="rId585"/>
    <moreImagesAddress r:id="rId586"/>
  </webImageSrd>
  <webImageSrd>
    <address r:id="rId587"/>
    <moreImagesAddress r:id="rId588"/>
  </webImageSrd>
  <webImageSrd>
    <address r:id="rId589"/>
    <moreImagesAddress r:id="rId590"/>
  </webImageSrd>
  <webImageSrd>
    <address r:id="rId591"/>
    <moreImagesAddress r:id="rId592"/>
  </webImageSrd>
  <webImageSrd>
    <address r:id="rId593"/>
    <moreImagesAddress r:id="rId594"/>
  </webImageSrd>
  <webImageSrd>
    <address r:id="rId595"/>
    <moreImagesAddress r:id="rId596"/>
  </webImageSrd>
  <webImageSrd>
    <address r:id="rId597"/>
    <moreImagesAddress r:id="rId598"/>
  </webImageSrd>
  <webImageSrd>
    <address r:id="rId599"/>
    <moreImagesAddress r:id="rId600"/>
  </webImageSrd>
  <webImageSrd>
    <address r:id="rId601"/>
    <moreImagesAddress r:id="rId602"/>
  </webImageSrd>
  <webImageSrd>
    <address r:id="rId603"/>
    <moreImagesAddress r:id="rId604"/>
  </webImageSrd>
  <webImageSrd>
    <address r:id="rId605"/>
    <moreImagesAddress r:id="rId606"/>
  </webImageSrd>
  <webImageSrd>
    <address r:id="rId607"/>
    <moreImagesAddress r:id="rId608"/>
  </webImageSrd>
  <webImageSrd>
    <address r:id="rId609"/>
    <moreImagesAddress r:id="rId610"/>
  </webImageSrd>
  <webImageSrd>
    <address r:id="rId611"/>
    <moreImagesAddress r:id="rId612"/>
  </webImageSrd>
  <webImageSrd>
    <address r:id="rId613"/>
    <moreImagesAddress r:id="rId614"/>
  </webImageSrd>
  <webImageSrd>
    <address r:id="rId615"/>
    <moreImagesAddress r:id="rId616"/>
  </webImageSrd>
  <webImageSrd>
    <address r:id="rId617"/>
    <moreImagesAddress r:id="rId618"/>
  </webImageSrd>
  <webImageSrd>
    <address r:id="rId619"/>
    <moreImagesAddress r:id="rId620"/>
  </webImageSrd>
  <webImageSrd>
    <address r:id="rId621"/>
    <moreImagesAddress r:id="rId622"/>
  </webImageSrd>
  <webImageSrd>
    <address r:id="rId623"/>
    <moreImagesAddress r:id="rId624"/>
  </webImageSrd>
  <webImageSrd>
    <address r:id="rId625"/>
    <moreImagesAddress r:id="rId626"/>
  </webImageSrd>
  <webImageSrd>
    <address r:id="rId627"/>
    <moreImagesAddress r:id="rId628"/>
  </webImageSrd>
  <webImageSrd>
    <address r:id="rId629"/>
    <moreImagesAddress r:id="rId630"/>
  </webImageSrd>
  <webImageSrd>
    <address r:id="rId631"/>
    <moreImagesAddress r:id="rId632"/>
  </webImageSrd>
  <webImageSrd>
    <address r:id="rId633"/>
    <moreImagesAddress r:id="rId634"/>
  </webImageSrd>
  <webImageSrd>
    <address r:id="rId635"/>
    <moreImagesAddress r:id="rId636"/>
  </webImageSrd>
  <webImageSrd>
    <address r:id="rId637"/>
    <moreImagesAddress r:id="rId638"/>
  </webImageSrd>
  <webImageSrd>
    <address r:id="rId639"/>
    <moreImagesAddress r:id="rId640"/>
  </webImageSrd>
  <webImageSrd>
    <address r:id="rId641"/>
    <moreImagesAddress r:id="rId642"/>
  </webImageSrd>
  <webImageSrd>
    <address r:id="rId643"/>
    <moreImagesAddress r:id="rId644"/>
  </webImageSrd>
  <webImageSrd>
    <address r:id="rId645"/>
    <moreImagesAddress r:id="rId646"/>
  </webImageSrd>
  <webImageSrd>
    <address r:id="rId647"/>
    <moreImagesAddress r:id="rId648"/>
  </webImageSrd>
  <webImageSrd>
    <address r:id="rId649"/>
    <moreImagesAddress r:id="rId650"/>
  </webImageSrd>
  <webImageSrd>
    <address r:id="rId651"/>
    <moreImagesAddress r:id="rId652"/>
  </webImageSrd>
  <webImageSrd>
    <address r:id="rId653"/>
    <moreImagesAddress r:id="rId654"/>
  </webImageSrd>
  <webImageSrd>
    <address r:id="rId655"/>
    <moreImagesAddress r:id="rId656"/>
  </webImageSrd>
  <webImageSrd>
    <address r:id="rId657"/>
    <moreImagesAddress r:id="rId658"/>
  </webImageSrd>
  <webImageSrd>
    <address r:id="rId659"/>
    <moreImagesAddress r:id="rId660"/>
  </webImageSrd>
  <webImageSrd>
    <address r:id="rId661"/>
    <moreImagesAddress r:id="rId662"/>
  </webImageSrd>
  <webImageSrd>
    <address r:id="rId663"/>
    <moreImagesAddress r:id="rId664"/>
  </webImageSrd>
  <webImageSrd>
    <address r:id="rId665"/>
    <moreImagesAddress r:id="rId666"/>
  </webImageSrd>
  <webImageSrd>
    <address r:id="rId667"/>
    <moreImagesAddress r:id="rId668"/>
  </webImageSrd>
  <webImageSrd>
    <address r:id="rId669"/>
    <moreImagesAddress r:id="rId670"/>
  </webImageSrd>
  <webImageSrd>
    <address r:id="rId671"/>
    <moreImagesAddress r:id="rId672"/>
  </webImageSrd>
  <webImageSrd>
    <address r:id="rId673"/>
    <moreImagesAddress r:id="rId674"/>
  </webImageSrd>
  <webImageSrd>
    <address r:id="rId675"/>
    <moreImagesAddress r:id="rId676"/>
  </webImageSrd>
  <webImageSrd>
    <address r:id="rId677"/>
    <moreImagesAddress r:id="rId678"/>
  </webImageSrd>
  <webImageSrd>
    <address r:id="rId679"/>
    <moreImagesAddress r:id="rId680"/>
  </webImageSrd>
  <webImageSrd>
    <address r:id="rId681"/>
    <moreImagesAddress r:id="rId682"/>
  </webImageSrd>
  <webImageSrd>
    <address r:id="rId683"/>
    <moreImagesAddress r:id="rId684"/>
  </webImageSrd>
  <webImageSrd>
    <address r:id="rId685"/>
    <moreImagesAddress r:id="rId686"/>
  </webImageSrd>
  <webImageSrd>
    <address r:id="rId687"/>
    <moreImagesAddress r:id="rId688"/>
  </webImageSrd>
  <webImageSrd>
    <address r:id="rId689"/>
    <moreImagesAddress r:id="rId690"/>
  </webImageSrd>
  <webImageSrd>
    <address r:id="rId691"/>
    <moreImagesAddress r:id="rId692"/>
  </webImageSrd>
  <webImageSrd>
    <address r:id="rId693"/>
    <moreImagesAddress r:id="rId694"/>
  </webImageSrd>
  <webImageSrd>
    <address r:id="rId695"/>
    <moreImagesAddress r:id="rId696"/>
  </webImageSrd>
  <webImageSrd>
    <address r:id="rId697"/>
    <moreImagesAddress r:id="rId698"/>
  </webImageSrd>
  <webImageSrd>
    <address r:id="rId699"/>
    <moreImagesAddress r:id="rId700"/>
  </webImageSrd>
  <webImageSrd>
    <address r:id="rId701"/>
    <moreImagesAddress r:id="rId702"/>
  </webImageSrd>
  <webImageSrd>
    <address r:id="rId703"/>
    <moreImagesAddress r:id="rId704"/>
  </webImageSrd>
  <webImageSrd>
    <address r:id="rId705"/>
    <moreImagesAddress r:id="rId706"/>
  </webImageSrd>
  <webImageSrd>
    <address r:id="rId707"/>
    <moreImagesAddress r:id="rId708"/>
  </webImageSrd>
  <webImageSrd>
    <address r:id="rId709"/>
    <moreImagesAddress r:id="rId710"/>
  </webImageSrd>
  <webImageSrd>
    <address r:id="rId711"/>
    <moreImagesAddress r:id="rId712"/>
  </webImageSrd>
  <webImageSrd>
    <address r:id="rId713"/>
    <moreImagesAddress r:id="rId714"/>
  </webImageSrd>
  <webImageSrd>
    <address r:id="rId715"/>
    <moreImagesAddress r:id="rId716"/>
  </webImageSrd>
</webImagesSrd>
</file>

<file path=xl/richData/rdarray.xml><?xml version="1.0" encoding="utf-8"?>
<arrayData xmlns="http://schemas.microsoft.com/office/spreadsheetml/2017/richdata2" count="711">
  <a r="1">
    <v t="r">53</v>
  </a>
  <a r="1">
    <v t="s">UTC+04:30</v>
  </a>
  <a r="3">
    <v t="r">76</v>
    <v t="r">77</v>
    <v t="r">78</v>
  </a>
  <a r="2">
    <v t="s">Pashto</v>
    <v t="s">Dari</v>
  </a>
  <a r="34">
    <v t="r">89</v>
    <v t="r">90</v>
    <v t="r">91</v>
    <v t="r">92</v>
    <v t="r">93</v>
    <v t="r">94</v>
    <v t="r">95</v>
    <v t="r">96</v>
    <v t="r">97</v>
    <v t="r">98</v>
    <v t="r">99</v>
    <v t="r">100</v>
    <v t="r">101</v>
    <v t="r">47</v>
    <v t="r">102</v>
    <v t="r">103</v>
    <v t="r">104</v>
    <v t="r">105</v>
    <v t="r">106</v>
    <v t="r">107</v>
    <v t="r">108</v>
    <v t="r">109</v>
    <v t="r">110</v>
    <v t="r">111</v>
    <v t="r">112</v>
    <v t="r">113</v>
    <v t="r">114</v>
    <v t="r">115</v>
    <v t="r">116</v>
    <v t="r">117</v>
    <v t="r">118</v>
    <v t="r">119</v>
    <v t="r">120</v>
    <v t="r">121</v>
  </a>
  <a r="3">
    <v t="r">134</v>
    <v t="r">135</v>
    <v t="r">136</v>
  </a>
  <a r="1">
    <v t="s">UTC+01:00</v>
  </a>
  <a r="2">
    <v t="r">161</v>
    <v t="r">162</v>
  </a>
  <a r="1">
    <v t="s">Albanian language</v>
  </a>
  <a r="12">
    <v t="r">180</v>
    <v t="r">181</v>
    <v t="r">182</v>
    <v t="r">183</v>
    <v t="r">184</v>
    <v t="r">185</v>
    <v t="r">186</v>
    <v t="r">187</v>
    <v t="r">188</v>
    <v t="r">189</v>
    <v t="r">129</v>
    <v t="r">190</v>
  </a>
  <a r="1">
    <v t="s">Central European Time</v>
  </a>
  <a r="1">
    <v t="r">204</v>
  </a>
  <a r="2">
    <v t="r">228</v>
    <v t="r">229</v>
  </a>
  <a r="2">
    <v t="s">Modern Standard Arabic</v>
    <v t="s">Standard Algerian Berber</v>
  </a>
  <a r="48">
    <v t="r">248</v>
    <v t="r">249</v>
    <v t="r">250</v>
    <v t="r">251</v>
    <v t="r">252</v>
    <v t="r">253</v>
    <v t="r">254</v>
    <v t="r">255</v>
    <v t="r">256</v>
    <v t="r">257</v>
    <v t="r">258</v>
    <v t="r">259</v>
    <v t="r">260</v>
    <v t="r">261</v>
    <v t="r">262</v>
    <v t="r">199</v>
    <v t="r">263</v>
    <v t="r">264</v>
    <v t="r">265</v>
    <v t="r">266</v>
    <v t="r">267</v>
    <v t="r">268</v>
    <v t="r">269</v>
    <v t="r">270</v>
    <v t="r">271</v>
    <v t="r">272</v>
    <v t="r">273</v>
    <v t="r">274</v>
    <v t="r">275</v>
    <v t="r">276</v>
    <v t="r">277</v>
    <v t="r">278</v>
    <v t="r">279</v>
    <v t="r">280</v>
    <v t="r">281</v>
    <v t="r">282</v>
    <v t="r">283</v>
    <v t="r">284</v>
    <v t="r">285</v>
    <v t="r">286</v>
    <v t="r">287</v>
    <v t="r">288</v>
    <v t="r">289</v>
    <v t="r">290</v>
    <v t="r">291</v>
    <v t="r">292</v>
    <v t="r">293</v>
    <v t="r">294</v>
  </a>
  <a r="1">
    <v t="s">Africa/Algiers</v>
  </a>
  <a r="2">
    <v t="s">UTC+02:00</v>
    <v t="s">UTC+01:00</v>
  </a>
  <a r="3">
    <v t="r">322</v>
    <v t="r">323</v>
    <v t="r">324</v>
  </a>
  <a r="1">
    <v t="s">Catalan language</v>
  </a>
  <a r="6">
    <v t="r">332</v>
    <v t="r">333</v>
    <v t="r">334</v>
    <v t="r">335</v>
    <v t="r">336</v>
    <v t="r">337</v>
  </a>
  <a r="2">
    <v t="r">371</v>
    <v t="r">372</v>
  </a>
  <a r="1">
    <v t="s">Angolan Portuguese</v>
  </a>
  <a r="18">
    <v t="r">390</v>
    <v t="r">391</v>
    <v t="r">392</v>
    <v t="r">393</v>
    <v t="r">394</v>
    <v t="r">395</v>
    <v t="r">396</v>
    <v t="r">397</v>
    <v t="r">398</v>
    <v t="r">399</v>
    <v t="r">344</v>
    <v t="r">400</v>
    <v t="r">401</v>
    <v t="r">402</v>
    <v t="r">403</v>
    <v t="r">404</v>
    <v t="r">405</v>
    <v t="r">406</v>
  </a>
  <a r="1">
    <v t="s">Africa/Luanda</v>
  </a>
  <a r="2">
    <v t="r">441</v>
    <v t="r">442</v>
  </a>
  <a r="1">
    <v t="s">English language</v>
  </a>
  <a r="8">
    <v t="r">452</v>
    <v t="r">453</v>
    <v t="r">454</v>
    <v t="r">455</v>
    <v t="r">456</v>
    <v t="r">457</v>
    <v t="r">458</v>
    <v t="r">459</v>
  </a>
  <a r="1">
    <v t="s">UTC−04:00</v>
  </a>
  <a r="3">
    <v t="r">470</v>
    <v t="r">471</v>
    <v t="r">472</v>
  </a>
  <a r="1">
    <v t="s">America/Argentina/Buenos_Aires</v>
  </a>
  <a r="2">
    <v t="r">496</v>
    <v t="r">497</v>
  </a>
  <a r="1">
    <v t="s">Rioplatense Spanish</v>
  </a>
  <a r="23">
    <v t="r">516</v>
    <v t="r">517</v>
    <v t="r">518</v>
    <v t="r">519</v>
    <v t="r">520</v>
    <v t="r">521</v>
    <v t="r">522</v>
    <v t="r">523</v>
    <v t="r">524</v>
    <v t="r">525</v>
    <v t="r">526</v>
    <v t="r">527</v>
    <v t="r">528</v>
    <v t="r">529</v>
    <v t="r">530</v>
    <v t="r">531</v>
    <v t="r">532</v>
    <v t="r">533</v>
    <v t="r">534</v>
    <v t="r">535</v>
    <v t="r">536</v>
    <v t="r">537</v>
    <v t="r">538</v>
  </a>
  <a r="1">
    <v t="s">Time in Argentina</v>
  </a>
  <a r="1">
    <v t="r">550</v>
  </a>
  <a r="1">
    <v t="s">UTC+04:00</v>
  </a>
  <a r="2">
    <v t="r">574</v>
    <v t="r">575</v>
  </a>
  <a r="1">
    <v t="s">Armenian language</v>
  </a>
  <a r="11">
    <v t="r">592</v>
    <v t="r">593</v>
    <v t="r">594</v>
    <v t="r">595</v>
    <v t="r">596</v>
    <v t="r">597</v>
    <v t="r">598</v>
    <v t="r">599</v>
    <v t="r">600</v>
    <v t="r">601</v>
    <v t="r">546</v>
  </a>
  <a r="1">
    <v t="s">Armenia Time</v>
  </a>
  <a r="1">
    <v t="s">UTC+10:00</v>
  </a>
  <a r="2">
    <v t="r">441</v>
    <v t="r">637</v>
  </a>
  <a r="1">
    <v t="s">Australian English</v>
  </a>
  <a r="15">
    <v t="r">610</v>
    <v t="r">655</v>
    <v t="r">656</v>
    <v t="r">657</v>
    <v t="r">658</v>
    <v t="r">659</v>
    <v t="r">660</v>
    <v t="r">661</v>
    <v t="r">662</v>
    <v t="r">663</v>
    <v t="r">664</v>
    <v t="r">665</v>
    <v t="r">666</v>
    <v t="r">667</v>
    <v t="r">668</v>
  </a>
  <a r="12">
    <v t="s">Norfolk Time Zone</v>
    <v t="s">Lord Howe Time Zone</v>
    <v t="s">Australian Eastern Time Zone</v>
    <v t="s">Australian Central Time Zone</v>
    <v t="s">Central Western Time Zone</v>
    <v t="s">Australian Western Time Zone</v>
    <v t="s">Casey Time Zone</v>
    <v t="s">Christmas Island Time Zone</v>
    <v t="s">Davis Time Zone</v>
    <v t="s">Cocos Islands Time Zone</v>
    <v t="s">Heard and McDonald Islands Time Zone</v>
    <v t="s">Mawson Station Time Zone</v>
  </a>
  <a r="1">
    <v t="r">680</v>
  </a>
  <a r="1">
    <v t="r">689</v>
  </a>
  <a r="1">
    <v t="s">Azerbaijani language</v>
  </a>
  <a r="3">
    <v t="r">713</v>
    <v t="r">714</v>
    <v t="r">715</v>
  </a>
  <a r="69">
    <v t="r">732</v>
    <v t="r">733</v>
    <v t="r">734</v>
    <v t="r">735</v>
    <v t="r">736</v>
    <v t="r">737</v>
    <v t="r">738</v>
    <v t="r">739</v>
    <v t="r">685</v>
    <v t="r">740</v>
    <v t="r">741</v>
    <v t="r">742</v>
    <v t="r">743</v>
    <v t="r">744</v>
    <v t="r">745</v>
    <v t="r">746</v>
    <v t="r">747</v>
    <v t="r">748</v>
    <v t="r">749</v>
    <v t="r">750</v>
    <v t="r">751</v>
    <v t="r">752</v>
    <v t="r">753</v>
    <v t="r">754</v>
    <v t="r">755</v>
    <v t="r">756</v>
    <v t="r">757</v>
    <v t="r">758</v>
    <v t="r">759</v>
    <v t="r">760</v>
    <v t="r">761</v>
    <v t="r">762</v>
    <v t="r">763</v>
    <v t="r">764</v>
    <v t="r">765</v>
    <v t="r">766</v>
    <v t="r">767</v>
    <v t="r">768</v>
    <v t="r">769</v>
    <v t="r">770</v>
    <v t="r">771</v>
    <v t="r">772</v>
    <v t="r">773</v>
    <v t="r">774</v>
    <v t="r">775</v>
    <v t="r">776</v>
    <v t="r">777</v>
    <v t="r">778</v>
    <v t="r">779</v>
    <v t="r">780</v>
    <v t="r">781</v>
    <v t="r">782</v>
    <v t="r">783</v>
    <v t="r">784</v>
    <v t="r">785</v>
    <v t="r">786</v>
    <v t="r">787</v>
    <v t="r">788</v>
    <v t="r">789</v>
    <v t="r">790</v>
    <v t="r">791</v>
    <v t="r">792</v>
    <v t="r">793</v>
    <v t="r">794</v>
    <v t="r">795</v>
    <v t="r">796</v>
    <v t="r">797</v>
    <v t="r">798</v>
    <v t="r">799</v>
  </a>
  <a r="1">
    <v t="s">Eastern Time Zone</v>
  </a>
  <a r="2">
    <v t="r">441</v>
    <v t="r">831</v>
  </a>
  <a r="1">
    <v t="s">Bahamian English</v>
  </a>
  <a r="32">
    <v t="r">842</v>
    <v t="r">843</v>
    <v t="r">844</v>
    <v t="r">845</v>
    <v t="r">846</v>
    <v t="r">847</v>
    <v t="r">848</v>
    <v t="r">849</v>
    <v t="r">850</v>
    <v t="r">851</v>
    <v t="r">852</v>
    <v t="r">853</v>
    <v t="r">854</v>
    <v t="r">855</v>
    <v t="r">856</v>
    <v t="r">857</v>
    <v t="r">858</v>
    <v t="r">859</v>
    <v t="r">860</v>
    <v t="r">861</v>
    <v t="r">862</v>
    <v t="r">863</v>
    <v t="r">864</v>
    <v t="r">865</v>
    <v t="r">866</v>
    <v t="r">867</v>
    <v t="r">868</v>
    <v t="r">869</v>
    <v t="r">870</v>
    <v t="r">871</v>
    <v t="r">872</v>
    <v t="r">873</v>
  </a>
  <a r="1">
    <v t="s">UTC−05:00</v>
  </a>
  <a r="1">
    <v t="r">886</v>
  </a>
  <a r="2">
    <v t="s">Arabia Time Zone</v>
    <v t="s">Arab Standard Time</v>
  </a>
  <a r="1">
    <v t="r">899</v>
  </a>
  <a r="1">
    <v t="s">UTC+06:00</v>
  </a>
  <a r="2">
    <v t="r">923</v>
    <v t="r">924</v>
  </a>
  <a r="1">
    <v t="s">Bengali language</v>
  </a>
  <a r="8">
    <v t="r">942</v>
    <v t="r">943</v>
    <v t="r">894</v>
    <v t="r">944</v>
    <v t="r">945</v>
    <v t="r">946</v>
    <v t="r">947</v>
    <v t="r">948</v>
  </a>
  <a r="1">
    <v t="s">Bangladesh Standard Time</v>
  </a>
  <a r="2">
    <v t="r">981</v>
    <v t="r">982</v>
  </a>
  <a r="1">
    <v t="s">Bajan English</v>
  </a>
  <a r="11">
    <v t="r">994</v>
    <v t="r">995</v>
    <v t="r">996</v>
    <v t="r">997</v>
    <v t="r">998</v>
    <v t="r">999</v>
    <v t="r">1000</v>
    <v t="r">1001</v>
    <v t="r">1002</v>
    <v t="r">1003</v>
    <v t="r">1004</v>
  </a>
  <a r="1">
    <v t="r">1015</v>
  </a>
  <a r="2">
    <v t="s">Belarusian language</v>
    <v t="s">Russian language</v>
  </a>
  <a r="1">
    <v t="s">UTC+03:00</v>
  </a>
  <a r="2">
    <v t="r">1039</v>
    <v t="r">1040</v>
  </a>
  <a r="7">
    <v t="r">1056</v>
    <v t="r">1057</v>
    <v t="r">1058</v>
    <v t="r">1059</v>
    <v t="r">1060</v>
    <v t="r">1061</v>
    <v t="r">1011</v>
  </a>
  <a r="1">
    <v t="r">1074</v>
  </a>
  <a r="2">
    <v t="r">1097</v>
    <v t="r">1098</v>
  </a>
  <a r="3">
    <v t="s">Dutch language</v>
    <v t="s">German language</v>
    <v t="s">French language</v>
  </a>
  <a r="3">
    <v t="r">1115</v>
    <v t="r">1069</v>
    <v t="r">1116</v>
  </a>
  <a r="4">
    <v t="s">Central European Time</v>
    <v t="s">UTC+02:00</v>
    <v t="s">UTC+01:00</v>
    <v t="s">Central European Summer Time</v>
  </a>
  <a r="1">
    <v t="r">1130</v>
  </a>
  <a r="2">
    <v t="r">441</v>
    <v t="r">1153</v>
  </a>
  <a r="1">
    <v t="s">Belizean English</v>
  </a>
  <a r="6">
    <v t="r">1169</v>
    <v t="r">1125</v>
    <v t="r">1170</v>
    <v t="r">1171</v>
    <v t="r">1172</v>
    <v t="r">1173</v>
  </a>
  <a r="1">
    <v t="s">UTC−06:00</v>
  </a>
  <a r="1">
    <v t="r">1187</v>
  </a>
  <a r="1">
    <v t="s">West Africa Time Zone</v>
  </a>
  <a r="2">
    <v t="r">1213</v>
    <v t="r">1214</v>
  </a>
  <a r="1">
    <v t="s">French language</v>
  </a>
  <a r="12">
    <v t="r">1229</v>
    <v t="r">1230</v>
    <v t="r">1231</v>
    <v t="r">1232</v>
    <v t="r">1233</v>
    <v t="r">1234</v>
    <v t="r">1235</v>
    <v t="r">1236</v>
    <v t="r">1237</v>
    <v t="r">1182</v>
    <v t="r">1238</v>
    <v t="r">1239</v>
  </a>
  <a r="1">
    <v t="s">Africa/Porto-Novo</v>
  </a>
  <a r="1">
    <v t="r">1253</v>
  </a>
  <a r="1">
    <v t="r">1275</v>
  </a>
  <a r="1">
    <v t="s">Dzongkha</v>
  </a>
  <a r="20">
    <v t="r">1291</v>
    <v t="r">1292</v>
    <v t="r">1293</v>
    <v t="r">1294</v>
    <v t="r">1295</v>
    <v t="r">1296</v>
    <v t="r">1297</v>
    <v t="r">1298</v>
    <v t="r">1299</v>
    <v t="r">1300</v>
    <v t="r">1301</v>
    <v t="r">1302</v>
    <v t="r">1303</v>
    <v t="r">1248</v>
    <v t="r">1304</v>
    <v t="r">1305</v>
    <v t="r">1306</v>
    <v t="r">1307</v>
    <v t="r">1308</v>
    <v t="r">1309</v>
  </a>
  <a r="1">
    <v t="s">Asia/Thimphu</v>
  </a>
  <a r="1">
    <v t="r">1323</v>
  </a>
  <a r="2">
    <v t="r">1346</v>
    <v t="r">1347</v>
  </a>
  <a r="5">
    <v t="s">Aymara language</v>
    <v t="s">Languages of Bolivia</v>
    <v t="s">Guarani language</v>
    <v t="s">Quechuan languages</v>
    <v t="s">Bolivian Spanish</v>
  </a>
  <a r="9">
    <v t="r">1362</v>
    <v t="r">1318</v>
    <v t="r">1363</v>
    <v t="r">1364</v>
    <v t="r">1365</v>
    <v t="r">1366</v>
    <v t="r">1367</v>
    <v t="r">1368</v>
    <v t="r">1369</v>
  </a>
  <a r="1">
    <v t="r">1382</v>
  </a>
  <a r="3">
    <v t="r">1404</v>
    <v t="r">1405</v>
    <v t="r">1406</v>
  </a>
  <a r="3">
    <v t="s">Bosnian language</v>
    <v t="s">Croatian language</v>
    <v t="s">Serbian language</v>
  </a>
  <a r="3">
    <v t="r">1377</v>
    <v t="r">1421</v>
    <v t="r">1422</v>
  </a>
  <a r="3">
    <v t="s">Central European Time</v>
    <v t="s">UTC+02:00</v>
    <v t="s">UTC+01:00</v>
  </a>
  <a r="2">
    <v t="r">1434</v>
    <v t="r">1435</v>
  </a>
  <a r="1">
    <v t="s">Central Africa Time</v>
  </a>
  <a r="3">
    <v t="r">1457</v>
    <v t="r">1458</v>
    <v t="r">1459</v>
  </a>
  <a r="9">
    <v t="r">1476</v>
    <v t="r">1477</v>
    <v t="r">1478</v>
    <v t="r">1479</v>
    <v t="r">1480</v>
    <v t="r">1481</v>
    <v t="r">1482</v>
    <v t="r">1483</v>
    <v t="r">1484</v>
  </a>
  <a r="1">
    <v t="s">Ibaneis Rocha (Governor)</v>
  </a>
  <a r="1">
    <v t="s">UTC−03:00</v>
  </a>
  <a r="2">
    <v t="r">1518</v>
    <v t="r">1519</v>
  </a>
  <a r="1">
    <v t="s">Portuguese language</v>
  </a>
  <a r="27">
    <v t="r">1535</v>
    <v t="r">1536</v>
    <v t="r">1537</v>
    <v t="r">1538</v>
    <v t="r">1539</v>
    <v t="r">1540</v>
    <v t="r">1541</v>
    <v t="r">1542</v>
    <v t="r">1543</v>
    <v t="r">1544</v>
    <v t="r">1545</v>
    <v t="r">1546</v>
    <v t="r">1547</v>
    <v t="r">1548</v>
    <v t="r">1549</v>
    <v t="r">1550</v>
    <v t="r">1551</v>
    <v t="r">1552</v>
    <v t="r">1553</v>
    <v t="r">1554</v>
    <v t="r">1555</v>
    <v t="r">1556</v>
    <v t="r">1557</v>
    <v t="r">1558</v>
    <v t="r">1559</v>
    <v t="r">1560</v>
    <v t="r">1491</v>
  </a>
  <a r="3">
    <v t="s">Fernando de Noronha Time Zone</v>
    <v t="s">Brasília Time Zone</v>
    <v t="s">Amazon Time Zone</v>
  </a>
  <a r="2">
    <v t="r">1596</v>
    <v t="r">1597</v>
  </a>
  <a r="1">
    <v t="s">Malay language</v>
  </a>
  <a r="4">
    <v t="r">1607</v>
    <v t="r">1608</v>
    <v t="r">1609</v>
    <v t="r">1610</v>
  </a>
  <a r="1">
    <v t="s">UTC+08:00</v>
  </a>
  <a r="1">
    <v t="r">1623</v>
  </a>
  <a r="3">
    <v t="r">1647</v>
    <v t="r">1648</v>
    <v t="r">1649</v>
  </a>
  <a r="1">
    <v t="s">Bulgarian language</v>
  </a>
  <a r="28">
    <v t="r">1666</v>
    <v t="r">1667</v>
    <v t="r">1668</v>
    <v t="r">1669</v>
    <v t="r">1670</v>
    <v t="r">1671</v>
    <v t="r">1672</v>
    <v t="r">1673</v>
    <v t="r">1674</v>
    <v t="r">1675</v>
    <v t="r">1676</v>
    <v t="r">1677</v>
    <v t="r">1678</v>
    <v t="r">1679</v>
    <v t="r">1680</v>
    <v t="r">1681</v>
    <v t="r">1682</v>
    <v t="r">1683</v>
    <v t="r">1684</v>
    <v t="r">1618</v>
    <v t="r">1685</v>
    <v t="r">1686</v>
    <v t="r">1687</v>
    <v t="r">1688</v>
    <v t="r">1689</v>
    <v t="r">1690</v>
    <v t="r">1691</v>
    <v t="r">1692</v>
  </a>
  <a r="4">
    <v t="s">UTC+03:00</v>
    <v t="s">Eastern European Summer Time</v>
    <v t="s">UTC+02:00</v>
    <v t="s">Eastern European Time</v>
  </a>
  <a r="1">
    <v t="r">1707</v>
  </a>
  <a r="1">
    <v t="s">UTC+00:00</v>
  </a>
  <a r="3">
    <v t="r">1740</v>
    <v t="r">1741</v>
    <v t="r">1742</v>
  </a>
  <a r="4">
    <v t="s">Belgian French</v>
    <v t="s">English language</v>
    <v t="s">Swahili language</v>
    <v t="s">Kirundi</v>
  </a>
  <a r="17">
    <v t="r">1756</v>
    <v t="r">1757</v>
    <v t="r">1758</v>
    <v t="r">1759</v>
    <v t="r">1760</v>
    <v t="r">1761</v>
    <v t="r">1715</v>
    <v t="r">1762</v>
    <v t="r">1763</v>
    <v t="r">1764</v>
    <v t="r">1765</v>
    <v t="r">1766</v>
    <v t="r">1767</v>
    <v t="r">1768</v>
    <v t="r">1769</v>
    <v t="r">1770</v>
    <v t="r">1771</v>
  </a>
  <a r="1">
    <v t="s">Africa/Bujumbura</v>
  </a>
  <a r="1">
    <v t="s">Cape Verde Time Zone</v>
  </a>
  <a r="2">
    <v t="r">1805</v>
    <v t="r">1806</v>
  </a>
  <a r="1">
    <v t="s">Cape Verdean Portuguese</v>
  </a>
  <a r="17">
    <v t="r">1823</v>
    <v t="r">1824</v>
    <v t="r">1825</v>
    <v t="r">1826</v>
    <v t="r">1827</v>
    <v t="r">1828</v>
    <v t="r">1829</v>
    <v t="r">1830</v>
    <v t="r">1831</v>
    <v t="r">1781</v>
    <v t="r">1832</v>
    <v t="r">1833</v>
    <v t="r">1834</v>
    <v t="r">1835</v>
    <v t="r">1836</v>
    <v t="r">1837</v>
    <v t="r">1838</v>
  </a>
  <a r="1">
    <v t="s">Cape Verde Time</v>
  </a>
  <a r="1">
    <v t="r">1850</v>
  </a>
  <a r="2">
    <v t="r">1873</v>
    <v t="r">1874</v>
  </a>
  <a r="1">
    <v t="s">Khmer language</v>
  </a>
  <a r="22">
    <v t="r">1884</v>
    <v t="r">1885</v>
    <v t="r">1886</v>
    <v t="r">1887</v>
    <v t="r">1888</v>
    <v t="r">1889</v>
    <v t="r">1890</v>
    <v t="r">1891</v>
    <v t="r">1892</v>
    <v t="r">1893</v>
    <v t="r">1894</v>
    <v t="r">1895</v>
    <v t="r">1896</v>
    <v t="r">1897</v>
    <v t="r">1898</v>
    <v t="r">1899</v>
    <v t="r">1900</v>
    <v t="r">1901</v>
    <v t="r">1902</v>
    <v t="r">1903</v>
    <v t="r">1904</v>
    <v t="r">1846</v>
  </a>
  <a r="1">
    <v t="s">UTC+07:00</v>
  </a>
  <a r="2">
    <v t="r">1941</v>
    <v t="r">1942</v>
  </a>
  <a r="2">
    <v t="s">English language</v>
    <v t="s">French language</v>
  </a>
  <a r="10">
    <v t="r">1958</v>
    <v t="r">1913</v>
    <v t="r">1959</v>
    <v t="r">1960</v>
    <v t="r">1961</v>
    <v t="r">1962</v>
    <v t="r">1963</v>
    <v t="r">1964</v>
    <v t="r">1965</v>
    <v t="r">1966</v>
  </a>
  <a r="1">
    <v t="s">West Africa Time</v>
  </a>
  <a r="1">
    <v t="r">1978</v>
  </a>
  <a r="2">
    <v t="r">441</v>
    <v t="r">2002</v>
  </a>
  <a r="2">
    <v t="s">Canadian French</v>
    <v t="s">Canadian English</v>
  </a>
  <a r="13">
    <v t="r">1974</v>
    <v t="r">2016</v>
    <v t="r">2017</v>
    <v t="r">2018</v>
    <v t="r">2019</v>
    <v t="r">2020</v>
    <v t="r">2021</v>
    <v t="r">2022</v>
    <v t="r">2023</v>
    <v t="r">2024</v>
    <v t="r">2025</v>
    <v t="r">2026</v>
    <v t="r">2027</v>
  </a>
  <a r="6">
    <v t="s">Newfoundland Time Zone</v>
    <v t="s">Atlantic Time Zone</v>
    <v t="s">Eastern Time Zone</v>
    <v t="s">Central Time Zone</v>
    <v t="s">Mountain Time Zone</v>
    <v t="s">Pacific Time Zone</v>
  </a>
  <a r="1">
    <v t="r">2039</v>
  </a>
  <a r="2">
    <v t="r">2059</v>
    <v t="r">2060</v>
  </a>
  <a r="16">
    <v t="r">2073</v>
    <v t="r">2074</v>
    <v t="r">2075</v>
    <v t="r">2076</v>
    <v t="r">2077</v>
    <v t="r">2078</v>
    <v t="r">2079</v>
    <v t="r">2080</v>
    <v t="r">2081</v>
    <v t="r">2082</v>
    <v t="r">2083</v>
    <v t="r">2084</v>
    <v t="r">2085</v>
    <v t="r">2086</v>
    <v t="r">2087</v>
    <v t="r">2035</v>
  </a>
  <a r="1">
    <v t="s">Africa/Bangui</v>
  </a>
  <a r="2">
    <v t="r">2118</v>
    <v t="r">2119</v>
  </a>
  <a r="2">
    <v t="s">Arabic</v>
    <v t="s">French language</v>
  </a>
  <a r="10">
    <v t="r">2134</v>
    <v t="r">2135</v>
    <v t="r">2136</v>
    <v t="r">2137</v>
    <v t="r">2138</v>
    <v t="r">2139</v>
    <v t="r">2140</v>
    <v t="r">2141</v>
    <v t="r">2142</v>
    <v t="r">2095</v>
  </a>
  <a r="1">
    <v t="s">Africa/Ndjamena</v>
  </a>
  <a r="1">
    <v t="r">2155</v>
  </a>
  <a r="1">
    <v t="r">2178</v>
  </a>
  <a r="1">
    <v t="s">Spanish language</v>
  </a>
  <a r="15">
    <v t="r">2195</v>
    <v t="r">2196</v>
    <v t="r">2197</v>
    <v t="r">2198</v>
    <v t="r">2199</v>
    <v t="r">2200</v>
    <v t="r">2201</v>
    <v t="r">2202</v>
    <v t="r">2203</v>
    <v t="r">2204</v>
    <v t="r">2205</v>
    <v t="r">2206</v>
    <v t="r">2207</v>
    <v t="r">2208</v>
    <v t="r">2150</v>
  </a>
  <a r="3">
    <v t="s">UTC−05:00</v>
    <v t="s">UTC−04:00</v>
    <v t="s">UTC−03:00</v>
  </a>
  <a r="3">
    <v t="r">2221</v>
    <v t="r">2222</v>
    <v t="r">2223</v>
  </a>
  <a r="4">
    <v t="r">2247</v>
    <v t="r">2248</v>
    <v t="r">2249</v>
    <v t="r">2250</v>
  </a>
  <a r="1">
    <v t="s">Standard Chinese</v>
  </a>
  <a r="33">
    <v t="r">2216</v>
    <v t="r">2267</v>
    <v t="r">2268</v>
    <v t="r">2269</v>
    <v t="r">2270</v>
    <v t="r">2271</v>
    <v t="r">2272</v>
    <v t="r">2273</v>
    <v t="r">2274</v>
    <v t="r">2275</v>
    <v t="r">2276</v>
    <v t="r">2277</v>
    <v t="r">2278</v>
    <v t="r">2279</v>
    <v t="r">2280</v>
    <v t="r">2281</v>
    <v t="r">2282</v>
    <v t="r">2283</v>
    <v t="r">2284</v>
    <v t="r">2285</v>
    <v t="r">2286</v>
    <v t="r">2246</v>
    <v t="r">2287</v>
    <v t="r">2288</v>
    <v t="r">2289</v>
    <v t="r">2290</v>
    <v t="r">2291</v>
    <v t="r">2292</v>
    <v t="r">2293</v>
    <v t="r">2294</v>
    <v t="r">2295</v>
    <v t="r">2296</v>
    <v t="r">2297</v>
  </a>
  <a r="1">
    <v t="s">China Standard Time</v>
  </a>
  <a r="1">
    <v t="r">2310</v>
  </a>
  <a r="2">
    <v t="r">2332</v>
    <v t="r">2333</v>
  </a>
  <a r="1">
    <v t="s">Colombian Spanish</v>
  </a>
  <a r="33">
    <v t="r">2348</v>
    <v t="r">2349</v>
    <v t="r">2350</v>
    <v t="r">2351</v>
    <v t="r">2352</v>
    <v t="r">2353</v>
    <v t="r">2354</v>
    <v t="r">2355</v>
    <v t="r">2356</v>
    <v t="r">2357</v>
    <v t="r">2358</v>
    <v t="r">2359</v>
    <v t="r">2360</v>
    <v t="r">2361</v>
    <v t="r">2362</v>
    <v t="r">2363</v>
    <v t="r">2364</v>
    <v t="r">2365</v>
    <v t="r">2366</v>
    <v t="r">2367</v>
    <v t="r">2368</v>
    <v t="r">2369</v>
    <v t="r">2370</v>
    <v t="r">2371</v>
    <v t="r">2372</v>
    <v t="r">2373</v>
    <v t="r">2374</v>
    <v t="r">2375</v>
    <v t="r">2376</v>
    <v t="r">2377</v>
    <v t="r">2378</v>
    <v t="r">2379</v>
    <v t="r">2305</v>
  </a>
  <a r="1">
    <v t="r">2409</v>
  </a>
  <a r="3">
    <v t="s">Arabic</v>
    <v t="s">Comorian languages</v>
    <v t="s">French language</v>
  </a>
  <a r="3">
    <v t="r">2387</v>
    <v t="r">2423</v>
    <v t="r">2424</v>
  </a>
  <a r="1">
    <v t="r">2435</v>
  </a>
  <a r="2">
    <v t="r">2456</v>
    <v t="r">2457</v>
  </a>
  <a r="12">
    <v t="r">2473</v>
    <v t="r">2430</v>
    <v t="r">2474</v>
    <v t="r">2475</v>
    <v t="r">2476</v>
    <v t="r">2477</v>
    <v t="r">2478</v>
    <v t="r">2479</v>
    <v t="r">2480</v>
    <v t="r">2481</v>
    <v t="r">2482</v>
    <v t="r">2483</v>
  </a>
  <a r="1">
    <v t="s">Africa/Lubumbashi</v>
  </a>
  <a r="1">
    <v t="r">2497</v>
  </a>
  <a r="1">
    <v t="r">2520</v>
  </a>
  <a r="1">
    <v t="s">Costa Rican Spanish</v>
  </a>
  <a r="7">
    <v t="r">2532</v>
    <v t="r">2533</v>
    <v t="r">2534</v>
    <v t="r">2535</v>
    <v t="r">2536</v>
    <v t="r">2537</v>
    <v t="r">2492</v>
  </a>
  <a r="2">
    <v t="r">2548</v>
    <v t="r">2549</v>
  </a>
  <a r="3">
    <v t="r">2572</v>
    <v t="r">2573</v>
    <v t="r">2574</v>
  </a>
  <a r="1">
    <v t="s">African French</v>
  </a>
  <a r="1">
    <v t="s">Africa/Abidjan</v>
  </a>
  <a r="1">
    <v t="r">2599</v>
  </a>
  <a r="2">
    <v t="r">2622</v>
    <v t="r">2623</v>
  </a>
  <a r="1">
    <v t="s">Croatian language</v>
  </a>
  <a r="21">
    <v t="r">2637</v>
    <v t="r">2638</v>
    <v t="r">2639</v>
    <v t="r">2640</v>
    <v t="r">2641</v>
    <v t="r">2642</v>
    <v t="r">2643</v>
    <v t="r">2644</v>
    <v t="r">2645</v>
    <v t="r">2646</v>
    <v t="r">2647</v>
    <v t="r">2648</v>
    <v t="r">2649</v>
    <v t="r">2650</v>
    <v t="r">2651</v>
    <v t="r">2652</v>
    <v t="r">2653</v>
    <v t="r">2654</v>
    <v t="r">2655</v>
    <v t="r">2656</v>
    <v t="r">2595</v>
  </a>
  <a r="1">
    <v t="r">2667</v>
  </a>
  <a r="4">
    <v t="r">2688</v>
    <v t="r">2689</v>
    <v t="r">2690</v>
    <v t="r">2691</v>
  </a>
  <a r="1">
    <v t="s">Cuban Spanish</v>
  </a>
  <a r="16">
    <v t="r">2700</v>
    <v t="r">2701</v>
    <v t="r">2702</v>
    <v t="r">2703</v>
    <v t="r">2704</v>
    <v t="r">2705</v>
    <v t="r">2706</v>
    <v t="r">2707</v>
    <v t="r">2708</v>
    <v t="r">2709</v>
    <v t="r">2710</v>
    <v t="r">2711</v>
    <v t="r">2712</v>
    <v t="r">2713</v>
    <v t="r">2714</v>
    <v t="r">2715</v>
  </a>
  <a r="1">
    <v t="s">Constantinos Yiorkadjis (Mayor)</v>
  </a>
  <a r="2">
    <v t="s">UTC+03:00</v>
    <v t="s">UTC+02:00</v>
  </a>
  <a r="1">
    <v t="r">2749</v>
  </a>
  <a r="2">
    <v t="s">Greek language</v>
    <v t="s">Turkish language</v>
  </a>
  <a r="6">
    <v t="r">2764</v>
    <v t="r">2765</v>
    <v t="r">2766</v>
    <v t="r">2767</v>
    <v t="r">2721</v>
    <v t="r">2768</v>
  </a>
  <a r="1">
    <v t="r">2779</v>
  </a>
  <a r="1">
    <v t="s">Fatouma Awaleh Osman (Mayor)</v>
  </a>
  <a r="2">
    <v t="r">2816</v>
    <v t="r">2817</v>
  </a>
  <a r="5">
    <v t="r">2831</v>
    <v t="r">2832</v>
    <v t="r">2833</v>
    <v t="r">2834</v>
    <v t="r">2835</v>
  </a>
  <a r="1">
    <v t="s">Africa/Djibouti</v>
  </a>
  <a r="2">
    <v t="r">2864</v>
    <v t="r">2865</v>
  </a>
  <a r="1">
    <v t="s">Caribbean English</v>
  </a>
  <a r="10">
    <v t="r">2874</v>
    <v t="r">2875</v>
    <v t="r">2876</v>
    <v t="r">2877</v>
    <v t="r">2878</v>
    <v t="r">2879</v>
    <v t="r">2880</v>
    <v t="r">2881</v>
    <v t="r">2882</v>
    <v t="r">2883</v>
  </a>
  <a r="1">
    <v t="s">Atlantic Time Zone</v>
  </a>
  <a r="1">
    <v t="r">2896</v>
  </a>
  <a r="2">
    <v t="r">2919</v>
    <v t="r">2920</v>
  </a>
  <a r="1">
    <v t="s">Dominican Spanish</v>
  </a>
  <a r="32">
    <v t="r">2932</v>
    <v t="r">2933</v>
    <v t="r">2934</v>
    <v t="r">2935</v>
    <v t="r">2936</v>
    <v t="r">2937</v>
    <v t="r">2938</v>
    <v t="r">2939</v>
    <v t="r">2940</v>
    <v t="r">2941</v>
    <v t="r">2942</v>
    <v t="r">2943</v>
    <v t="r">2944</v>
    <v t="r">2945</v>
    <v t="r">2946</v>
    <v t="r">2947</v>
    <v t="r">2948</v>
    <v t="r">2949</v>
    <v t="r">2950</v>
    <v t="r">2951</v>
    <v t="r">2952</v>
    <v t="r">2953</v>
    <v t="r">2954</v>
    <v t="r">2955</v>
    <v t="r">2956</v>
    <v t="r">2957</v>
    <v t="r">2958</v>
    <v t="r">2959</v>
    <v t="r">2960</v>
    <v t="r">2961</v>
    <v t="r">2962</v>
    <v t="r">2891</v>
  </a>
  <a r="1">
    <v t="r">2972</v>
  </a>
  <a r="2">
    <v t="r">2994</v>
    <v t="r">2995</v>
  </a>
  <a r="8">
    <v t="r">3010</v>
    <v t="r">3011</v>
    <v t="r">3012</v>
    <v t="r">3013</v>
    <v t="r">2968</v>
    <v t="r">3014</v>
    <v t="r">3015</v>
    <v t="r">3016</v>
  </a>
  <a r="2">
    <v t="s">Central Africa Time Zone</v>
    <v t="s">West Africa Time Zone</v>
  </a>
  <a r="1">
    <v t="r">3031</v>
  </a>
  <a r="2">
    <v t="r">3055</v>
    <v t="r">3056</v>
  </a>
  <a r="24">
    <v t="r">3072</v>
    <v t="r">3073</v>
    <v t="r">3074</v>
    <v t="r">3075</v>
    <v t="r">3076</v>
    <v t="r">3077</v>
    <v t="r">3078</v>
    <v t="r">3079</v>
    <v t="r">3080</v>
    <v t="r">3081</v>
    <v t="r">3082</v>
    <v t="r">3083</v>
    <v t="r">3084</v>
    <v t="r">3085</v>
    <v t="r">3086</v>
    <v t="r">3087</v>
    <v t="r">3088</v>
    <v t="r">3025</v>
    <v t="r">3089</v>
    <v t="r">3090</v>
    <v t="r">3091</v>
    <v t="r">3092</v>
    <v t="r">3093</v>
    <v t="r">3094</v>
  </a>
  <a r="1">
    <v t="r">3104</v>
  </a>
  <a r="2">
    <v t="r">3126</v>
    <v t="r">3127</v>
  </a>
  <a r="1">
    <v t="s">Modern Standard Arabic</v>
  </a>
  <a r="28">
    <v t="r">3144</v>
    <v t="r">3145</v>
    <v t="r">3146</v>
    <v t="r">3147</v>
    <v t="r">3148</v>
    <v t="r">3100</v>
    <v t="r">3149</v>
    <v t="r">3150</v>
    <v t="r">3151</v>
    <v t="r">3152</v>
    <v t="r">3153</v>
    <v t="r">3154</v>
    <v t="r">3155</v>
    <v t="r">3156</v>
    <v t="r">3157</v>
    <v t="r">3158</v>
    <v t="r">3159</v>
    <v t="r">3160</v>
    <v t="r">3161</v>
    <v t="r">3162</v>
    <v t="r">3163</v>
    <v t="r">3164</v>
    <v t="r">3165</v>
    <v t="r">3166</v>
    <v t="r">3167</v>
    <v t="r">3168</v>
    <v t="r">3169</v>
    <v t="r">3170</v>
  </a>
  <a r="1">
    <v t="r">3182</v>
  </a>
  <a r="2">
    <v t="r">3206</v>
    <v t="r">3207</v>
  </a>
  <a r="1">
    <v t="s">Salvadoran Spanish</v>
  </a>
  <a r="14">
    <v t="r">3221</v>
    <v t="r">3222</v>
    <v t="r">3223</v>
    <v t="r">3224</v>
    <v t="r">3225</v>
    <v t="r">3226</v>
    <v t="r">3227</v>
    <v t="r">3228</v>
    <v t="r">3229</v>
    <v t="r">3177</v>
    <v t="r">3230</v>
    <v t="r">3231</v>
    <v t="r">3232</v>
    <v t="r">3233</v>
  </a>
  <a r="1">
    <v t="r">3245</v>
  </a>
  <a r="4">
    <v t="r">3265</v>
    <v t="r">3266</v>
    <v t="r">3267</v>
    <v t="r">3268</v>
  </a>
  <a r="3">
    <v t="s">Portuguese language</v>
    <v t="s">Equatoguinean Spanish</v>
    <v t="s">French language</v>
  </a>
  <a r="6">
    <v t="r">3278</v>
    <v t="r">3279</v>
    <v t="r">3280</v>
    <v t="r">3281</v>
    <v t="r">3282</v>
    <v t="r">3283</v>
  </a>
  <a r="1">
    <v t="s">Fshaye Haile (Mayor)</v>
  </a>
  <a r="3">
    <v t="r">3319</v>
    <v t="r">3320</v>
    <v t="r">3321</v>
  </a>
  <a r="5">
    <v t="s">Amharic</v>
    <v t="s">Oromo language</v>
    <v t="s">Afar language</v>
    <v t="s">Tigrinya language</v>
    <v t="s">Somali language</v>
  </a>
  <a r="11">
    <v t="r">3305</v>
    <v t="r">3334</v>
    <v t="r">3335</v>
    <v t="r">3336</v>
    <v t="r">3337</v>
    <v t="r">3338</v>
    <v t="r">3339</v>
    <v t="r">3340</v>
    <v t="r">3341</v>
    <v t="r">3342</v>
    <v t="r">3343</v>
  </a>
  <a r="1">
    <v t="s">East Africa Time</v>
  </a>
  <a r="1">
    <v t="r">3353</v>
  </a>
  <a r="1">
    <v t="r">3364</v>
  </a>
  <a r="1">
    <v t="s">UTC+02:00</v>
  </a>
  <a r="2">
    <v t="r">3387</v>
    <v t="r">3388</v>
  </a>
  <a r="1">
    <v t="s">Estonian language</v>
  </a>
  <a r="13">
    <v t="r">3402</v>
    <v t="r">3403</v>
    <v t="r">3404</v>
    <v t="r">3405</v>
    <v t="r">3406</v>
    <v t="r">3407</v>
    <v t="r">3408</v>
    <v t="r">3409</v>
    <v t="r">3410</v>
    <v t="r">3411</v>
    <v t="r">3412</v>
    <v t="r">3359</v>
    <v t="r">3413</v>
  </a>
  <a r="3">
    <v t="r">3433</v>
    <v t="r">3434</v>
    <v t="r">3435</v>
  </a>
  <a r="2">
    <v t="s">Swazi language</v>
    <v t="s">English language</v>
  </a>
  <a r="4">
    <v t="r">3441</v>
    <v t="r">3442</v>
    <v t="r">3443</v>
    <v t="r">3444</v>
  </a>
  <a r="1">
    <v t="s">South Africa Standard Time</v>
  </a>
  <a r="3">
    <v t="r">3476</v>
    <v t="r">3477</v>
    <v t="r">3478</v>
  </a>
  <a r="3">
    <v t="s">Fiji Hindi</v>
    <v t="s">English language</v>
    <v t="s">Fijian language</v>
  </a>
  <a r="5">
    <v t="r">3493</v>
    <v t="r">3494</v>
    <v t="r">3495</v>
    <v t="r">3496</v>
    <v t="r">3497</v>
  </a>
  <a r="1">
    <v t="s">UTC+12:00</v>
  </a>
  <a r="1">
    <v t="r">3511</v>
  </a>
  <a r="2">
    <v t="r">3534</v>
    <v t="r">3535</v>
  </a>
  <a r="2">
    <v t="s">Swedish language</v>
    <v t="s">Finnish language</v>
  </a>
  <a r="19">
    <v t="r">3548</v>
    <v t="r">3507</v>
    <v t="r">3549</v>
    <v t="r">3550</v>
    <v t="r">3551</v>
    <v t="r">3552</v>
    <v t="r">3553</v>
    <v t="r">3554</v>
    <v t="r">3555</v>
    <v t="r">3556</v>
    <v t="r">3557</v>
    <v t="r">3558</v>
    <v t="r">3559</v>
    <v t="r">3560</v>
    <v t="r">3561</v>
    <v t="r">3562</v>
    <v t="r">3563</v>
    <v t="r">3564</v>
    <v t="r">3565</v>
  </a>
  <a r="1">
    <v t="r">3577</v>
  </a>
  <a r="2">
    <v t="r">3600</v>
    <v t="r">3601</v>
  </a>
  <a r="25">
    <v t="r">3614</v>
    <v t="r">3615</v>
    <v t="r">3616</v>
    <v t="r">3573</v>
    <v t="r">3617</v>
    <v t="r">3618</v>
    <v t="r">3619</v>
    <v t="r">3620</v>
    <v t="r">3621</v>
    <v t="r">3622</v>
    <v t="r">3623</v>
    <v t="r">3624</v>
    <v t="r">3625</v>
    <v t="r">3626</v>
    <v t="r">3627</v>
    <v t="r">3628</v>
    <v t="r">3629</v>
    <v t="r">3630</v>
    <v t="r">3631</v>
    <v t="r">3632</v>
    <v t="r">3633</v>
    <v t="r">3634</v>
    <v t="r">3635</v>
    <v t="r">3636</v>
    <v t="r">3637</v>
  </a>
  <a r="4">
    <v t="r">3671</v>
    <v t="r">3672</v>
    <v t="r">3673</v>
    <v t="r">3674</v>
  </a>
  <a r="9">
    <v t="r">3645</v>
    <v t="r">3688</v>
    <v t="r">3689</v>
    <v t="r">3690</v>
    <v t="r">3691</v>
    <v t="r">3692</v>
    <v t="r">3693</v>
    <v t="r">3694</v>
    <v t="r">3695</v>
  </a>
  <a r="1">
    <v t="r">3706</v>
  </a>
  <a r="2">
    <v t="s">Greenwich Mean Time Zone</v>
    <v t="s">Greenwich Standard Time</v>
  </a>
  <a r="3">
    <v t="r">3727</v>
    <v t="r">3728</v>
    <v t="r">3729</v>
  </a>
  <a r="5">
    <v t="r">3742</v>
    <v t="r">3743</v>
    <v t="r">3744</v>
    <v t="r">3745</v>
    <v t="r">3746</v>
  </a>
  <a r="1">
    <v t="s">Africa/Banjul</v>
  </a>
  <a r="1">
    <v t="r">3757</v>
  </a>
  <a r="1">
    <v t="s">Georgian language</v>
  </a>
  <a r="2">
    <v t="r">3781</v>
    <v t="r">3782</v>
  </a>
  <a r="11">
    <v t="r">3794</v>
    <v t="r">3795</v>
    <v t="r">3796</v>
    <v t="r">3797</v>
    <v t="r">3798</v>
    <v t="r">3799</v>
    <v t="r">3800</v>
    <v t="r">3801</v>
    <v t="r">3802</v>
    <v t="r">3803</v>
    <v t="r">3753</v>
  </a>
  <a r="1">
    <v t="s">Georgia Time</v>
  </a>
  <a r="1">
    <v t="r">3816</v>
  </a>
  <a r="1">
    <v t="s">German language</v>
  </a>
  <a r="2">
    <v t="r">3838</v>
    <v t="r">3839</v>
  </a>
  <a r="15">
    <v t="r">3854</v>
    <v t="r">3855</v>
    <v t="r">3810</v>
    <v t="r">3856</v>
    <v t="r">3857</v>
    <v t="r">3858</v>
    <v t="r">3859</v>
    <v t="r">3860</v>
    <v t="r">3861</v>
    <v t="r">3862</v>
    <v t="r">3863</v>
    <v t="r">3864</v>
    <v t="r">3865</v>
    <v t="r">3866</v>
    <v t="r">3867</v>
  </a>
  <a r="1">
    <v t="r">3879</v>
  </a>
  <a r="1">
    <v t="s">Greenwich Mean Time</v>
  </a>
  <a r="3">
    <v t="r">3902</v>
    <v t="r">3903</v>
    <v t="r">3904</v>
  </a>
  <a r="10">
    <v t="r">3918</v>
    <v t="r">3919</v>
    <v t="r">3920</v>
    <v t="r">3921</v>
    <v t="r">3874</v>
    <v t="r">3922</v>
    <v t="r">3923</v>
    <v t="r">3924</v>
    <v t="r">3925</v>
    <v t="r">3926</v>
  </a>
  <a r="1">
    <v t="s">Africa/Accra</v>
  </a>
  <a r="1">
    <v t="r">3937</v>
  </a>
  <a r="1">
    <v t="s">Eastern European Time</v>
  </a>
  <a r="2">
    <v t="r">3962</v>
    <v t="r">3963</v>
  </a>
  <a r="1">
    <v t="s">Greek language</v>
  </a>
  <a r="12">
    <v t="r">3977</v>
    <v t="r">3978</v>
    <v t="r">3979</v>
    <v t="r">3980</v>
    <v t="r">3981</v>
    <v t="r">3982</v>
    <v t="r">3983</v>
    <v t="r">3984</v>
    <v t="r">3985</v>
    <v t="r">3986</v>
    <v t="r">3987</v>
    <v t="r">3988</v>
  </a>
  <a r="2">
    <v t="r">441</v>
    <v t="r">4018</v>
  </a>
  <a r="1">
    <v t="s">English</v>
  </a>
  <a r="7">
    <v t="r">4026</v>
    <v t="r">4027</v>
    <v t="r">4028</v>
    <v t="r">4029</v>
    <v t="r">4030</v>
    <v t="r">4031</v>
    <v t="r">4032</v>
  </a>
  <a r="1">
    <v t="r">4043</v>
  </a>
  <a r="2">
    <v t="r">4067</v>
    <v t="r">4068</v>
  </a>
  <a r="1">
    <v t="s">Guatemalan Spanish</v>
  </a>
  <a r="22">
    <v t="r">4081</v>
    <v t="r">4082</v>
    <v t="r">4083</v>
    <v t="r">4084</v>
    <v t="r">4085</v>
    <v t="r">4086</v>
    <v t="r">4087</v>
    <v t="r">4088</v>
    <v t="r">4038</v>
    <v t="r">4089</v>
    <v t="r">4090</v>
    <v t="r">4091</v>
    <v t="r">4092</v>
    <v t="r">4093</v>
    <v t="r">4094</v>
    <v t="r">4095</v>
    <v t="r">4096</v>
    <v t="r">4097</v>
    <v t="r">4098</v>
    <v t="r">4099</v>
    <v t="r">4100</v>
    <v t="r">4101</v>
  </a>
  <a r="1">
    <v t="r">4111</v>
  </a>
  <a r="3">
    <v t="r">4130</v>
    <v t="r">4131</v>
    <v t="r">4132</v>
  </a>
  <a r="1">
    <v t="r">4107</v>
  </a>
  <a r="1">
    <v t="s">Africa/Conakry</v>
  </a>
  <a r="2">
    <v t="r">4171</v>
    <v t="r">4172</v>
  </a>
  <a r="1">
    <v t="s">Guinean Portuguese</v>
  </a>
  <a r="8">
    <v t="r">4187</v>
    <v t="r">4188</v>
    <v t="r">4189</v>
    <v t="r">4190</v>
    <v t="r">4191</v>
    <v t="r">4192</v>
    <v t="r">4193</v>
    <v t="r">4194</v>
  </a>
  <a r="1">
    <v t="s">Africa/Bissau</v>
  </a>
  <a r="1">
    <v t="r">4208</v>
  </a>
  <a r="4">
    <v t="r">4228</v>
    <v t="r">4229</v>
    <v t="r">4230</v>
    <v t="r">4231</v>
  </a>
  <a r="10">
    <v t="r">4243</v>
    <v t="r">4244</v>
    <v t="r">4203</v>
    <v t="r">4245</v>
    <v t="r">4246</v>
    <v t="r">4247</v>
    <v t="r">4248</v>
    <v t="r">4249</v>
    <v t="r">4250</v>
    <v t="r">4251</v>
  </a>
  <a r="1">
    <v t="r">4263</v>
  </a>
  <a r="1">
    <v t="r">4285</v>
  </a>
  <a r="2">
    <v t="s">Haitian French</v>
    <v t="s">Haitian Creole</v>
  </a>
  <a r="10">
    <v t="r">4298</v>
    <v t="r">4299</v>
    <v t="r">4300</v>
    <v t="r">4301</v>
    <v t="r">4302</v>
    <v t="r">4303</v>
    <v t="r">4304</v>
    <v t="r">4258</v>
    <v t="r">4305</v>
    <v t="r">4306</v>
  </a>
  <a r="1">
    <v t="r">4319</v>
  </a>
  <a r="1">
    <v t="r">4342</v>
  </a>
  <a r="1">
    <v t="s">Honduran Spanish</v>
  </a>
  <a r="18">
    <v t="r">4355</v>
    <v t="r">4356</v>
    <v t="r">4357</v>
    <v t="r">4358</v>
    <v t="r">4359</v>
    <v t="r">4360</v>
    <v t="r">4361</v>
    <v t="r">4313</v>
    <v t="r">4362</v>
    <v t="r">4363</v>
    <v t="r">4364</v>
    <v t="r">4365</v>
    <v t="r">4366</v>
    <v t="r">4367</v>
    <v t="r">4368</v>
    <v t="r">4369</v>
    <v t="r">4370</v>
    <v t="r">4371</v>
  </a>
  <a r="1">
    <v t="r">4381</v>
  </a>
  <a r="1">
    <v t="s">Hungarian language</v>
  </a>
  <a r="3">
    <v t="r">4403</v>
    <v t="r">4404</v>
    <v t="r">4405</v>
  </a>
  <a r="19">
    <v t="r">4420</v>
    <v t="r">4421</v>
    <v t="r">4422</v>
    <v t="r">4423</v>
    <v t="r">4377</v>
    <v t="r">4424</v>
    <v t="r">4425</v>
    <v t="r">4426</v>
    <v t="r">4427</v>
    <v t="r">4428</v>
    <v t="r">4429</v>
    <v t="r">4430</v>
    <v t="r">4431</v>
    <v t="r">4432</v>
    <v t="r">4433</v>
    <v t="r">4434</v>
    <v t="r">4435</v>
    <v t="r">4436</v>
    <v t="r">4437</v>
  </a>
  <a r="1">
    <v t="r">4448</v>
  </a>
  <a r="1">
    <v t="r">4457</v>
  </a>
  <a r="1">
    <v t="r">4468</v>
  </a>
  <a r="1">
    <v t="s">Indonesian language</v>
  </a>
  <a r="1">
    <v t="s">Indonesia Western Standard Time</v>
  </a>
  <a r="3">
    <v t="r">4494</v>
    <v t="r">4495</v>
    <v t="r">4496</v>
  </a>
  <a r="34">
    <v t="r">4511</v>
    <v t="r">4512</v>
    <v t="r">4513</v>
    <v t="r">4514</v>
    <v t="r">4515</v>
    <v t="r">4516</v>
    <v t="r">4517</v>
    <v t="r">4518</v>
    <v t="r">4519</v>
    <v t="r">4520</v>
    <v t="r">4521</v>
    <v t="r">4522</v>
    <v t="r">4523</v>
    <v t="r">4524</v>
    <v t="r">4525</v>
    <v t="r">4526</v>
    <v t="r">4527</v>
    <v t="r">4528</v>
    <v t="r">4529</v>
    <v t="r">4530</v>
    <v t="r">4531</v>
    <v t="r">4532</v>
    <v t="r">4533</v>
    <v t="r">4534</v>
    <v t="r">4535</v>
    <v t="r">4536</v>
    <v t="r">4537</v>
    <v t="r">4538</v>
    <v t="r">4539</v>
    <v t="r">4540</v>
    <v t="r">4541</v>
    <v t="r">4462</v>
    <v t="r">4542</v>
    <v t="r">4543</v>
  </a>
  <a r="3">
    <v t="s">Indonesia Western Standard Time</v>
    <v t="s">Indonesia Central Standard Time</v>
    <v t="s">Indonesia Eastern Standard Time</v>
  </a>
  <a r="1">
    <v t="r">4555</v>
  </a>
  <a r="1">
    <v t="s">Iran Standard Time</v>
  </a>
  <a r="1">
    <v t="r">4567</v>
  </a>
  <a r="1">
    <v t="r">4577</v>
  </a>
  <a r="3">
    <v t="r">4598</v>
    <v t="r">4599</v>
    <v t="r">4600</v>
  </a>
  <a r="2">
    <v t="s">English language</v>
    <v t="s">Irish language</v>
  </a>
  <a r="26">
    <v t="r">4612</v>
    <v t="r">4613</v>
    <v t="r">4614</v>
    <v t="r">4615</v>
    <v t="r">4616</v>
    <v t="r">4617</v>
    <v t="r">4618</v>
    <v t="r">4619</v>
    <v t="r">4620</v>
    <v t="r">4621</v>
    <v t="r">4622</v>
    <v t="r">4623</v>
    <v t="r">4624</v>
    <v t="r">4625</v>
    <v t="r">4626</v>
    <v t="r">4627</v>
    <v t="r">4628</v>
    <v t="r">4629</v>
    <v t="r">4630</v>
    <v t="r">4631</v>
    <v t="r">4632</v>
    <v t="r">4633</v>
    <v t="r">4634</v>
    <v t="r">4635</v>
    <v t="r">4636</v>
    <v t="r">4637</v>
  </a>
  <a r="2">
    <v t="s">UTC+00:00</v>
    <v t="s">UTC+01:00</v>
  </a>
  <a r="1">
    <v t="r">4651</v>
  </a>
  <a r="3">
    <v t="r">4673</v>
    <v t="r">4674</v>
    <v t="r">4675</v>
  </a>
  <a r="1">
    <v t="s">Modern Hebrew</v>
  </a>
  <a r="6">
    <v t="r">4646</v>
    <v t="r">4690</v>
    <v t="r">4691</v>
    <v t="r">4692</v>
    <v t="r">4693</v>
    <v t="r">4694</v>
  </a>
  <a r="4">
    <v t="s">Israel Summer Time</v>
    <v t="s">Israel Standard Time</v>
    <v t="s">UTC+03:00</v>
    <v t="s">UTC+02:00</v>
  </a>
  <a r="1">
    <v t="r">4708</v>
  </a>
  <a r="2">
    <v t="r">4730</v>
    <v t="r">4731</v>
  </a>
  <a r="1">
    <v t="s">Italian language</v>
  </a>
  <a r="20">
    <v t="r">4742</v>
    <v t="r">4743</v>
    <v t="r">4744</v>
    <v t="r">4745</v>
    <v t="r">4746</v>
    <v t="r">4747</v>
    <v t="r">4703</v>
    <v t="r">4748</v>
    <v t="r">4749</v>
    <v t="r">4750</v>
    <v t="r">4751</v>
    <v t="r">4752</v>
    <v t="r">4753</v>
    <v t="r">4754</v>
    <v t="r">4755</v>
    <v t="r">4756</v>
    <v t="r">4757</v>
    <v t="r">4758</v>
    <v t="r">4759</v>
    <v t="r">4760</v>
  </a>
  <a r="1">
    <v t="r">4772</v>
  </a>
  <a r="2">
    <v t="r">441</v>
    <v t="r">4794</v>
  </a>
  <a r="1">
    <v t="s">Jamaican English</v>
  </a>
  <a r="2">
    <v t="r">4810</v>
    <v t="r">4811</v>
  </a>
  <a r="1">
    <v t="r">4824</v>
  </a>
  <a r="1">
    <v t="s">Japan Standard Time</v>
  </a>
  <a r="2">
    <v t="r">4848</v>
    <v t="r">4849</v>
  </a>
  <a r="1">
    <v t="s">Japanese language</v>
  </a>
  <a r="46">
    <v t="r">4860</v>
    <v t="r">4861</v>
    <v t="r">4862</v>
    <v t="r">4863</v>
    <v t="r">4864</v>
    <v t="r">4865</v>
    <v t="r">4866</v>
    <v t="r">4867</v>
    <v t="r">4868</v>
    <v t="r">4869</v>
    <v t="r">4870</v>
    <v t="r">4871</v>
    <v t="r">4818</v>
    <v t="r">4872</v>
    <v t="r">4873</v>
    <v t="r">4874</v>
    <v t="r">4875</v>
    <v t="r">4876</v>
    <v t="r">4877</v>
    <v t="r">4878</v>
    <v t="r">4879</v>
    <v t="r">4880</v>
    <v t="r">4881</v>
    <v t="r">4882</v>
    <v t="r">4883</v>
    <v t="r">4884</v>
    <v t="r">4885</v>
    <v t="r">4886</v>
    <v t="r">4887</v>
    <v t="r">4888</v>
    <v t="r">4889</v>
    <v t="r">4890</v>
    <v t="r">4891</v>
    <v t="r">4892</v>
    <v t="r">4893</v>
    <v t="r">4894</v>
    <v t="r">4895</v>
    <v t="r">4896</v>
    <v t="r">4897</v>
    <v t="r">4898</v>
    <v t="r">4899</v>
    <v t="r">4900</v>
    <v t="r">4901</v>
    <v t="r">4902</v>
    <v t="r">4903</v>
    <v t="r">4904</v>
  </a>
  <a r="1">
    <v t="r">4917</v>
  </a>
  <a r="2">
    <v t="r">4940</v>
    <v t="r">4941</v>
  </a>
  <a r="12">
    <v t="r">4952</v>
    <v t="r">4912</v>
    <v t="r">4953</v>
    <v t="r">4954</v>
    <v t="r">4955</v>
    <v t="r">4956</v>
    <v t="r">4957</v>
    <v t="r">4958</v>
    <v t="r">4959</v>
    <v t="r">4960</v>
    <v t="r">4961</v>
    <v t="r">4962</v>
  </a>
  <a r="2">
    <v t="s">Russian language</v>
    <v t="s">Kazakh language</v>
  </a>
  <a r="1">
    <v t="r">4983</v>
  </a>
  <a r="2">
    <v t="r">5006</v>
    <v t="r">5007</v>
  </a>
  <a r="2">
    <v t="s">English language</v>
    <v t="s">Swahili language</v>
  </a>
  <a r="1">
    <v t="r">5020</v>
  </a>
  <a r="1">
    <v t="s">Africa/Nairobi</v>
  </a>
  <a r="2">
    <v t="r">5053</v>
    <v t="r">5054</v>
  </a>
  <a r="6">
    <v t="r">5063</v>
    <v t="r">5064</v>
    <v t="r">5065</v>
    <v t="r">5066</v>
    <v t="r">5067</v>
    <v t="r">5068</v>
  </a>
  <a r="1">
    <v t="r">5077</v>
  </a>
  <a r="1">
    <v t="r">5088</v>
  </a>
  <a r="4">
    <v t="r">5109</v>
    <v t="r">5110</v>
    <v t="r">5111</v>
    <v t="r">5112</v>
  </a>
  <a r="1">
    <v t="s">Lao language</v>
  </a>
  <a r="17">
    <v t="r">5124</v>
    <v t="r">5125</v>
    <v t="r">5126</v>
    <v t="r">5127</v>
    <v t="r">5128</v>
    <v t="r">5129</v>
    <v t="r">5130</v>
    <v t="r">5131</v>
    <v t="r">5132</v>
    <v t="r">5133</v>
    <v t="r">5134</v>
    <v t="r">5135</v>
    <v t="r">5136</v>
    <v t="r">5137</v>
    <v t="r">5083</v>
    <v t="r">5138</v>
    <v t="r">5139</v>
  </a>
  <a r="1">
    <v t="r">5150</v>
  </a>
  <a r="2">
    <v t="r">5162</v>
    <v t="r">5163</v>
  </a>
  <a r="2">
    <v t="r">5193</v>
    <v t="r">5194</v>
  </a>
  <a r="2">
    <v t="s">South African English</v>
    <v t="s">Sotho language</v>
  </a>
  <a r="10">
    <v t="r">5208</v>
    <v t="r">5209</v>
    <v t="r">5210</v>
    <v t="r">5211</v>
    <v t="r">5170</v>
    <v t="r">5212</v>
    <v t="r">5213</v>
    <v t="r">5214</v>
    <v t="r">5215</v>
    <v t="r">5216</v>
  </a>
  <a r="1">
    <v t="s">Africa/Maseru</v>
  </a>
  <a r="1">
    <v t="r">5230</v>
  </a>
  <a r="4">
    <v t="r">5251</v>
    <v t="r">5252</v>
    <v t="r">5253</v>
    <v t="r">5254</v>
  </a>
  <a r="1">
    <v t="s">Liberian English</v>
  </a>
  <a r="15">
    <v t="r">5269</v>
    <v t="r">5270</v>
    <v t="r">5271</v>
    <v t="r">5272</v>
    <v t="r">5273</v>
    <v t="r">5274</v>
    <v t="r">5275</v>
    <v t="r">5276</v>
    <v t="r">5277</v>
    <v t="r">5278</v>
    <v t="r">5224</v>
    <v t="r">5279</v>
    <v t="r">5280</v>
    <v t="r">5281</v>
    <v t="r">5282</v>
  </a>
  <a r="1">
    <v t="s">Africa/Monrovia</v>
  </a>
  <a r="2">
    <v t="r">5314</v>
    <v t="r">5315</v>
  </a>
  <a r="1">
    <v t="s">Arabic</v>
  </a>
  <a r="26">
    <v t="r">5326</v>
    <v t="r">5327</v>
    <v t="r">5328</v>
    <v t="r">5329</v>
    <v t="r">5330</v>
    <v t="r">5331</v>
    <v t="r">5332</v>
    <v t="r">5333</v>
    <v t="r">5334</v>
    <v t="r">5335</v>
    <v t="r">5336</v>
    <v t="r">5337</v>
    <v t="r">5338</v>
    <v t="r">5339</v>
    <v t="r">5340</v>
    <v t="r">5341</v>
    <v t="r">5342</v>
    <v t="r">5343</v>
    <v t="r">5344</v>
    <v t="r">5345</v>
    <v t="r">5346</v>
    <v t="r">5347</v>
    <v t="r">5348</v>
    <v t="r">5349</v>
    <v t="r">5350</v>
    <v t="r">5351</v>
  </a>
  <a r="1">
    <v t="r">5360</v>
  </a>
  <a r="2">
    <v t="r">5377</v>
    <v t="r">5378</v>
  </a>
  <a r="1">
    <v t="s">Swiss Standard German</v>
  </a>
  <a r="10">
    <v t="r">5384</v>
    <v t="r">5385</v>
    <v t="r">5386</v>
    <v t="r">5387</v>
    <v t="r">5376</v>
    <v t="r">5388</v>
    <v t="r">5356</v>
    <v t="r">5389</v>
    <v t="r">5390</v>
    <v t="r">5391</v>
  </a>
  <a r="1">
    <v t="r">5401</v>
  </a>
  <a r="2">
    <v t="r">5425</v>
    <v t="r">5426</v>
  </a>
  <a r="1">
    <v t="s">Lithuanian language</v>
  </a>
  <a r="10">
    <v t="r">5439</v>
    <v t="r">5440</v>
    <v t="r">5441</v>
    <v t="r">5442</v>
    <v t="r">5443</v>
    <v t="r">5444</v>
    <v t="r">5445</v>
    <v t="r">5446</v>
    <v t="r">5447</v>
    <v t="r">5396</v>
  </a>
  <a r="1">
    <v t="r">5460</v>
  </a>
  <a r="2">
    <v t="r">5481</v>
    <v t="r">5482</v>
  </a>
  <a r="3">
    <v t="s">Luxembourgish</v>
    <v t="s">German language</v>
    <v t="s">French language</v>
  </a>
  <a r="12">
    <v t="r">5494</v>
    <v t="r">5495</v>
    <v t="r">5496</v>
    <v t="r">5497</v>
    <v t="r">5498</v>
    <v t="r">5499</v>
    <v t="r">5455</v>
    <v t="r">5500</v>
    <v t="r">5501</v>
    <v t="r">5502</v>
    <v t="r">5503</v>
    <v t="r">5504</v>
  </a>
  <a r="1">
    <v t="s">Naina Andriantsitohaina (Mayor)</v>
  </a>
  <a r="2">
    <v t="r">5535</v>
    <v t="r">5536</v>
  </a>
  <a r="2">
    <v t="s">Malagasy language</v>
    <v t="s">French language</v>
  </a>
  <a r="6">
    <v t="r">5550</v>
    <v t="r">5551</v>
    <v t="r">5552</v>
    <v t="r">5553</v>
    <v t="r">5554</v>
    <v t="r">5555</v>
  </a>
  <a r="1">
    <v t="r">5568</v>
  </a>
  <a r="4">
    <v t="r">5590</v>
    <v t="r">5591</v>
    <v t="r">5592</v>
    <v t="r">5593</v>
  </a>
  <a r="1">
    <v t="s">Africa/Blantyre</v>
  </a>
  <a r="1">
    <v t="r">5616</v>
  </a>
  <a r="3">
    <v t="r">5638</v>
    <v t="r">5638</v>
    <v t="r">5639</v>
  </a>
  <a r="16">
    <v t="r">5650</v>
    <v t="r">5651</v>
    <v t="r">5652</v>
    <v t="r">5653</v>
    <v t="r">5654</v>
    <v t="r">5655</v>
    <v t="r">5656</v>
    <v t="r">5657</v>
    <v t="r">5658</v>
    <v t="r">5659</v>
    <v t="r">5660</v>
    <v t="r">5661</v>
    <v t="r">5662</v>
    <v t="r">5612</v>
    <v t="r">5663</v>
    <v t="r">5664</v>
  </a>
  <a r="1">
    <v t="r">5675</v>
  </a>
  <a r="1">
    <v t="s">UTC+05:00</v>
  </a>
  <a r="3">
    <v t="r">5696</v>
    <v t="r">5697</v>
    <v t="r">5698</v>
  </a>
  <a r="1">
    <v t="s">Maldivian language</v>
  </a>
  <a r="19">
    <v t="r">5710</v>
    <v t="r">5711</v>
    <v t="r">5712</v>
    <v t="r">5713</v>
    <v t="r">5714</v>
    <v t="r">5715</v>
    <v t="r">5716</v>
    <v t="r">5717</v>
    <v t="r">5718</v>
    <v t="r">5719</v>
    <v t="r">5720</v>
    <v t="r">5721</v>
    <v t="r">5722</v>
    <v t="r">5723</v>
    <v t="r">5724</v>
    <v t="r">5725</v>
    <v t="r">5726</v>
    <v t="r">5727</v>
    <v t="r">5728</v>
  </a>
  <a r="2">
    <v t="r">5756</v>
    <v t="r">5757</v>
  </a>
  <a r="10">
    <v t="s">Bambara language</v>
    <v t="s">Minyanka language</v>
    <v t="s">Kassonke language</v>
    <v t="s">Bobo language</v>
    <v t="s">Soninke language</v>
    <v t="s">Hassaniya Arabic</v>
    <v t="s">Tamasheq language</v>
    <v t="s">Bozo language</v>
    <v t="s">Fula language</v>
    <v t="s">Maninka language</v>
  </a>
  <a r="9">
    <v t="r">5770</v>
    <v t="r">5771</v>
    <v t="r">5735</v>
    <v t="r">5772</v>
    <v t="r">5773</v>
    <v t="r">5774</v>
    <v t="r">5775</v>
    <v t="r">5776</v>
    <v t="r">5777</v>
  </a>
  <a r="1">
    <v t="s">Africa/Bamako</v>
  </a>
  <a r="1">
    <v t="r">5790</v>
  </a>
  <a r="2">
    <v t="r">5812</v>
    <v t="r">5813</v>
  </a>
  <a r="2">
    <v t="s">Maltese language</v>
    <v t="s">English language</v>
  </a>
  <a r="1">
    <v t="r">5835</v>
  </a>
  <a r="2">
    <v t="s">Marshall Islands Time Zone</v>
    <v t="s">UTC+12</v>
  </a>
  <a r="2">
    <v t="r">5854</v>
    <v t="r">5855</v>
  </a>
  <a r="2">
    <v t="s">Marshallese language</v>
    <v t="s">English language</v>
  </a>
  <a r="28">
    <v t="r">5863</v>
    <v t="r">5864</v>
    <v t="r">5865</v>
    <v t="r">5866</v>
    <v t="r">5867</v>
    <v t="r">5868</v>
    <v t="r">5869</v>
    <v t="r">5870</v>
    <v t="r">5871</v>
    <v t="r">5872</v>
    <v t="r">5873</v>
    <v t="r">5874</v>
    <v t="r">5875</v>
    <v t="r">5876</v>
    <v t="r">5877</v>
    <v t="r">5878</v>
    <v t="r">5831</v>
    <v t="r">5879</v>
    <v t="r">5880</v>
    <v t="r">5881</v>
    <v t="r">5882</v>
    <v t="r">5883</v>
    <v t="r">5884</v>
    <v t="r">5885</v>
    <v t="r">5886</v>
    <v t="r">5887</v>
    <v t="r">5888</v>
    <v t="r">5889</v>
  </a>
  <a r="2">
    <v t="r">5920</v>
    <v t="r">5921</v>
  </a>
  <a r="13">
    <v t="r">5932</v>
    <v t="r">5933</v>
    <v t="r">5934</v>
    <v t="r">5935</v>
    <v t="r">5895</v>
    <v t="r">5936</v>
    <v t="r">5937</v>
    <v t="r">5938</v>
    <v t="r">5939</v>
    <v t="r">5940</v>
    <v t="r">5941</v>
    <v t="r">5942</v>
    <v t="r">5943</v>
  </a>
  <a r="1">
    <v t="s">Africa/Nouakchott</v>
  </a>
  <a r="1">
    <v t="r">5954</v>
  </a>
  <a r="1">
    <v t="s">Mauritius Time Zone</v>
  </a>
  <a r="4">
    <v t="r">5975</v>
    <v t="r">5976</v>
    <v t="r">5977</v>
    <v t="r">5978</v>
  </a>
  <a r="4">
    <v t="s">De facto</v>
    <v t="s">English language</v>
    <v t="s">De jure</v>
    <v t="s">French language</v>
  </a>
  <a r="9">
    <v t="r">5991</v>
    <v t="r">5992</v>
    <v t="r">5993</v>
    <v t="r">5994</v>
    <v t="r">5995</v>
    <v t="r">5996</v>
    <v t="r">5997</v>
    <v t="r">5998</v>
    <v t="r">5999</v>
  </a>
  <a r="1">
    <v t="r">6010</v>
  </a>
  <a r="1">
    <v t="s">Central Time Zone</v>
  </a>
  <a r="2">
    <v t="r">6033</v>
    <v t="r">6034</v>
  </a>
  <a r="1">
    <v t="s">Mexican Spanish</v>
  </a>
  <a r="32">
    <v t="r">6005</v>
    <v t="r">6050</v>
    <v t="r">6051</v>
    <v t="r">6052</v>
    <v t="r">6053</v>
    <v t="r">6054</v>
    <v t="r">6055</v>
    <v t="r">6056</v>
    <v t="r">6057</v>
    <v t="r">6058</v>
    <v t="r">6059</v>
    <v t="r">6060</v>
    <v t="r">6061</v>
    <v t="r">6062</v>
    <v t="r">6063</v>
    <v t="r">6064</v>
    <v t="r">6065</v>
    <v t="r">6066</v>
    <v t="r">6067</v>
    <v t="r">6068</v>
    <v t="r">6069</v>
    <v t="r">6070</v>
    <v t="r">6071</v>
    <v t="r">6072</v>
    <v t="r">6073</v>
    <v t="r">6074</v>
    <v t="r">6075</v>
    <v t="r">6076</v>
    <v t="r">6077</v>
    <v t="r">6078</v>
    <v t="r">6079</v>
    <v t="r">6080</v>
  </a>
  <a r="4">
    <v t="s">Central Time Zone</v>
    <v t="s">Mountain Time Zone</v>
    <v t="s">Pacific Time Zone</v>
    <v t="s">Eastern Time Zone</v>
  </a>
  <a r="1">
    <v t="s">Central Pacific Standard Time</v>
  </a>
  <a r="2">
    <v t="r">6112</v>
    <v t="r">6113</v>
  </a>
  <a r="3">
    <v t="r">6122</v>
    <v t="r">6089</v>
    <v t="r">6123</v>
  </a>
  <a r="4">
    <v t="s">Kosrae Time Zone</v>
    <v t="s">Pohnpei Time Zone</v>
    <v t="s">Chuuk Time Zone</v>
    <v t="s">Yap Time Zone</v>
  </a>
  <a r="1">
    <v t="r">6134</v>
  </a>
  <a r="2">
    <v t="r">6153</v>
    <v t="r">6154</v>
  </a>
  <a r="1">
    <v t="s">Romanian language</v>
  </a>
  <a r="33">
    <v t="r">6167</v>
    <v t="r">6168</v>
    <v t="r">6169</v>
    <v t="r">6170</v>
    <v t="r">6171</v>
    <v t="r">6172</v>
    <v t="r">6173</v>
    <v t="r">6174</v>
    <v t="r">6175</v>
    <v t="r">6176</v>
    <v t="r">6177</v>
    <v t="r">6178</v>
    <v t="r">6179</v>
    <v t="r">6180</v>
    <v t="r">6181</v>
    <v t="r">6182</v>
    <v t="r">6183</v>
    <v t="r">6184</v>
    <v t="r">6185</v>
    <v t="r">6186</v>
    <v t="r">6187</v>
    <v t="r">6188</v>
    <v t="r">6189</v>
    <v t="r">6190</v>
    <v t="r">6191</v>
    <v t="r">6192</v>
    <v t="r">6193</v>
    <v t="r">6194</v>
    <v t="r">6195</v>
    <v t="r">6196</v>
    <v t="r">6197</v>
    <v t="r">6198</v>
    <v t="r">6199</v>
  </a>
  <a r="1">
    <v t="s">Central European Time Zone</v>
  </a>
  <a r="2">
    <v t="r">6220</v>
    <v t="r">6221</v>
  </a>
  <a r="1">
    <v t="s">French of France</v>
  </a>
  <a r="3">
    <v t="r">6254</v>
    <v t="r">6255</v>
    <v t="r">6256</v>
  </a>
  <a r="1">
    <v t="s">Mongolian language</v>
  </a>
  <a r="21">
    <v t="r">6231</v>
    <v t="r">6268</v>
    <v t="r">6269</v>
    <v t="r">6270</v>
    <v t="r">6271</v>
    <v t="r">6272</v>
    <v t="r">6273</v>
    <v t="r">6274</v>
    <v t="r">6275</v>
    <v t="r">6276</v>
    <v t="r">6277</v>
    <v t="r">6278</v>
    <v t="r">6279</v>
    <v t="r">6280</v>
    <v t="r">6281</v>
    <v t="r">6282</v>
    <v t="r">6283</v>
    <v t="r">6284</v>
    <v t="r">6285</v>
    <v t="r">6286</v>
    <v t="r">6287</v>
  </a>
  <a r="1">
    <v t="r">6299</v>
  </a>
  <a r="2">
    <v t="r">6321</v>
    <v t="r">6322</v>
  </a>
  <a r="1">
    <v t="s">Montenegrin language</v>
  </a>
  <a r="22">
    <v t="r">6335</v>
    <v t="r">6336</v>
    <v t="r">6337</v>
    <v t="r">6338</v>
    <v t="r">6339</v>
    <v t="r">6340</v>
    <v t="r">6341</v>
    <v t="r">6342</v>
    <v t="r">6343</v>
    <v t="r">6344</v>
    <v t="r">6345</v>
    <v t="r">6346</v>
    <v t="r">6347</v>
    <v t="r">6348</v>
    <v t="r">6349</v>
    <v t="r">6294</v>
    <v t="r">6350</v>
    <v t="r">6351</v>
    <v t="r">6352</v>
    <v t="r">6353</v>
    <v t="r">6354</v>
    <v t="r">6355</v>
  </a>
  <a r="1">
    <v t="r">6366</v>
  </a>
  <a r="2">
    <v t="r">6389</v>
    <v t="r">6390</v>
  </a>
  <a r="2">
    <v t="s">Modern Standard Arabic</v>
    <v t="s">Standard Moroccan Amazigh</v>
  </a>
  <a r="12">
    <v t="r">6401</v>
    <v t="r">6402</v>
    <v t="r">6403</v>
    <v t="r">6361</v>
    <v t="r">6404</v>
    <v t="r">6405</v>
    <v t="r">6406</v>
    <v t="r">6407</v>
    <v t="r">6408</v>
    <v t="r">6409</v>
    <v t="r">6410</v>
    <v t="r">6411</v>
  </a>
  <a r="1">
    <v t="s">Africa/Casablanca</v>
  </a>
  <a r="1">
    <v t="r">6423</v>
  </a>
  <a r="2">
    <v t="r">6443</v>
    <v t="r">6444</v>
  </a>
  <a r="1">
    <v t="s">Mozambican Portuguese</v>
  </a>
  <a r="11">
    <v t="r">6456</v>
    <v t="r">6457</v>
    <v t="r">6458</v>
    <v t="r">6459</v>
    <v t="r">6419</v>
    <v t="r">6460</v>
    <v t="r">6461</v>
    <v t="r">6462</v>
    <v t="r">6463</v>
    <v t="r">6464</v>
    <v t="r">6465</v>
  </a>
  <a r="1">
    <v t="s">Africa/Maputo</v>
  </a>
  <a r="1">
    <v t="r">6479</v>
  </a>
  <a r="4">
    <v t="r">6504</v>
    <v t="r">6505</v>
    <v t="r">6506</v>
    <v t="r">6507</v>
  </a>
  <a r="1">
    <v t="s">Burmese language</v>
  </a>
  <a r="15">
    <v t="r">6518</v>
    <v t="r">6519</v>
    <v t="r">6520</v>
    <v t="r">6521</v>
    <v t="r">6522</v>
    <v t="r">6523</v>
    <v t="r">6524</v>
    <v t="r">6525</v>
    <v t="r">6526</v>
    <v t="r">6527</v>
    <v t="r">6528</v>
    <v t="r">6529</v>
    <v t="r">6530</v>
    <v t="r">6531</v>
    <v t="r">6474</v>
  </a>
  <a r="1">
    <v t="s">UTC+06:30</v>
  </a>
  <a r="2">
    <v t="r">6544</v>
    <v t="r">6545</v>
  </a>
  <a r="5">
    <v t="r">6566</v>
    <v t="r">6567</v>
    <v t="r">6568</v>
    <v t="r">6569</v>
    <v t="r">6570</v>
  </a>
  <a r="14">
    <v t="r">6582</v>
    <v t="r">6583</v>
    <v t="r">6584</v>
    <v t="r">6585</v>
    <v t="r">6586</v>
    <v t="r">6539</v>
    <v t="r">6587</v>
    <v t="r">6588</v>
    <v t="r">6589</v>
    <v t="r">6590</v>
    <v t="r">6591</v>
    <v t="r">6592</v>
    <v t="r">6593</v>
    <v t="r">6594</v>
  </a>
  <a r="1">
    <v t="s">Africa/Windhoek</v>
  </a>
  <a r="1">
    <v t="r">6613</v>
  </a>
  <a r="2">
    <v t="s">English language</v>
    <v t="s">Nauruan language</v>
  </a>
  <a r="14">
    <v t="r">6618</v>
    <v t="r">6619</v>
    <v t="r">6620</v>
    <v t="r">6621</v>
    <v t="r">6622</v>
    <v t="r">6623</v>
    <v t="r">6624</v>
    <v t="r">6612</v>
    <v t="r">6625</v>
    <v t="r">6626</v>
    <v t="r">6627</v>
    <v t="r">6628</v>
    <v t="r">6629</v>
    <v t="r">6601</v>
  </a>
  <a r="2">
    <v t="r">6638</v>
    <v t="r">6639</v>
  </a>
  <a r="1">
    <v t="s">Nepal Standard Time</v>
  </a>
  <a r="4">
    <v t="r">6664</v>
    <v t="r">6665</v>
    <v t="r">6666</v>
    <v t="r">6667</v>
  </a>
  <a r="1">
    <v t="s">Nepali language</v>
  </a>
  <a r="1">
    <v t="r">6688</v>
  </a>
  <a r="1">
    <v t="r">6697</v>
  </a>
  <a r="2">
    <v t="r">441</v>
    <v t="r">6719</v>
  </a>
  <a r="2">
    <v t="s">New Zealand Sign Language</v>
    <v t="s">New Zealand English</v>
  </a>
  <a r="13">
    <v t="r">6730</v>
    <v t="r">6731</v>
    <v t="r">6732</v>
    <v t="r">6733</v>
    <v t="r">6734</v>
    <v t="r">6735</v>
    <v t="r">6736</v>
    <v t="r">6737</v>
    <v t="r">6738</v>
    <v t="r">6739</v>
    <v t="r">6740</v>
    <v t="r">6741</v>
    <v t="r">6742</v>
  </a>
  <a r="2">
    <v t="s">UTC+12:00</v>
    <v t="s">UTC+13:00</v>
  </a>
  <a r="1">
    <v t="r">6756</v>
  </a>
  <a r="2">
    <v t="r">6778</v>
    <v t="r">6779</v>
  </a>
  <a r="1">
    <v t="s">Nicaraguan Spanish</v>
  </a>
  <a r="17">
    <v t="r">6789</v>
    <v t="r">6790</v>
    <v t="r">6791</v>
    <v t="r">6792</v>
    <v t="r">6793</v>
    <v t="r">6794</v>
    <v t="r">6795</v>
    <v t="r">6796</v>
    <v t="r">6797</v>
    <v t="r">6751</v>
    <v t="r">6798</v>
    <v t="r">6799</v>
    <v t="r">6800</v>
    <v t="r">6801</v>
    <v t="r">6802</v>
    <v t="r">6803</v>
    <v t="r">6804</v>
  </a>
  <a r="1">
    <v t="r">6815</v>
  </a>
  <a r="2">
    <v t="r">6835</v>
    <v t="r">6836</v>
  </a>
  <a r="8">
    <v t="r">6847</v>
    <v t="r">6848</v>
    <v t="r">6849</v>
    <v t="r">6850</v>
    <v t="r">6811</v>
    <v t="r">6851</v>
    <v t="r">6852</v>
    <v t="r">6853</v>
  </a>
  <a r="1">
    <v t="s">Africa/Niamey</v>
  </a>
  <a r="4">
    <v t="r">6889</v>
    <v t="r">6890</v>
    <v t="r">6891</v>
    <v t="r">6892</v>
  </a>
  <a r="37">
    <v t="r">6904</v>
    <v t="r">6905</v>
    <v t="r">6906</v>
    <v t="r">6907</v>
    <v t="r">6908</v>
    <v t="r">6909</v>
    <v t="r">6910</v>
    <v t="r">6911</v>
    <v t="r">6912</v>
    <v t="r">6913</v>
    <v t="r">6914</v>
    <v t="r">6915</v>
    <v t="r">6916</v>
    <v t="r">6917</v>
    <v t="r">6918</v>
    <v t="r">6919</v>
    <v t="r">6920</v>
    <v t="r">6921</v>
    <v t="r">6922</v>
    <v t="r">6923</v>
    <v t="r">6924</v>
    <v t="r">6925</v>
    <v t="r">6926</v>
    <v t="r">6927</v>
    <v t="r">6928</v>
    <v t="r">6929</v>
    <v t="r">6930</v>
    <v t="r">6931</v>
    <v t="r">6932</v>
    <v t="r">6933</v>
    <v t="r">6934</v>
    <v t="r">6935</v>
    <v t="r">6936</v>
    <v t="r">6937</v>
    <v t="r">6938</v>
    <v t="r">6939</v>
    <v t="r">6861</v>
  </a>
  <a r="2">
    <v t="s">UTC+09:00</v>
    <v t="s">UTC+08:30</v>
  </a>
  <a r="3">
    <v t="r">6968</v>
    <v t="r">6969</v>
    <v t="r">6970</v>
  </a>
  <a r="1">
    <v t="s">Korean language</v>
  </a>
  <a r="12">
    <v t="r">6946</v>
    <v t="r">6979</v>
    <v t="r">6980</v>
    <v t="r">6981</v>
    <v t="r">6982</v>
    <v t="r">6983</v>
    <v t="r">6984</v>
    <v t="r">6985</v>
    <v t="r">6986</v>
    <v t="r">6987</v>
    <v t="r">6988</v>
    <v t="r">6989</v>
  </a>
  <a r="1">
    <v t="r">6998</v>
  </a>
  <a r="1">
    <v t="s">Central European Summer Time</v>
  </a>
  <a r="2">
    <v t="r">7008</v>
    <v t="r">7009</v>
  </a>
  <a r="7">
    <v t="s">Albanian language</v>
    <v t="s">Bosnian language</v>
    <v t="s">Romani language</v>
    <v t="s">Serbian language</v>
    <v t="s">Turkish language</v>
    <v t="s">Aromanian language</v>
    <v t="s">Macedonian language</v>
  </a>
  <a r="76">
    <v t="r">7015</v>
    <v t="r">7016</v>
    <v t="r">7017</v>
    <v t="r">7018</v>
    <v t="r">7019</v>
    <v t="r">7020</v>
    <v t="r">7021</v>
    <v t="r">7022</v>
    <v t="r">7023</v>
    <v t="r">7024</v>
    <v t="r">7025</v>
    <v t="r">7026</v>
    <v t="r">7027</v>
    <v t="r">7028</v>
    <v t="r">7029</v>
    <v t="r">7030</v>
    <v t="r">7031</v>
    <v t="r">7032</v>
    <v t="r">7033</v>
    <v t="r">7034</v>
    <v t="r">7035</v>
    <v t="r">7036</v>
    <v t="r">7037</v>
    <v t="r">7038</v>
    <v t="r">7039</v>
    <v t="r">7040</v>
    <v t="r">7041</v>
    <v t="r">7042</v>
    <v t="r">7043</v>
    <v t="r">7044</v>
    <v t="r">7045</v>
    <v t="r">7046</v>
    <v t="r">7047</v>
    <v t="r">7048</v>
    <v t="r">7049</v>
    <v t="r">7050</v>
    <v t="r">7051</v>
    <v t="r">7052</v>
    <v t="r">7053</v>
    <v t="r">7054</v>
    <v t="r">7055</v>
    <v t="r">7056</v>
    <v t="r">7057</v>
    <v t="r">7058</v>
    <v t="r">7059</v>
    <v t="r">7060</v>
    <v t="r">7061</v>
    <v t="r">7062</v>
    <v t="r">7063</v>
    <v t="r">7064</v>
    <v t="r">7065</v>
    <v t="r">7066</v>
    <v t="r">7067</v>
    <v t="r">7068</v>
    <v t="r">7069</v>
    <v t="r">7070</v>
    <v t="r">7071</v>
    <v t="r">7072</v>
    <v t="r">7073</v>
    <v t="r">7074</v>
    <v t="r">7075</v>
    <v t="r">7076</v>
    <v t="r">7077</v>
    <v t="r">7078</v>
    <v t="r">7079</v>
    <v t="r">7080</v>
    <v t="r">7081</v>
    <v t="r">7082</v>
    <v t="r">7083</v>
    <v t="r">7084</v>
    <v t="r">7085</v>
    <v t="r">7086</v>
    <v t="r">7087</v>
    <v t="r">7088</v>
    <v t="r">7089</v>
    <v t="r">7090</v>
  </a>
  <a r="1">
    <v t="r">7097</v>
  </a>
  <a r="1">
    <v t="r">7107</v>
  </a>
  <a r="11">
    <v t="r">7137</v>
    <v t="r">7138</v>
    <v t="r">7139</v>
    <v t="r">7140</v>
    <v t="r">7141</v>
    <v t="r">7142</v>
    <v t="r">7143</v>
    <v t="r">7144</v>
    <v t="r">7145</v>
    <v t="r">7103</v>
    <v t="r">7146</v>
  </a>
  <a r="1">
    <v t="s">Pakistan Standard Time</v>
  </a>
  <a r="3">
    <v t="r">7180</v>
    <v t="r">7181</v>
    <v t="r">7182</v>
  </a>
  <a r="2">
    <v t="s">Pakistani English</v>
    <v t="s">Urdu</v>
  </a>
  <a r="7">
    <v t="r">7196</v>
    <v t="r">7197</v>
    <v t="r">7198</v>
    <v t="r">7199</v>
    <v t="r">7154</v>
    <v t="r">7200</v>
    <v t="r">7201</v>
  </a>
  <a r="2">
    <v t="r">7230</v>
    <v t="r">7231</v>
  </a>
  <a r="2">
    <v t="s">English language</v>
    <v t="s">Palauan language</v>
  </a>
  <a r="15">
    <v t="r">7240</v>
    <v t="r">7241</v>
    <v t="r">7242</v>
    <v t="r">7243</v>
    <v t="r">7244</v>
    <v t="r">7245</v>
    <v t="r">7246</v>
    <v t="r">7247</v>
    <v t="r">7248</v>
    <v t="r">7249</v>
    <v t="r">7250</v>
    <v t="r">7251</v>
    <v t="r">7252</v>
    <v t="r">7253</v>
    <v t="r">7254</v>
  </a>
  <a r="1">
    <v t="s">UTC+09:00</v>
  </a>
  <a r="1">
    <v t="r">7267</v>
  </a>
  <a r="1">
    <v t="r">7290</v>
  </a>
  <a r="1">
    <v t="s">Panamanian Spanish</v>
  </a>
  <a r="14">
    <v t="r">7303</v>
    <v t="r">7304</v>
    <v t="r">7305</v>
    <v t="r">7306</v>
    <v t="r">7307</v>
    <v t="r">7308</v>
    <v t="r">7309</v>
    <v t="r">7310</v>
    <v t="r">7311</v>
    <v t="r">7312</v>
    <v t="r">7313</v>
    <v t="r">7314</v>
    <v t="r">7262</v>
    <v t="r">7315</v>
  </a>
  <a r="1">
    <v t="r">7325</v>
  </a>
  <a r="2">
    <v t="r">441</v>
    <v t="r">7345</v>
  </a>
  <a r="4">
    <v t="s">Tok Pisin</v>
    <v t="s">Papua New Guinean Sign Language</v>
    <v t="s">Languages of Papua New Guinea</v>
    <v t="s">Hiri Motu</v>
  </a>
  <a r="22">
    <v t="r">7356</v>
    <v t="r">7357</v>
    <v t="r">7358</v>
    <v t="r">7359</v>
    <v t="r">7360</v>
    <v t="r">7361</v>
    <v t="r">7362</v>
    <v t="r">7363</v>
    <v t="r">7364</v>
    <v t="r">7365</v>
    <v t="r">7366</v>
    <v t="r">7367</v>
    <v t="r">7368</v>
    <v t="r">7369</v>
    <v t="r">7370</v>
    <v t="r">7371</v>
    <v t="r">7372</v>
    <v t="r">7373</v>
    <v t="r">7374</v>
    <v t="r">7375</v>
    <v t="r">7376</v>
    <v t="r">7377</v>
  </a>
  <a r="2">
    <v t="s">UTC+10:00</v>
    <v t="s">UTC+11:00</v>
  </a>
  <a r="1">
    <v t="s">Paraguay Time Zone</v>
  </a>
  <a r="2">
    <v t="r">7407</v>
    <v t="r">7408</v>
  </a>
  <a r="2">
    <v t="s">Paraguayan Spanish</v>
    <v t="s">Guarani language</v>
  </a>
  <a r="17">
    <v t="r">7421</v>
    <v t="r">7422</v>
    <v t="r">7423</v>
    <v t="r">7424</v>
    <v t="r">7425</v>
    <v t="r">7426</v>
    <v t="r">7427</v>
    <v t="r">7428</v>
    <v t="r">7429</v>
    <v t="r">7430</v>
    <v t="r">7431</v>
    <v t="r">7432</v>
    <v t="r">7433</v>
    <v t="r">7434</v>
    <v t="r">7435</v>
    <v t="r">7436</v>
    <v t="r">7437</v>
  </a>
  <a r="1">
    <v t="r">7450</v>
  </a>
  <a r="2">
    <v t="r">7473</v>
    <v t="r">7474</v>
  </a>
  <a r="24">
    <v t="r">7483</v>
    <v t="r">7484</v>
    <v t="r">7485</v>
    <v t="r">7486</v>
    <v t="r">7487</v>
    <v t="r">7488</v>
    <v t="r">7489</v>
    <v t="r">7490</v>
    <v t="r">7491</v>
    <v t="r">7492</v>
    <v t="r">7493</v>
    <v t="r">7494</v>
    <v t="r">7495</v>
    <v t="r">7496</v>
    <v t="r">7497</v>
    <v t="r">7498</v>
    <v t="r">7499</v>
    <v t="r">7500</v>
    <v t="r">7501</v>
    <v t="r">7502</v>
    <v t="r">7503</v>
    <v t="r">7504</v>
    <v t="r">7505</v>
    <v t="r">7444</v>
  </a>
  <a r="1">
    <v t="s">Time in Peru</v>
  </a>
  <a r="1">
    <v t="r">7519</v>
  </a>
  <a r="1">
    <v t="s">Philippine Standard Time</v>
  </a>
  <a r="4">
    <v t="r">7545</v>
    <v t="r">7546</v>
    <v t="r">7547</v>
    <v t="r">7548</v>
  </a>
  <a r="2">
    <v t="s">Philippine English</v>
    <v t="s">Filipino language</v>
  </a>
  <a r="1">
    <v t="r">7514</v>
  </a>
  <a r="1">
    <v t="s">Rafał Trzaskowski (Mayor)</v>
  </a>
  <a r="2">
    <v t="r">7591</v>
    <v t="r">7592</v>
  </a>
  <a r="1">
    <v t="s">Polish language</v>
  </a>
  <a r="16">
    <v t="r">7604</v>
    <v t="r">7605</v>
    <v t="r">7606</v>
    <v t="r">7607</v>
    <v t="r">7608</v>
    <v t="r">7568</v>
    <v t="r">7609</v>
    <v t="r">7610</v>
    <v t="r">7611</v>
    <v t="r">7612</v>
    <v t="r">7613</v>
    <v t="r">7614</v>
    <v t="r">7615</v>
    <v t="r">7616</v>
    <v t="r">7617</v>
    <v t="r">7618</v>
  </a>
  <a r="3">
    <v t="r">7649</v>
    <v t="r">7650</v>
    <v t="r">7651</v>
  </a>
  <a r="20">
    <v t="r">7626</v>
    <v t="r">7662</v>
    <v t="r">7663</v>
    <v t="r">7664</v>
    <v t="r">7665</v>
    <v t="r">7666</v>
    <v t="r">7667</v>
    <v t="r">7668</v>
    <v t="r">7669</v>
    <v t="r">7670</v>
    <v t="r">7671</v>
    <v t="r">7672</v>
    <v t="r">7673</v>
    <v t="r">7674</v>
    <v t="r">7675</v>
    <v t="r">7676</v>
    <v t="r">7677</v>
    <v t="r">7678</v>
    <v t="r">7679</v>
    <v t="r">7680</v>
  </a>
  <a r="2">
    <v t="s">Western European Summer Time</v>
    <v t="s">Western European Time</v>
  </a>
  <a r="2">
    <v t="r">7710</v>
    <v t="r">7711</v>
  </a>
  <a r="7">
    <v t="r">7720</v>
    <v t="r">7721</v>
    <v t="r">7722</v>
    <v t="r">7723</v>
    <v t="r">7724</v>
    <v t="r">7725</v>
    <v t="r">7726</v>
  </a>
  <a r="1">
    <v t="r">7736</v>
  </a>
  <a r="1">
    <v t="r">7745</v>
  </a>
  <a r="1">
    <v t="s">Russian language</v>
  </a>
  <a r="1">
    <v t="s">Moscow Time</v>
  </a>
  <a r="2">
    <v t="r">7769</v>
    <v t="r">7770</v>
  </a>
  <a r="83">
    <v t="r">7782</v>
    <v t="r">7783</v>
    <v t="r">7784</v>
    <v t="r">7785</v>
    <v t="r">7786</v>
    <v t="r">7787</v>
    <v t="r">7788</v>
    <v t="r">7789</v>
    <v t="r">7790</v>
    <v t="r">7791</v>
    <v t="r">7792</v>
    <v t="r">7793</v>
    <v t="r">7794</v>
    <v t="r">7795</v>
    <v t="r">7796</v>
    <v t="r">7797</v>
    <v t="r">7798</v>
    <v t="r">7799</v>
    <v t="r">7800</v>
    <v t="r">7801</v>
    <v t="r">7802</v>
    <v t="r">7803</v>
    <v t="r">7804</v>
    <v t="r">7805</v>
    <v t="r">7806</v>
    <v t="r">7807</v>
    <v t="r">7808</v>
    <v t="r">7809</v>
    <v t="r">7810</v>
    <v t="r">7811</v>
    <v t="r">7812</v>
    <v t="r">7813</v>
    <v t="r">7814</v>
    <v t="r">7815</v>
    <v t="r">7816</v>
    <v t="r">7817</v>
    <v t="r">7818</v>
    <v t="r">7819</v>
    <v t="r">7820</v>
    <v t="r">7821</v>
    <v t="r">7822</v>
    <v t="r">7823</v>
    <v t="r">7824</v>
    <v t="r">7825</v>
    <v t="r">7826</v>
    <v t="r">7827</v>
    <v t="r">7828</v>
    <v t="r">7829</v>
    <v t="r">7830</v>
    <v t="r">7831</v>
    <v t="r">7832</v>
    <v t="r">7833</v>
    <v t="r">7834</v>
    <v t="r">7835</v>
    <v t="r">7836</v>
    <v t="r">7837</v>
    <v t="r">7838</v>
    <v t="r">7839</v>
    <v t="r">7840</v>
    <v t="r">7841</v>
    <v t="r">7842</v>
    <v t="r">7843</v>
    <v t="r">7844</v>
    <v t="r">7845</v>
    <v t="r">7846</v>
    <v t="r">7847</v>
    <v t="r">7848</v>
    <v t="r">7849</v>
    <v t="r">7850</v>
    <v t="r">7851</v>
    <v t="r">7852</v>
    <v t="r">7853</v>
    <v t="r">7854</v>
    <v t="r">7855</v>
    <v t="r">7856</v>
    <v t="r">7741</v>
    <v t="r">7857</v>
    <v t="r">7858</v>
    <v t="r">7859</v>
    <v t="r">7860</v>
    <v t="r">7861</v>
    <v t="r">7862</v>
    <v t="r">7863</v>
  </a>
  <a r="13">
    <v t="s">Moscow Time</v>
    <v t="s">Samara Time</v>
    <v t="s">Yekaterinburg Time</v>
    <v t="s">Omsk Time</v>
    <v t="s">Krasnoyarsk Time</v>
    <v t="s">Irkutsk Time</v>
    <v t="s">Yakutsk Time</v>
    <v t="s">Kamchatka Time</v>
    <v t="s">Eastern European Time</v>
    <v t="s">Vladivostok Time</v>
    <v t="s">Srednekolymsk Time</v>
    <v t="s">Magadan Time</v>
    <v t="s">Kaliningrad Time</v>
  </a>
  <a r="1">
    <v t="r">7874</v>
  </a>
  <a r="2">
    <v t="r">7893</v>
    <v t="r">7894</v>
  </a>
  <a r="4">
    <v t="s">Belgian French</v>
    <v t="s">Kinyarwanda</v>
    <v t="s">English language</v>
    <v t="s">Swahili language</v>
  </a>
  <a r="4">
    <v t="r">7906</v>
    <v t="r">7907</v>
    <v t="r">7908</v>
    <v t="r">7909</v>
  </a>
  <a r="1">
    <v t="s">Africa/Kigali</v>
  </a>
  <a r="2">
    <v t="r">441</v>
    <v t="r">7940</v>
  </a>
  <a r="14">
    <v t="r">7948</v>
    <v t="r">7949</v>
    <v t="r">7919</v>
    <v t="r">7950</v>
    <v t="r">7951</v>
    <v t="r">7952</v>
    <v t="r">7953</v>
    <v t="r">7954</v>
    <v t="r">7955</v>
    <v t="r">7956</v>
    <v t="r">7957</v>
    <v t="r">7958</v>
    <v t="r">7959</v>
    <v t="r">7960</v>
  </a>
  <a r="1">
    <v t="r">7972</v>
  </a>
  <a r="2">
    <v t="r">441</v>
    <v t="r">7992</v>
  </a>
  <a r="9">
    <v t="r">8002</v>
    <v t="r">7967</v>
    <v t="r">8003</v>
    <v t="r">8004</v>
    <v t="r">8005</v>
    <v t="r">8006</v>
    <v t="r">8007</v>
    <v t="r">8008</v>
    <v t="r">8009</v>
  </a>
  <a r="1">
    <v t="s">UTC+13:00</v>
  </a>
  <a r="2">
    <v t="r">8040</v>
    <v t="r">8041</v>
  </a>
  <a r="2">
    <v t="s">English language</v>
    <v t="s">Samoan language</v>
  </a>
  <a r="10">
    <v t="r">8053</v>
    <v t="r">8054</v>
    <v t="r">8055</v>
    <v t="r">8056</v>
    <v t="r">8057</v>
    <v t="r">8058</v>
    <v t="r">8059</v>
    <v t="r">8060</v>
    <v t="r">8061</v>
    <v t="r">8062</v>
  </a>
  <a r="3">
    <v t="r">8088</v>
    <v t="r">8089</v>
    <v t="r">8090</v>
  </a>
  <a r="9">
    <v t="r">8069</v>
    <v t="r">8097</v>
    <v t="r">8098</v>
    <v t="r">8099</v>
    <v t="r">8100</v>
    <v t="r">8101</v>
    <v t="r">8102</v>
    <v t="r">8103</v>
    <v t="r">8104</v>
  </a>
  <a r="2">
    <v t="r">8134</v>
    <v t="r">8135</v>
  </a>
  <a r="1">
    <v t="s">São Tomean Portuguese</v>
  </a>
  <a r="6">
    <v t="r">8111</v>
    <v t="r">8147</v>
    <v t="r">8148</v>
    <v t="r">8149</v>
    <v t="r">8150</v>
    <v t="r">8151</v>
  </a>
  <a r="1">
    <v t="s">Africa/Sao_Tome</v>
  </a>
  <a r="2">
    <v t="s">Faisal bin Abdulaziz Al Muqrin (Mayor)</v>
    <v t="s">Faisal bin Bandar Al Saud (Governor)</v>
  </a>
  <a r="2">
    <v t="r">8185</v>
    <v t="r">8186</v>
  </a>
  <a r="13">
    <v t="r">8196</v>
    <v t="r">8197</v>
    <v t="r">8198</v>
    <v t="r">8199</v>
    <v t="r">8200</v>
    <v t="r">8160</v>
    <v t="r">8201</v>
    <v t="r">8202</v>
    <v t="r">8203</v>
    <v t="r">8204</v>
    <v t="r">8205</v>
    <v t="r">8206</v>
    <v t="r">8207</v>
  </a>
  <a r="1">
    <v t="r">8220</v>
  </a>
  <a r="2">
    <v t="r">8243</v>
    <v t="r">8244</v>
  </a>
  <a r="3">
    <v t="s">Pulaar language</v>
    <v t="s">Wolof language</v>
    <v t="s">French language</v>
  </a>
  <a r="14">
    <v t="r">8256</v>
    <v t="r">8257</v>
    <v t="r">8258</v>
    <v t="r">8259</v>
    <v t="r">8260</v>
    <v t="r">8261</v>
    <v t="r">8262</v>
    <v t="r">8263</v>
    <v t="r">8264</v>
    <v t="r">8265</v>
    <v t="r">8266</v>
    <v t="r">8267</v>
    <v t="r">8268</v>
    <v t="r">8269</v>
  </a>
  <a r="1">
    <v t="s">Africa/Dakar</v>
  </a>
  <a r="1">
    <v t="r">8281</v>
  </a>
  <a r="1">
    <v t="s">Serbian language</v>
  </a>
  <a r="2">
    <v t="r">8302</v>
    <v t="r">8303</v>
  </a>
  <a r="24">
    <v t="r">8314</v>
    <v t="r">8315</v>
    <v t="r">8316</v>
    <v t="r">8317</v>
    <v t="r">8318</v>
    <v t="r">8319</v>
    <v t="r">8320</v>
    <v t="r">8321</v>
    <v t="r">8322</v>
    <v t="r">8323</v>
    <v t="r">8324</v>
    <v t="r">8325</v>
    <v t="r">8326</v>
    <v t="r">8327</v>
    <v t="r">8328</v>
    <v t="r">8329</v>
    <v t="r">8330</v>
    <v t="r">8331</v>
    <v t="r">8332</v>
    <v t="r">8333</v>
    <v t="r">8334</v>
    <v t="r">8335</v>
    <v t="r">8336</v>
    <v t="r">8337</v>
  </a>
  <a r="1">
    <v t="r">8348</v>
  </a>
  <a r="2">
    <v t="r">8367</v>
    <v t="r">8368</v>
  </a>
  <a r="3">
    <v t="s">Seychellois Creole</v>
    <v t="s">English language</v>
    <v t="s">French language</v>
  </a>
  <a r="24">
    <v t="r">8379</v>
    <v t="r">8380</v>
    <v t="r">8381</v>
    <v t="r">8382</v>
    <v t="r">8383</v>
    <v t="r">8384</v>
    <v t="r">8385</v>
    <v t="r">8386</v>
    <v t="r">8387</v>
    <v t="r">8388</v>
    <v t="r">8389</v>
    <v t="r">8390</v>
    <v t="r">8391</v>
    <v t="r">8392</v>
    <v t="r">8393</v>
    <v t="r">8394</v>
    <v t="r">8395</v>
    <v t="r">8396</v>
    <v t="r">8397</v>
    <v t="r">8398</v>
    <v t="r">8399</v>
    <v t="r">8400</v>
    <v t="r">8401</v>
    <v t="r">8402</v>
  </a>
  <a r="1">
    <v t="r">8413</v>
  </a>
  <a r="3">
    <v t="r">8434</v>
    <v t="r">8435</v>
    <v t="r">8436</v>
  </a>
  <a r="4">
    <v t="r">8447</v>
    <v t="r">8448</v>
    <v t="r">8449</v>
    <v t="r">8408</v>
  </a>
  <a r="1">
    <v t="s">Africa/Freetown</v>
  </a>
  <a r="1">
    <v t="r">8463</v>
  </a>
  <a r="2">
    <v t="r">8485</v>
    <v t="r">8486</v>
  </a>
  <a r="1">
    <v t="s">Slovak language</v>
  </a>
  <a r="8">
    <v t="r">8458</v>
    <v t="r">8498</v>
    <v t="r">8499</v>
    <v t="r">8500</v>
    <v t="r">8501</v>
    <v t="r">8502</v>
    <v t="r">8503</v>
    <v t="r">8504</v>
  </a>
  <a r="1">
    <v t="r">8515</v>
  </a>
  <a r="1">
    <v t="r">8524</v>
  </a>
  <a r="2">
    <v t="r">441</v>
    <v t="r">8542</v>
  </a>
  <a r="2">
    <v t="s">Pijin language</v>
    <v t="s">English language</v>
  </a>
  <a r="10">
    <v t="r">8553</v>
    <v t="r">8554</v>
    <v t="r">8555</v>
    <v t="r">8521</v>
    <v t="r">8556</v>
    <v t="r">8557</v>
    <v t="r">8558</v>
    <v t="r">8559</v>
    <v t="r">8560</v>
    <v t="r">8561</v>
  </a>
  <a r="1">
    <v t="s">UTC+11:00</v>
  </a>
  <a r="1">
    <v t="r">8574</v>
  </a>
  <a r="2">
    <v t="r">8593</v>
    <v t="r">8594</v>
  </a>
  <a r="2">
    <v t="s">Arabic</v>
    <v t="s">Somali language</v>
  </a>
  <a r="13">
    <v t="r">8602</v>
    <v t="r">8603</v>
    <v t="r">8569</v>
    <v t="r">8604</v>
    <v t="r">8605</v>
    <v t="r">8606</v>
    <v t="r">8607</v>
    <v t="r">8608</v>
    <v t="r">8609</v>
    <v t="r">8610</v>
    <v t="r">8611</v>
    <v t="r">8612</v>
    <v t="r">8613</v>
  </a>
  <a r="1">
    <v t="s">Africa/Mogadishu</v>
  </a>
  <a r="1">
    <v t="r">8626</v>
  </a>
  <a r="2">
    <v t="r">8649</v>
    <v t="r">8650</v>
  </a>
  <a r="12">
    <v t="s">South African English</v>
    <v t="s">Swazi language</v>
    <v t="s">Venda language</v>
    <v t="s">Tsonga language</v>
    <v t="s">Afrikaans</v>
    <v t="s">Tswana language</v>
    <v t="s">Sotho language</v>
    <v t="s">South African Sign Language</v>
    <v t="s">Xhosa language</v>
    <v t="s">Zulu language</v>
    <v t="s">Southern Ndebele language</v>
    <v t="s">Northern Sotho</v>
  </a>
  <a r="9">
    <v t="r">8663</v>
    <v t="r">8664</v>
    <v t="r">8621</v>
    <v t="r">8665</v>
    <v t="r">8666</v>
    <v t="r">8667</v>
    <v t="r">8668</v>
    <v t="r">8669</v>
    <v t="r">8670</v>
  </a>
  <a r="1">
    <v t="s">Africa/Johannesburg</v>
  </a>
  <a r="1">
    <v t="r">8684</v>
  </a>
  <a r="1">
    <v t="r">8694</v>
  </a>
  <a r="4">
    <v t="r">8714</v>
    <v t="r">8715</v>
    <v t="r">8716</v>
    <v t="r">8717</v>
  </a>
  <a r="2">
    <v t="r">8726</v>
    <v t="r">8727</v>
  </a>
  <a r="1">
    <v t="s">Africa/Juba</v>
  </a>
  <a r="1">
    <v t="r">8739</v>
  </a>
  <a r="2">
    <v t="r">8760</v>
    <v t="r">8761</v>
  </a>
  <a r="18">
    <v t="r">8774</v>
    <v t="r">8775</v>
    <v t="r">8735</v>
    <v t="r">8776</v>
    <v t="r">8777</v>
    <v t="r">8778</v>
    <v t="r">8779</v>
    <v t="r">8780</v>
    <v t="r">8781</v>
    <v t="r">8782</v>
    <v t="r">8783</v>
    <v t="r">8784</v>
    <v t="r">8785</v>
    <v t="r">8786</v>
    <v t="r">8787</v>
    <v t="r">8788</v>
    <v t="r">8789</v>
    <v t="r">8790</v>
  </a>
  <a r="1">
    <v t="r">8803</v>
  </a>
  <a r="1">
    <v t="s">UTC+05:30</v>
  </a>
  <a r="3">
    <v t="r">8825</v>
    <v t="r">8826</v>
    <v t="r">8827</v>
  </a>
  <a r="2">
    <v t="s">Sinhala language</v>
    <v t="s">Tamil language</v>
  </a>
  <a r="9">
    <v t="r">8838</v>
    <v t="r">8839</v>
    <v t="r">8840</v>
    <v t="r">8841</v>
    <v t="r">8842</v>
    <v t="r">8843</v>
    <v t="r">8844</v>
    <v t="r">8845</v>
    <v t="r">8797</v>
  </a>
  <a r="2">
    <v t="r">441</v>
    <v t="r">8875</v>
  </a>
  <a r="6">
    <v t="r">8884</v>
    <v t="r">8885</v>
    <v t="r">8886</v>
    <v t="r">8887</v>
    <v t="r">8888</v>
    <v t="r">8889</v>
  </a>
  <a r="2">
    <v t="r">8931</v>
    <v t="r">8932</v>
  </a>
  <a r="2">
    <v t="s">Arabic</v>
    <v t="s">English language</v>
  </a>
  <a r="15">
    <v t="r">8943</v>
    <v t="r">8944</v>
    <v t="r">8945</v>
    <v t="r">8946</v>
    <v t="r">8947</v>
    <v t="r">8948</v>
    <v t="r">8949</v>
    <v t="r">8950</v>
    <v t="r">8951</v>
    <v t="r">8952</v>
    <v t="r">8905</v>
    <v t="r">8953</v>
    <v t="r">8954</v>
    <v t="r">8955</v>
    <v t="r">8956</v>
  </a>
  <a r="1">
    <v t="s">Africa/Khartoum</v>
  </a>
  <a r="2">
    <v t="r">8991</v>
    <v t="r">8992</v>
  </a>
  <a r="1">
    <v t="s">Surinamese Dutch</v>
  </a>
  <a r="10">
    <v t="r">9003</v>
    <v t="r">9004</v>
    <v t="r">9005</v>
    <v t="r">9006</v>
    <v t="r">9007</v>
    <v t="r">9008</v>
    <v t="r">9009</v>
    <v t="r">9010</v>
    <v t="r">9011</v>
    <v t="r">8965</v>
  </a>
  <a r="1">
    <v t="r">9022</v>
  </a>
  <a r="2">
    <v t="r">9033</v>
    <v t="r">9034</v>
  </a>
  <a r="1">
    <v t="r">9045</v>
  </a>
  <a r="2">
    <v t="r">9067</v>
    <v t="r">9068</v>
  </a>
  <a r="14">
    <v t="r">9040</v>
    <v t="r">9076</v>
    <v t="r">9077</v>
    <v t="r">9078</v>
    <v t="r">9079</v>
    <v t="r">9080</v>
    <v t="r">9081</v>
    <v t="r">9082</v>
    <v t="r">9083</v>
    <v t="r">9084</v>
    <v t="r">9085</v>
    <v t="r">9086</v>
    <v t="r">9087</v>
    <v t="r">9088</v>
  </a>
  <a r="1">
    <v t="r">9098</v>
  </a>
  <a r="2">
    <v t="s">Russian language</v>
    <v t="s">Tajik language</v>
  </a>
  <a r="2">
    <v t="r">9121</v>
    <v t="r">9122</v>
  </a>
  <a r="4">
    <v t="r">9131</v>
    <v t="r">9132</v>
    <v t="r">9133</v>
    <v t="r">9134</v>
  </a>
  <a r="1">
    <v t="r">9147</v>
  </a>
  <a r="5">
    <v t="r">9170</v>
    <v t="r">9171</v>
    <v t="r">9172</v>
    <v t="r">9173</v>
    <v t="r">9174</v>
  </a>
  <a r="36">
    <v t="r">9187</v>
    <v t="r">9188</v>
    <v t="r">9189</v>
    <v t="r">9190</v>
    <v t="r">9191</v>
    <v t="r">9192</v>
    <v t="r">9142</v>
    <v t="r">9193</v>
    <v t="r">9194</v>
    <v t="r">9195</v>
    <v t="r">9196</v>
    <v t="r">9197</v>
    <v t="r">9198</v>
    <v t="r">9199</v>
    <v t="r">9200</v>
    <v t="r">9201</v>
    <v t="r">9202</v>
    <v t="r">9203</v>
    <v t="r">9204</v>
    <v t="r">9205</v>
    <v t="r">9206</v>
    <v t="r">9207</v>
    <v t="r">9208</v>
    <v t="r">9209</v>
    <v t="r">9210</v>
    <v t="r">9211</v>
    <v t="r">9212</v>
    <v t="r">9213</v>
    <v t="r">9169</v>
    <v t="r">9214</v>
    <v t="r">9215</v>
    <v t="r">9216</v>
    <v t="r">9217</v>
    <v t="r">9218</v>
    <v t="r">9219</v>
    <v t="r">9220</v>
  </a>
  <a r="1">
    <v t="r">9231</v>
  </a>
  <a r="2">
    <v t="r">9252</v>
    <v t="r">9253</v>
  </a>
  <a r="1">
    <v t="s">Thai language</v>
  </a>
  <a r="76">
    <v t="r">9264</v>
    <v t="r">9265</v>
    <v t="r">9266</v>
    <v t="r">9267</v>
    <v t="r">9268</v>
    <v t="r">9269</v>
    <v t="r">9270</v>
    <v t="r">9271</v>
    <v t="r">9272</v>
    <v t="r">9273</v>
    <v t="r">9274</v>
    <v t="r">9275</v>
    <v t="r">9276</v>
    <v t="r">9277</v>
    <v t="r">9278</v>
    <v t="r">9279</v>
    <v t="r">9280</v>
    <v t="r">9281</v>
    <v t="r">9282</v>
    <v t="r">9283</v>
    <v t="r">9284</v>
    <v t="r">9285</v>
    <v t="r">9286</v>
    <v t="r">9287</v>
    <v t="r">9288</v>
    <v t="r">9289</v>
    <v t="r">9290</v>
    <v t="r">9291</v>
    <v t="r">9292</v>
    <v t="r">9293</v>
    <v t="r">9294</v>
    <v t="r">9295</v>
    <v t="r">9296</v>
    <v t="r">9297</v>
    <v t="r">9298</v>
    <v t="r">9299</v>
    <v t="r">9227</v>
    <v t="r">9300</v>
    <v t="r">9301</v>
    <v t="r">9302</v>
    <v t="r">9303</v>
    <v t="r">9304</v>
    <v t="r">9305</v>
    <v t="r">9306</v>
    <v t="r">9307</v>
    <v t="r">9308</v>
    <v t="r">9309</v>
    <v t="r">9310</v>
    <v t="r">9311</v>
    <v t="r">9312</v>
    <v t="r">9313</v>
    <v t="r">9314</v>
    <v t="r">9315</v>
    <v t="r">9316</v>
    <v t="r">9317</v>
    <v t="r">9318</v>
    <v t="r">9319</v>
    <v t="r">9320</v>
    <v t="r">9321</v>
    <v t="r">9322</v>
    <v t="r">9323</v>
    <v t="r">9324</v>
    <v t="r">9325</v>
    <v t="r">9326</v>
    <v t="r">9327</v>
    <v t="r">9328</v>
    <v t="r">9329</v>
    <v t="r">9330</v>
    <v t="r">9331</v>
    <v t="r">9332</v>
    <v t="r">9333</v>
    <v t="r">9334</v>
    <v t="r">9335</v>
    <v t="r">9336</v>
    <v t="r">9337</v>
    <v t="r">9338</v>
  </a>
  <a r="1">
    <v t="s">Asia/Bangkok</v>
  </a>
  <a r="2">
    <v t="r">9369</v>
    <v t="r">9370</v>
  </a>
  <a r="2">
    <v t="s">Tetum language</v>
    <v t="s">East Timorese Portuguese</v>
  </a>
  <a r="13">
    <v t="r">9381</v>
    <v t="r">9382</v>
    <v t="r">9383</v>
    <v t="r">9384</v>
    <v t="r">9385</v>
    <v t="r">9347</v>
    <v t="r">9386</v>
    <v t="r">9387</v>
    <v t="r">9388</v>
    <v t="r">9389</v>
    <v t="r">9390</v>
    <v t="r">9391</v>
    <v t="r">9392</v>
  </a>
  <a r="1">
    <v t="r">9405</v>
  </a>
  <a r="2">
    <v t="r">9427</v>
    <v t="r">9428</v>
  </a>
  <a r="5">
    <v t="r">9438</v>
    <v t="r">9439</v>
    <v t="r">9440</v>
    <v t="r">9441</v>
    <v t="r">9442</v>
  </a>
  <a r="1">
    <v t="s">Africa/Lome</v>
  </a>
  <a r="2">
    <v t="r">9473</v>
    <v t="r">9474</v>
  </a>
  <a r="2">
    <v t="s">Tongan language</v>
    <v t="s">English language</v>
  </a>
  <a r="2">
    <v t="r">9491</v>
    <v t="r">9492</v>
  </a>
  <a r="4">
    <v t="r">9514</v>
    <v t="r">9515</v>
    <v t="r">9516</v>
    <v t="r">9517</v>
  </a>
  <a r="1">
    <v t="s">Trinidadian and Tobagonian English</v>
  </a>
  <a r="14">
    <v t="r">9487</v>
    <v t="r">9530</v>
    <v t="r">9513</v>
    <v t="r">9531</v>
    <v t="r">9532</v>
    <v t="r">9533</v>
    <v t="r">9534</v>
    <v t="r">9535</v>
    <v t="r">9536</v>
    <v t="r">9537</v>
    <v t="r">9538</v>
    <v t="r">9539</v>
    <v t="r">9540</v>
    <v t="r">9541</v>
  </a>
  <a r="1">
    <v t="r">9554</v>
  </a>
  <a r="2">
    <v t="r">9577</v>
    <v t="r">9578</v>
  </a>
  <a r="24">
    <v t="r">9587</v>
    <v t="r">9588</v>
    <v t="r">9589</v>
    <v t="r">9590</v>
    <v t="r">9591</v>
    <v t="r">9592</v>
    <v t="r">9593</v>
    <v t="r">9594</v>
    <v t="r">9595</v>
    <v t="r">9596</v>
    <v t="r">9597</v>
    <v t="r">9598</v>
    <v t="r">9599</v>
    <v t="r">9600</v>
    <v t="r">9601</v>
    <v t="r">9602</v>
    <v t="r">9603</v>
    <v t="r">9604</v>
    <v t="r">9605</v>
    <v t="r">9606</v>
    <v t="r">9607</v>
    <v t="r">9608</v>
    <v t="r">9549</v>
    <v t="r">9609</v>
  </a>
  <a r="1">
    <v t="s">Africa/Tunis</v>
  </a>
  <a r="2">
    <v t="r">9621</v>
    <v t="r">9622</v>
  </a>
  <a r="1">
    <v t="r">9632</v>
  </a>
  <a r="1">
    <v t="s">Turkmen language</v>
  </a>
  <a r="3">
    <v t="r">9650</v>
    <v t="r">9651</v>
    <v t="r">9652</v>
  </a>
  <a r="6">
    <v t="r">9628</v>
    <v t="r">9661</v>
    <v t="r">9662</v>
    <v t="r">9663</v>
    <v t="r">9664</v>
    <v t="r">9665</v>
  </a>
  <a r="1">
    <v t="s">Asia/Ashgabat</v>
  </a>
  <a r="2">
    <v t="r">441</v>
    <v t="r">9686</v>
  </a>
  <a r="2">
    <v t="s">English language</v>
    <v t="s">Tuvaluan language</v>
  </a>
  <a r="1">
    <v t="r">9699</v>
  </a>
  <a r="3">
    <v t="r">9720</v>
    <v t="r">9721</v>
    <v t="r">9722</v>
  </a>
  <a r="2">
    <v t="s">Ugandan English</v>
    <v t="s">Swahili language</v>
  </a>
  <a r="112">
    <v t="r">9736</v>
    <v t="r">9737</v>
    <v t="r">9738</v>
    <v t="r">9739</v>
    <v t="r">9740</v>
    <v t="r">9741</v>
    <v t="r">9742</v>
    <v t="r">9743</v>
    <v t="r">9744</v>
    <v t="r">9745</v>
    <v t="r">9746</v>
    <v t="r">9747</v>
    <v t="r">9748</v>
    <v t="r">9749</v>
    <v t="r">9750</v>
    <v t="r">9751</v>
    <v t="r">9752</v>
    <v t="r">9753</v>
    <v t="r">9754</v>
    <v t="r">9755</v>
    <v t="r">9756</v>
    <v t="r">9757</v>
    <v t="r">9758</v>
    <v t="r">9759</v>
    <v t="r">9760</v>
    <v t="r">9761</v>
    <v t="r">9762</v>
    <v t="r">9763</v>
    <v t="r">9764</v>
    <v t="r">9765</v>
    <v t="r">9766</v>
    <v t="r">9767</v>
    <v t="r">9768</v>
    <v t="r">9769</v>
    <v t="r">9770</v>
    <v t="r">9771</v>
    <v t="r">9772</v>
    <v t="r">9773</v>
    <v t="r">9774</v>
    <v t="r">9775</v>
    <v t="r">9776</v>
    <v t="r">9777</v>
    <v t="r">9778</v>
    <v t="r">9779</v>
    <v t="r">9780</v>
    <v t="r">9781</v>
    <v t="r">9782</v>
    <v t="r">9783</v>
    <v t="r">9784</v>
    <v t="r">9785</v>
    <v t="r">9786</v>
    <v t="r">9787</v>
    <v t="r">9788</v>
    <v t="r">9789</v>
    <v t="r">9790</v>
    <v t="r">9791</v>
    <v t="r">9792</v>
    <v t="r">9793</v>
    <v t="r">9794</v>
    <v t="r">9795</v>
    <v t="r">9796</v>
    <v t="r">9797</v>
    <v t="r">9798</v>
    <v t="r">9799</v>
    <v t="r">9800</v>
    <v t="r">9801</v>
    <v t="r">9802</v>
    <v t="r">9803</v>
    <v t="r">9804</v>
    <v t="r">9805</v>
    <v t="r">9806</v>
    <v t="r">9807</v>
    <v t="r">9808</v>
    <v t="r">9809</v>
    <v t="r">9810</v>
    <v t="r">9811</v>
    <v t="r">9812</v>
    <v t="r">9813</v>
    <v t="r">9814</v>
    <v t="r">9815</v>
    <v t="r">9816</v>
    <v t="r">9817</v>
    <v t="r">9818</v>
    <v t="r">9819</v>
    <v t="r">9820</v>
    <v t="r">9821</v>
    <v t="r">9822</v>
    <v t="r">9823</v>
    <v t="r">9824</v>
    <v t="r">9825</v>
    <v t="r">9826</v>
    <v t="r">9827</v>
    <v t="r">9828</v>
    <v t="r">9829</v>
    <v t="r">9830</v>
    <v t="r">9831</v>
    <v t="r">9832</v>
    <v t="r">9833</v>
    <v t="r">9834</v>
    <v t="r">9835</v>
    <v t="r">9836</v>
    <v t="r">9837</v>
    <v t="r">9838</v>
    <v t="r">9839</v>
    <v t="r">9840</v>
    <v t="r">9841</v>
    <v t="r">9842</v>
    <v t="r">9843</v>
    <v t="r">9844</v>
    <v t="r">9845</v>
    <v t="r">9846</v>
    <v t="r">9847</v>
  </a>
  <a r="1">
    <v t="s">Africa/Kampala</v>
  </a>
  <a r="1">
    <v t="r">9858</v>
  </a>
  <a r="1">
    <v t="s">Ukrainian language</v>
  </a>
  <a r="2">
    <v t="s">Eastern European Time</v>
    <v t="s">Daylight saving time</v>
  </a>
  <a r="3">
    <v t="r">9882</v>
    <v t="r">9883</v>
    <v t="r">9884</v>
  </a>
  <a r="27">
    <v t="r">9854</v>
    <v t="r">9894</v>
    <v t="r">9895</v>
    <v t="r">9896</v>
    <v t="r">9897</v>
    <v t="r">9898</v>
    <v t="r">9899</v>
    <v t="r">9900</v>
    <v t="r">9901</v>
    <v t="r">9902</v>
    <v t="r">9903</v>
    <v t="r">9904</v>
    <v t="r">9905</v>
    <v t="r">9906</v>
    <v t="r">9907</v>
    <v t="r">9908</v>
    <v t="r">9909</v>
    <v t="r">9910</v>
    <v t="r">9911</v>
    <v t="r">9912</v>
    <v t="r">9913</v>
    <v t="r">9914</v>
    <v t="r">9915</v>
    <v t="r">9916</v>
    <v t="r">9917</v>
    <v t="r">9918</v>
    <v t="r">7858</v>
  </a>
  <a r="2">
    <v t="r">9953</v>
    <v t="r">9954</v>
  </a>
  <a r="5">
    <v t="r">9926</v>
    <v t="r">9963</v>
    <v t="r">9964</v>
    <v t="r">9965</v>
    <v t="r">9966</v>
  </a>
  <a r="1">
    <v t="r">9977</v>
  </a>
  <a r="1">
    <v t="r">9989</v>
  </a>
  <a r="4">
    <v t="r">10020</v>
    <v t="r">10021</v>
    <v t="r">10022</v>
    <v t="r">10023</v>
  </a>
  <a r="55">
    <v t="r">10035</v>
    <v t="r">10036</v>
    <v t="r">10037</v>
    <v t="r">10038</v>
    <v t="r">10039</v>
    <v t="r">10040</v>
    <v t="r">10041</v>
    <v t="r">10042</v>
    <v t="r">10043</v>
    <v t="r">10044</v>
    <v t="r">10045</v>
    <v t="r">10046</v>
    <v t="r">10047</v>
    <v t="r">10048</v>
    <v t="r">10049</v>
    <v t="r">10050</v>
    <v t="r">10051</v>
    <v t="r">10052</v>
    <v t="r">10053</v>
    <v t="r">10054</v>
    <v t="r">10055</v>
    <v t="r">10056</v>
    <v t="r">10057</v>
    <v t="r">10058</v>
    <v t="r">10059</v>
    <v t="r">10060</v>
    <v t="r">10061</v>
    <v t="r">10062</v>
    <v t="r">10063</v>
    <v t="r">10064</v>
    <v t="r">10065</v>
    <v t="r">10066</v>
    <v t="r">10067</v>
    <v t="r">10068</v>
    <v t="r">10069</v>
    <v t="r">10070</v>
    <v t="r">10071</v>
    <v t="r">10072</v>
    <v t="r">10073</v>
    <v t="r">10074</v>
    <v t="r">10075</v>
    <v t="r">10076</v>
    <v t="r">10077</v>
    <v t="r">10078</v>
    <v t="r">10079</v>
    <v t="r">10080</v>
    <v t="r">10081</v>
    <v t="r">10082</v>
    <v t="r">10083</v>
    <v t="r">10084</v>
    <v t="r">10085</v>
    <v t="r">10086</v>
    <v t="r">10087</v>
    <v t="r">10088</v>
    <v t="r">10089</v>
  </a>
  <a r="6">
    <v t="s">Samoa Time Zone</v>
    <v t="s">Atlantic Time Zone</v>
    <v t="s">Central Time Zone</v>
    <v t="s">Alaska Time Zone</v>
    <v t="s">Mountain Time Zone</v>
    <v t="s">Chamorro Time Zone</v>
  </a>
  <a r="2">
    <v t="r">10121</v>
    <v t="r">10122</v>
  </a>
  <a r="2">
    <v t="s">Rioplatense Spanish</v>
    <v t="s">Uruguayan Sign Language</v>
  </a>
  <a r="19">
    <v t="r">10134</v>
    <v t="r">10135</v>
    <v t="r">10136</v>
    <v t="r">10137</v>
    <v t="r">10138</v>
    <v t="r">10139</v>
    <v t="r">10140</v>
    <v t="r">10141</v>
    <v t="r">10142</v>
    <v t="r">10097</v>
    <v t="r">10143</v>
    <v t="r">10144</v>
    <v t="r">10145</v>
    <v t="r">10146</v>
    <v t="r">10147</v>
    <v t="r">10148</v>
    <v t="r">10149</v>
    <v t="r">10150</v>
    <v t="r">10151</v>
  </a>
  <a r="1">
    <v t="r">10169</v>
  </a>
  <a r="2">
    <v t="r">10190</v>
    <v t="r">10191</v>
  </a>
  <a r="3">
    <v t="s">English language</v>
    <v t="s">Bislama</v>
    <v t="s">French language</v>
  </a>
  <a r="6">
    <v t="r">10201</v>
    <v t="r">10202</v>
    <v t="r">10203</v>
    <v t="r">10164</v>
    <v t="r">10204</v>
    <v t="r">10205</v>
  </a>
  <a r="2">
    <v t="r">10240</v>
    <v t="r">10241</v>
  </a>
  <a r="1">
    <v t="s">Venezuelan Spanish</v>
  </a>
  <a r="25">
    <v t="r">10253</v>
    <v t="r">10254</v>
    <v t="r">10255</v>
    <v t="r">10256</v>
    <v t="r">10257</v>
    <v t="r">10258</v>
    <v t="r">10259</v>
    <v t="r">10260</v>
    <v t="r">10261</v>
    <v t="r">10262</v>
    <v t="r">10263</v>
    <v t="r">10264</v>
    <v t="r">10265</v>
    <v t="r">10266</v>
    <v t="r">10267</v>
    <v t="r">10268</v>
    <v t="r">10269</v>
    <v t="r">10270</v>
    <v t="r">10271</v>
    <v t="r">10272</v>
    <v t="r">10273</v>
    <v t="r">10274</v>
    <v t="r">10275</v>
    <v t="r">10212</v>
    <v t="r">10276</v>
  </a>
  <a r="1">
    <v t="s">Vietnamese language</v>
  </a>
  <a r="1">
    <v t="s">Indochina Time</v>
  </a>
  <a r="3">
    <v t="r">10309</v>
    <v t="r">10310</v>
    <v t="r">10311</v>
  </a>
  <a r="62">
    <v t="r">10321</v>
    <v t="r">10322</v>
    <v t="r">10323</v>
    <v t="r">10324</v>
    <v t="r">10325</v>
    <v t="r">10326</v>
    <v t="r">10327</v>
    <v t="r">10328</v>
    <v t="r">10281</v>
    <v t="r">10329</v>
    <v t="r">10330</v>
    <v t="r">10331</v>
    <v t="r">10332</v>
    <v t="r">10333</v>
    <v t="r">10334</v>
    <v t="r">10308</v>
    <v t="r">10335</v>
    <v t="r">10336</v>
    <v t="r">10337</v>
    <v t="r">10338</v>
    <v t="r">10339</v>
    <v t="r">10340</v>
    <v t="r">10341</v>
    <v t="r">10342</v>
    <v t="r">10343</v>
    <v t="r">10344</v>
    <v t="r">10345</v>
    <v t="r">10346</v>
    <v t="r">10347</v>
    <v t="r">10348</v>
    <v t="r">10349</v>
    <v t="r">10350</v>
    <v t="r">10351</v>
    <v t="r">10352</v>
    <v t="r">10353</v>
    <v t="r">10354</v>
    <v t="r">10355</v>
    <v t="r">10356</v>
    <v t="r">10357</v>
    <v t="r">10358</v>
    <v t="r">10359</v>
    <v t="r">10360</v>
    <v t="r">10361</v>
    <v t="r">10362</v>
    <v t="r">10363</v>
    <v t="r">10364</v>
    <v t="r">10365</v>
    <v t="r">10366</v>
    <v t="r">10367</v>
    <v t="r">10368</v>
    <v t="r">10369</v>
    <v t="r">10370</v>
    <v t="r">10371</v>
    <v t="r">10372</v>
    <v t="r">10373</v>
    <v t="r">10374</v>
    <v t="r">10375</v>
    <v t="r">10376</v>
    <v t="r">10377</v>
    <v t="r">10378</v>
    <v t="r">10379</v>
    <v t="r">10380</v>
  </a>
  <a r="4">
    <v t="r">10409</v>
    <v t="r">10410</v>
    <v t="r">10411</v>
    <v t="r">10412</v>
  </a>
  <a r="20">
    <v t="r">10420</v>
    <v t="r">10421</v>
    <v t="r">10422</v>
    <v t="r">10423</v>
    <v t="r">10424</v>
    <v t="r">10425</v>
    <v t="r">10426</v>
    <v t="r">10427</v>
    <v t="r">10428</v>
    <v t="r">10429</v>
    <v t="r">10430</v>
    <v t="r">10431</v>
    <v t="r">10432</v>
    <v t="r">10433</v>
    <v t="r">10434</v>
    <v t="r">10435</v>
    <v t="r">10436</v>
    <v t="r">10437</v>
    <v t="r">10438</v>
    <v t="r">10439</v>
  </a>
  <a r="1">
    <v t="r">10451</v>
  </a>
  <a r="1">
    <v t="s">UTC+02:30</v>
  </a>
  <a r="4">
    <v t="r">10474</v>
    <v t="r">10475</v>
    <v t="r">10476</v>
    <v t="r">10477</v>
  </a>
  <a r="10">
    <v t="r">10488</v>
    <v t="r">10489</v>
    <v t="r">10490</v>
    <v t="r">10491</v>
    <v t="r">10446</v>
    <v t="r">10492</v>
    <v t="r">10493</v>
    <v t="r">10494</v>
    <v t="r">10495</v>
    <v t="r">10496</v>
  </a>
  <a r="1">
    <v t="s">Africa/Lusaka</v>
  </a>
  <a r="1">
    <v t="r">10509</v>
  </a>
  <a r="2">
    <v t="r">10533</v>
    <v t="r">10534</v>
  </a>
  <a r="16">
    <v t="s">Ndau dialect</v>
    <v t="s">Tonga language</v>
    <v t="s">Venda language</v>
    <v t="s">Tsonga language</v>
    <v t="s">Zimbabwean English</v>
    <v t="s">Kalanga language</v>
    <v t="s">Tswana language</v>
    <v t="s">Zimbabwean sign languages</v>
    <v t="s">Sotho language</v>
    <v t="s">Nambya language</v>
    <v t="s">Tjwao dialect</v>
    <v t="s">Xhosa language</v>
    <v t="s">Shona language</v>
    <v t="s">Chewa language</v>
    <v t="s">Northern Ndebele language</v>
    <v t="s">Sena language</v>
  </a>
  <a r="9">
    <v t="r">10546</v>
    <v t="r">10547</v>
    <v t="r">10548</v>
    <v t="r">10549</v>
    <v t="r">10550</v>
    <v t="r">10551</v>
    <v t="r">10552</v>
    <v t="r">10504</v>
    <v t="r">10553</v>
  </a>
  <a r="1">
    <v t="s">Africa/Harare</v>
  </a>
</arrayData>
</file>

<file path=xl/richData/rdrichvalue.xml><?xml version="1.0" encoding="utf-8"?>
<rvData xmlns="http://schemas.microsoft.com/office/spreadsheetml/2017/richdata" count="10560">
  <rv s="0">
    <fb>-35.293055555556002</fb>
    <v>0</v>
  </rv>
  <rv s="0">
    <fb>149.12694444444</fb>
    <v>0</v>
  </rv>
  <rv s="0">
    <fb>50.8466666666667</fb>
    <v>0</v>
  </rv>
  <rv s="0">
    <fb>4.3516666666666701</fb>
    <v>0</v>
  </rv>
  <rv s="0">
    <fb>-15.793888888889001</fb>
    <v>0</v>
  </rv>
  <rv s="0">
    <fb>-47.882777777778003</fb>
    <v>0</v>
  </rv>
  <rv s="0">
    <fb>45.424722222222002</fb>
    <v>0</v>
  </rv>
  <rv s="0">
    <fb>-75.694999999999993</fb>
    <v>0</v>
  </rv>
  <rv s="0">
    <fb>55.676111111110998</fb>
    <v>0</v>
  </rv>
  <rv s="0">
    <fb>12.568888888888999</fb>
    <v>0</v>
  </rv>
  <rv s="0">
    <fb>30.044444444444402</fb>
    <v>0</v>
  </rv>
  <rv s="0">
    <fb>31.2358333333333</fb>
    <v>0</v>
  </rv>
  <rv s="0">
    <fb>60.170833333333299</fb>
    <v>0</v>
  </rv>
  <rv s="0">
    <fb>24.9375</fb>
    <v>0</v>
  </rv>
  <rv s="0">
    <fb>48.856666666666698</fb>
    <v>0</v>
  </rv>
  <rv s="0">
    <fb>2.35222222222222</fb>
    <v>0</v>
  </rv>
  <rv s="0">
    <fb>64.147499999999994</fb>
    <v>0</v>
  </rv>
  <rv s="0">
    <fb>-21.934999999999999</fb>
    <v>0</v>
  </rv>
  <rv s="0">
    <fb>28.613895400000001</fb>
    <v>0</v>
  </rv>
  <rv s="0">
    <fb>77.209005700000006</fb>
    <v>0</v>
  </rv>
  <rv s="0">
    <fb>35.688888888888897</fb>
    <v>0</v>
  </rv>
  <rv s="0">
    <fb>51.389722222222197</fb>
    <v>0</v>
  </rv>
  <rv s="0">
    <fb>53.349722222222198</fb>
    <v>0</v>
  </rv>
  <rv s="0">
    <fb>-6.2602777777777803</fb>
    <v>0</v>
  </rv>
  <rv s="0">
    <fb>41.893055555556003</fb>
    <v>0</v>
  </rv>
  <rv s="0">
    <fb>12.482777777778001</fb>
    <v>0</v>
  </rv>
  <rv s="0">
    <fb>52.372777777777799</fb>
    <v>0</v>
  </rv>
  <rv s="0">
    <fb>4.8936111111111096</fb>
    <v>0</v>
  </rv>
  <rv s="0">
    <fb>-41.288888888888998</fb>
    <v>0</v>
  </rv>
  <rv s="0">
    <fb>174.77722222221999</fb>
    <v>0</v>
  </rv>
  <rv s="0">
    <fb>33.698888888889002</fb>
    <v>0</v>
  </rv>
  <rv s="0">
    <fb>73.036944444444003</fb>
    <v>0</v>
  </rv>
  <rv s="0">
    <fb>52.23</fb>
    <v>0</v>
  </rv>
  <rv s="0">
    <fb>21.011111111111099</fb>
    <v>0</v>
  </rv>
  <rv s="0">
    <fb>24.65</fb>
    <v>0</v>
  </rv>
  <rv s="0">
    <fb>46.71</fb>
    <v>0</v>
  </rv>
  <rv s="0">
    <fb>-25.746388888889001</fb>
    <v>0</v>
  </rv>
  <rv s="0">
    <fb>28.188055555556002</fb>
    <v>0</v>
  </rv>
  <rv s="0">
    <fb>40.416944444444397</fb>
    <v>0</v>
  </rv>
  <rv s="0">
    <fb>-3.70333333333333</fb>
    <v>0</v>
  </rv>
  <rv s="0">
    <fb>59.329444444444</fb>
    <v>0</v>
  </rv>
  <rv s="0">
    <fb>18.068611111111</fb>
    <v>0</v>
  </rv>
  <rv s="0">
    <fb>46.947980000000001</fb>
    <v>0</v>
  </rv>
  <rv s="0">
    <fb>7.4474299999999998</fb>
    <v>0</v>
  </rv>
  <rv s="0">
    <fb>51.507222222221998</fb>
    <v>0</v>
  </rv>
  <rv s="0">
    <fb>-0.1275</fb>
    <v>0</v>
  </rv>
  <rv s="1">
    <v>536870912</v>
    <v>Kabul</v>
    <v>9e39744c-fdfe-92b6-a9bc-39aa272561e6</v>
    <v>en-US</v>
    <v>Map</v>
  </rv>
  <rv s="1">
    <v>536870912</v>
    <v>Kabul Province</v>
    <v>cc53c949-ca15-8b61-adef-11c8598c43c7</v>
    <v>en-US</v>
    <v>Map</v>
  </rv>
  <rv s="1">
    <v>536870912</v>
    <v>Kabul District</v>
    <v>342d0549-551c-c04f-1daf-446cc53967b8</v>
    <v>en-US</v>
    <v>Map</v>
  </rv>
  <rv s="0">
    <fb>275</fb>
    <v>9</v>
  </rv>
  <rv s="1">
    <v>536870912</v>
    <v>Afghanistan</v>
    <v>c650f0dc-d7a9-6c0b-6125-b52ae4cd36b5</v>
    <v>en-US</v>
    <v>Map</v>
  </rv>
  <rv s="2">
    <v>0</v>
    <v>7</v>
    <v>1</v>
    <v>7</v>
    <v>0</v>
    <v>Image of Kabul</v>
  </rv>
  <rv s="0">
    <fb>34.532777777778001</fb>
    <v>0</v>
  </rv>
  <rv s="1">
    <v>805306368</v>
    <v>Hamdullah Nomani (Mayor)</v>
    <v>e5a87d33-f00e-2954-e618-f617fa2b74af</v>
    <v>en-US</v>
    <v>Generic</v>
  </rv>
  <rv s="3">
    <v>0</v>
  </rv>
  <rv s="4">
    <v>https://www.bing.com/search?q=kabul&amp;form=skydnc</v>
    <v>Learn more on Bing</v>
  </rv>
  <rv s="0">
    <fb>69.165833333332998</fb>
    <v>0</v>
  </rv>
  <rv s="0">
    <fb>4273156</fb>
    <v>9</v>
  </rv>
  <rv s="3">
    <v>1</v>
  </rv>
  <rv s="5">
    <v>#VALUE!</v>
    <v>en-US</v>
    <v>9e39744c-fdfe-92b6-a9bc-39aa272561e6</v>
    <v>536870912</v>
    <v>1</v>
    <v>2</v>
    <v>3</v>
    <v>Kabul</v>
    <v>5</v>
    <v>6</v>
    <v>Map</v>
    <v>7</v>
    <v>8</v>
    <v>47</v>
    <v>48</v>
    <v>49</v>
    <v>50</v>
    <v>Kabul is the capital city of Afghanistan. Located in the eastern half of the country, it is also a municipality, forming part of the Kabul Province. The city is divided for administration into 22 municipal districts. In 2025 its population is ...</v>
    <v>51</v>
    <v>52</v>
    <v>54</v>
    <v>55</v>
    <v>56</v>
    <v>Kabul</v>
    <v>57</v>
    <v>58</v>
    <v>Kabul</v>
    <v>mdp/vdpid/7391980927867420673</v>
  </rv>
  <rv s="0">
    <fb>0.58067579572955896</fb>
    <v>28</v>
  </rv>
  <rv s="0">
    <fb>652230</fb>
    <v>9</v>
  </rv>
  <rv s="0">
    <fb>323000</fb>
    <v>9</v>
  </rv>
  <rv s="0">
    <fb>32.487000000000002</fb>
    <v>29</v>
  </rv>
  <rv s="0">
    <fb>93</fb>
    <v>30</v>
  </rv>
  <rv s="0">
    <fb>8672.4549999999999</fb>
    <v>9</v>
  </rv>
  <rv s="0">
    <fb>149.89597520803201</fb>
    <v>31</v>
  </rv>
  <rv s="0">
    <fb>2.30237251516844E-2</fb>
    <v>28</v>
  </rv>
  <rv s="0">
    <fb>4.4729999999999999</fb>
    <v>29</v>
  </rv>
  <rv s="0">
    <fb>2.0678246484698102E-2</fb>
    <v>28</v>
  </rv>
  <rv s="0">
    <fb>0.7</fb>
    <v>32</v>
  </rv>
  <rv s="0">
    <fb>19101353832.737099</fb>
    <v>33</v>
  </rv>
  <rv s="0">
    <fb>1.0399616</fb>
    <v>28</v>
  </rv>
  <rv s="0">
    <fb>9.6864199999999998E-2</fb>
    <v>28</v>
  </rv>
  <rv s="2">
    <v>1</v>
    <v>7</v>
    <v>12</v>
    <v>7</v>
    <v>0</v>
    <v>Image of Afghanistan</v>
  </rv>
  <rv s="0">
    <fb>47.9</fb>
    <v>34</v>
  </rv>
  <rv s="1">
    <v>805306368</v>
    <v>Hibatullah Akhundzada (Supreme leader)</v>
    <v>c79fccb3-3f96-8f58-f5b4-c33fc8931273</v>
    <v>en-US</v>
    <v>Generic</v>
  </rv>
  <rv s="1">
    <v>805306368</v>
    <v>Hasan Akhund (Prime minister)</v>
    <v>a6a54a14-c450-e73c-d97f-ea18542aef2b</v>
    <v>en-US</v>
    <v>Generic</v>
  </rv>
  <rv s="1">
    <v>805306368</v>
    <v>Abdul Hakim Haqqani (Chief justice)</v>
    <v>7c2c3c36-b688-f8a7-4ac1-ea9d99e56a85</v>
    <v>en-US</v>
    <v>Generic</v>
  </rv>
  <rv s="3">
    <v>2</v>
  </rv>
  <rv s="4">
    <v>https://www.bing.com/search?q=afghanistan&amp;form=skydnc</v>
    <v>Learn more on Bing</v>
  </rv>
  <rv s="0">
    <fb>64.486000000000004</fb>
    <v>34</v>
  </rv>
  <rv s="0">
    <fb>638</fb>
    <v>34</v>
  </rv>
  <rv s="0">
    <fb>0.43</fb>
    <v>32</v>
  </rv>
  <rv s="3">
    <v>3</v>
  </rv>
  <rv s="0">
    <fb>0.78382296479999991</fb>
    <v>28</v>
  </rv>
  <rv s="0">
    <fb>0.2782</fb>
    <v>29</v>
  </rv>
  <rv s="0">
    <fb>41128771</fb>
    <v>9</v>
  </rv>
  <rv s="0">
    <fb>0.48891998291015598</fb>
    <v>28</v>
  </rv>
  <rv s="1">
    <v>536870912</v>
    <v>Badakhshan Province</v>
    <v>a76dd38e-3531-0c42-7fb2-210ae2a1c86e</v>
    <v>en-US</v>
    <v>Map</v>
  </rv>
  <rv s="1">
    <v>536870912</v>
    <v>Badghis Province</v>
    <v>fafb218e-2282-2c45-b0ff-909e0073d897</v>
    <v>en-US</v>
    <v>Map</v>
  </rv>
  <rv s="1">
    <v>536870912</v>
    <v>Baghlan Province</v>
    <v>59a7399c-fb46-0ca8-1fa8-3d431318e956</v>
    <v>en-US</v>
    <v>Map</v>
  </rv>
  <rv s="1">
    <v>536870912</v>
    <v>Balkh Province</v>
    <v>aeade1a9-7086-303f-93eb-0e52a0db49e9</v>
    <v>en-US</v>
    <v>Map</v>
  </rv>
  <rv s="1">
    <v>536870912</v>
    <v>Bamyan Province</v>
    <v>67a97306-b7de-b280-2288-6c54d2cbcecd</v>
    <v>en-US</v>
    <v>Map</v>
  </rv>
  <rv s="1">
    <v>536870912</v>
    <v>Daikundi Province</v>
    <v>7203fea6-408c-176f-edd6-5499a9e36797</v>
    <v>en-US</v>
    <v>Map</v>
  </rv>
  <rv s="1">
    <v>536870912</v>
    <v>Farah Province</v>
    <v>360bbec7-bc65-ccc2-d017-64eab5c39b6f</v>
    <v>en-US</v>
    <v>Map</v>
  </rv>
  <rv s="1">
    <v>536870912</v>
    <v>Faryab Province</v>
    <v>318c2a8b-27fe-0a3e-889e-8f61968de8d8</v>
    <v>en-US</v>
    <v>Map</v>
  </rv>
  <rv s="1">
    <v>536870912</v>
    <v>Ghazni Province</v>
    <v>1b180331-5e3c-7275-c87a-06633dc4a2e0</v>
    <v>en-US</v>
    <v>Map</v>
  </rv>
  <rv s="1">
    <v>536870912</v>
    <v>Ghor Province</v>
    <v>349bc75f-8254-9801-74cb-c41869af77df</v>
    <v>en-US</v>
    <v>Map</v>
  </rv>
  <rv s="1">
    <v>536870912</v>
    <v>Helmand Province</v>
    <v>1fa20d1d-b360-bf61-9a49-00020956cf84</v>
    <v>en-US</v>
    <v>Map</v>
  </rv>
  <rv s="1">
    <v>536870912</v>
    <v>Herat Province</v>
    <v>1b800148-f493-b48e-86c9-35af0bc7a184</v>
    <v>en-US</v>
    <v>Map</v>
  </rv>
  <rv s="1">
    <v>536870912</v>
    <v>Jowzjan Province</v>
    <v>740686d1-5063-1aa1-877a-4a738fa9de22</v>
    <v>en-US</v>
    <v>Map</v>
  </rv>
  <rv s="1">
    <v>536870912</v>
    <v>Kandahar Province</v>
    <v>418ff057-0b75-8b05-2a70-b1ea45d38332</v>
    <v>en-US</v>
    <v>Map</v>
  </rv>
  <rv s="1">
    <v>536870912</v>
    <v>Kapisa Province</v>
    <v>15ee9b54-1db9-3305-b800-00995983e920</v>
    <v>en-US</v>
    <v>Map</v>
  </rv>
  <rv s="1">
    <v>536870912</v>
    <v>Khost Province</v>
    <v>54533663-bbf7-c806-21c0-43af1dda7fb4</v>
    <v>en-US</v>
    <v>Map</v>
  </rv>
  <rv s="1">
    <v>536870912</v>
    <v>Kunar Province</v>
    <v>c8ce1482-dc54-7521-5bfd-e60378bbdaad</v>
    <v>en-US</v>
    <v>Map</v>
  </rv>
  <rv s="1">
    <v>536870912</v>
    <v>Kunduz Province</v>
    <v>3a755081-6484-d392-5656-6134c8746f0f</v>
    <v>en-US</v>
    <v>Map</v>
  </rv>
  <rv s="1">
    <v>536870912</v>
    <v>Laghman Province</v>
    <v>83080f71-f8e1-54b3-e623-890b84e2b254</v>
    <v>en-US</v>
    <v>Map</v>
  </rv>
  <rv s="1">
    <v>536870912</v>
    <v>Logar Province</v>
    <v>262f0b58-673c-9c18-2492-fcbe8280890e</v>
    <v>en-US</v>
    <v>Map</v>
  </rv>
  <rv s="1">
    <v>536870912</v>
    <v>Maidan Wardak Province</v>
    <v>2aca529e-7921-7063-45de-c59deee0b0a2</v>
    <v>en-US</v>
    <v>Map</v>
  </rv>
  <rv s="1">
    <v>536870912</v>
    <v>Nangarhar Province</v>
    <v>e9a162d1-04da-e9b2-c71b-9206da93a649</v>
    <v>en-US</v>
    <v>Map</v>
  </rv>
  <rv s="1">
    <v>536870912</v>
    <v>Nimruz Province</v>
    <v>e072bd17-7d63-56de-af00-17f8795aeffb</v>
    <v>en-US</v>
    <v>Map</v>
  </rv>
  <rv s="1">
    <v>536870912</v>
    <v>Nuristan Province</v>
    <v>6e3c2115-37f8-124e-8b63-6dc04e515c8d</v>
    <v>en-US</v>
    <v>Map</v>
  </rv>
  <rv s="1">
    <v>536870912</v>
    <v>Paktia Province</v>
    <v>6c3f2c2a-eb78-faa3-eeef-6cce33907e6f</v>
    <v>en-US</v>
    <v>Map</v>
  </rv>
  <rv s="1">
    <v>536870912</v>
    <v>Paktika Province</v>
    <v>d88b6d30-53ba-16c3-a0a1-209752dea872</v>
    <v>en-US</v>
    <v>Map</v>
  </rv>
  <rv s="1">
    <v>536870912</v>
    <v>Panjshir Province</v>
    <v>1facb893-c4b3-cdc9-fa55-3c66c678ae7d</v>
    <v>en-US</v>
    <v>Map</v>
  </rv>
  <rv s="1">
    <v>536870912</v>
    <v>Parwan Province</v>
    <v>60a945d1-8a9c-e3be-aaff-530b6bc0b713</v>
    <v>en-US</v>
    <v>Map</v>
  </rv>
  <rv s="1">
    <v>536870912</v>
    <v>Samangan Province</v>
    <v>6c8518c6-75b1-ac24-1dc7-fe718b3f7c3d</v>
    <v>en-US</v>
    <v>Map</v>
  </rv>
  <rv s="1">
    <v>536870912</v>
    <v>Sar-e-Pol Province</v>
    <v>e79e1b3d-1204-e5d7-d99c-3b7ac42238e5</v>
    <v>en-US</v>
    <v>Map</v>
  </rv>
  <rv s="1">
    <v>536870912</v>
    <v>Takhar Province</v>
    <v>ed50b793-d75b-68db-83a4-8969c13eca1c</v>
    <v>en-US</v>
    <v>Map</v>
  </rv>
  <rv s="1">
    <v>536870912</v>
    <v>Uruzgan Province</v>
    <v>49427ef4-f64f-c259-f912-7d395888bb25</v>
    <v>en-US</v>
    <v>Map</v>
  </rv>
  <rv s="1">
    <v>536870912</v>
    <v>Zabul Province</v>
    <v>81e3c78a-b5ac-7497-bd1c-a3b9a1cf7790</v>
    <v>en-US</v>
    <v>Map</v>
  </rv>
  <rv s="3">
    <v>4</v>
  </rv>
  <rv s="0">
    <fb>9.250468048559661E-2</fb>
    <v>28</v>
  </rv>
  <rv s="0">
    <fb>0.71400000000000008</fb>
    <v>28</v>
  </rv>
  <rv s="0">
    <fb>0.111180000305176</fb>
    <v>35</v>
  </rv>
  <rv s="0">
    <fb>9797273</fb>
    <v>9</v>
  </rv>
  <rv s="6">
    <v>#VALUE!</v>
    <v>en-US</v>
    <v>c650f0dc-d7a9-6c0b-6125-b52ae4cd36b5</v>
    <v>536870912</v>
    <v>1</v>
    <v>25</v>
    <v>26</v>
    <v>Afghanistan</v>
    <v>5</v>
    <v>6</v>
    <v>Map</v>
    <v>7</v>
    <v>27</v>
    <v>AF</v>
    <v>60</v>
    <v>61</v>
    <v>62</v>
    <v>63</v>
    <v>64</v>
    <v>46</v>
    <v>65</v>
    <v>66</v>
    <v>67</v>
    <v>AFA</v>
    <v>Afghanistan, officially the Islamic Emirate of Afghanistan, is a landlocked country located at the crossroads of Central Asia and South Asia. It is bordered by Pakistan to the east and south, Iran to the west, Turkmenistan to the northwest, ...</v>
    <v>68</v>
    <v>69</v>
    <v>70</v>
    <v>71</v>
    <v>72</v>
    <v>73</v>
    <v>74</v>
    <v>75</v>
    <v>46</v>
    <v>79</v>
    <v>80</v>
    <v>81</v>
    <v>82</v>
    <v>83</v>
    <v>Afghanistan</v>
    <v>This Is the Home of the Brave</v>
    <v>84</v>
    <v>امارت اسلامی افغانستان</v>
    <v>85</v>
    <v>86</v>
    <v>87</v>
    <v>88</v>
    <v>122</v>
    <v>123</v>
    <v>58</v>
    <v>124</v>
    <v>125</v>
    <v>Afghanistan</v>
    <v>126</v>
    <v>mdp/vdpid/3</v>
  </rv>
  <rv s="1">
    <v>536870912</v>
    <v>Tirana</v>
    <v>dfc7b09c-d0b8-1a92-df3b-f227d63e29b3</v>
    <v>en-US</v>
    <v>Map</v>
  </rv>
  <rv s="1">
    <v>536870912</v>
    <v>Tirana County</v>
    <v>94012264-6b46-af1a-8df5-b63a44a11277</v>
    <v>en-US</v>
    <v>Map</v>
  </rv>
  <rv s="0">
    <fb>41.8</fb>
    <v>9</v>
  </rv>
  <rv s="1">
    <v>536870912</v>
    <v>Albania</v>
    <v>bb9fa97a-a48f-634d-5eeb-22dfd5d6fe3f</v>
    <v>en-US</v>
    <v>Map</v>
  </rv>
  <rv s="2">
    <v>2</v>
    <v>7</v>
    <v>36</v>
    <v>7</v>
    <v>0</v>
    <v>Image of Tirana</v>
  </rv>
  <rv s="0">
    <fb>41.328888888888898</fb>
    <v>0</v>
  </rv>
  <rv s="1">
    <v>805306368</v>
    <v>Erion Veliaj (Mayor)</v>
    <v>c0a0f815-910a-660a-ed78-a17977c72293</v>
    <v>en-US</v>
    <v>Generic</v>
  </rv>
  <rv s="1">
    <v>805306368</v>
    <v>Anuela Ristani (Mayor)</v>
    <v>08659d55-9b91-0eee-7425-dfc0f9598793</v>
    <v>en-US</v>
    <v>Generic</v>
  </rv>
  <rv s="1">
    <v>805306368</v>
    <v>Romina Kuko (Chairwoman)</v>
    <v>d5af2175-03b6-7d3f-3bfb-1b87bd998c54</v>
    <v>en-US</v>
    <v>Generic</v>
  </rv>
  <rv s="3">
    <v>5</v>
  </rv>
  <rv s="4">
    <v>https://www.bing.com/search?q=tirana&amp;form=skydnc</v>
    <v>Learn more on Bing</v>
  </rv>
  <rv s="0">
    <fb>19.817777777777799</fb>
    <v>0</v>
  </rv>
  <rv s="0">
    <fb>418495</fb>
    <v>9</v>
  </rv>
  <rv s="3">
    <v>6</v>
  </rv>
  <rv s="7">
    <v>#VALUE!</v>
    <v>en-US</v>
    <v>dfc7b09c-d0b8-1a92-df3b-f227d63e29b3</v>
    <v>536870912</v>
    <v>1</v>
    <v>37</v>
    <v>38</v>
    <v>Tirana</v>
    <v>5</v>
    <v>6</v>
    <v>Map</v>
    <v>7</v>
    <v>39</v>
    <v>129</v>
    <v>130</v>
    <v>131</v>
    <v>Tirana is the capital and largest city of Albania. It is located in the centre of the country, enclosed by mountains and hills, with Dajti rising to the east and a slight valley to the northwest overlooking the Adriatic Sea in the distance. It ...</v>
    <v>132</v>
    <v>133</v>
    <v>137</v>
    <v>138</v>
    <v>139</v>
    <v>Tirana</v>
    <v>140</v>
    <v>141</v>
    <v>Tirana</v>
    <v>mdp/vdpid/7218781222309199873</v>
  </rv>
  <rv s="0">
    <fb>0.43127735444229204</fb>
    <v>28</v>
  </rv>
  <rv s="0">
    <fb>28748</fb>
    <v>9</v>
  </rv>
  <rv s="0">
    <fb>9000</fb>
    <v>9</v>
  </rv>
  <rv s="0">
    <fb>11.78</fb>
    <v>29</v>
  </rv>
  <rv s="0">
    <fb>355</fb>
    <v>30</v>
  </rv>
  <rv s="0">
    <fb>4536.0789999999997</fb>
    <v>9</v>
  </rv>
  <rv s="0">
    <fb>119.04925838438101</fb>
    <v>31</v>
  </rv>
  <rv s="0">
    <fb>1.41109078954244E-2</fb>
    <v>28</v>
  </rv>
  <rv s="0">
    <fb>2309.3665025558098</fb>
    <v>9</v>
  </rv>
  <rv s="0">
    <fb>1.617</fb>
    <v>29</v>
  </rv>
  <rv s="0">
    <fb>0.28121897008297198</fb>
    <v>28</v>
  </rv>
  <rv s="0">
    <fb>61.421801394263802</fb>
    <v>34</v>
  </rv>
  <rv s="0">
    <fb>1.36</fb>
    <v>32</v>
  </rv>
  <rv s="0">
    <fb>15278077446.8643</fb>
    <v>33</v>
  </rv>
  <rv s="0">
    <fb>1.0699342000000001</fb>
    <v>28</v>
  </rv>
  <rv s="0">
    <fb>0.54961329999999997</fb>
    <v>28</v>
  </rv>
  <rv s="2">
    <v>3</v>
    <v>7</v>
    <v>41</v>
    <v>7</v>
    <v>0</v>
    <v>Image of Albania</v>
  </rv>
  <rv s="0">
    <fb>7.8</fb>
    <v>34</v>
  </rv>
  <rv s="1">
    <v>805306368</v>
    <v>Bajram Begaj (President)</v>
    <v>4bd28903-8326-e508-be49-1f6e00ecc414</v>
    <v>en-US</v>
    <v>Generic</v>
  </rv>
  <rv s="1">
    <v>805306368</v>
    <v>Edi Rama (Prime minister)</v>
    <v>a8db445f-2f2e-cde7-88b8-114189a700d1</v>
    <v>en-US</v>
    <v>Generic</v>
  </rv>
  <rv s="3">
    <v>7</v>
  </rv>
  <rv s="4">
    <v>https://www.bing.com/search?q=albania&amp;form=skydnc</v>
    <v>Learn more on Bing</v>
  </rv>
  <rv s="0">
    <fb>78.457999999999998</fb>
    <v>34</v>
  </rv>
  <rv s="0">
    <fb>15</fb>
    <v>34</v>
  </rv>
  <rv s="0">
    <fb>1.1200000000000001</fb>
    <v>32</v>
  </rv>
  <rv s="3">
    <v>8</v>
  </rv>
  <rv s="0">
    <fb>0.56925469890000002</fb>
    <v>28</v>
  </rv>
  <rv s="0">
    <fb>1.1998</fb>
    <v>29</v>
  </rv>
  <rv s="0">
    <fb>2775634</fb>
    <v>9</v>
  </rv>
  <rv s="0">
    <fb>0.23300000000000001</fb>
    <v>28</v>
  </rv>
  <rv s="0">
    <fb>0.248</fb>
    <v>28</v>
  </rv>
  <rv s="0">
    <fb>0.40700000000000003</fb>
    <v>28</v>
  </rv>
  <rv s="0">
    <fb>3.1E-2</fb>
    <v>28</v>
  </rv>
  <rv s="0">
    <fb>7.4999999999999997E-2</fb>
    <v>28</v>
  </rv>
  <rv s="0">
    <fb>0.12</fb>
    <v>28</v>
  </rv>
  <rv s="0">
    <fb>0.16500000000000001</fb>
    <v>28</v>
  </rv>
  <rv s="0">
    <fb>0.55731998443603503</fb>
    <v>28</v>
  </rv>
  <rv s="1">
    <v>536870912</v>
    <v>Berat County</v>
    <v>01968c2b-daec-a2a7-275b-824389c034c8</v>
    <v>en-US</v>
    <v>Map</v>
  </rv>
  <rv s="1">
    <v>536870912</v>
    <v>Dibër County</v>
    <v>b5c567c6-687f-ae2c-7528-a5c3a901aa2d</v>
    <v>en-US</v>
    <v>Map</v>
  </rv>
  <rv s="1">
    <v>536870912</v>
    <v>Durrës County</v>
    <v>ea9915f6-84d9-48dc-7f0c-8a7ba599e3d3</v>
    <v>en-US</v>
    <v>Map</v>
  </rv>
  <rv s="1">
    <v>536870912</v>
    <v>Elbasan County</v>
    <v>eae5363e-fefe-7ca9-433c-01efa8c0e0d6</v>
    <v>en-US</v>
    <v>Map</v>
  </rv>
  <rv s="1">
    <v>536870912</v>
    <v>Fier County</v>
    <v>f29399f6-60c8-4e8f-dc55-63563bd2bb99</v>
    <v>en-US</v>
    <v>Map</v>
  </rv>
  <rv s="1">
    <v>536870912</v>
    <v>Gjirokastër County</v>
    <v>c45588d3-34a7-8c31-f18c-940f2ceaa8ad</v>
    <v>en-US</v>
    <v>Map</v>
  </rv>
  <rv s="1">
    <v>536870912</v>
    <v>Korçë County</v>
    <v>a9670c9a-9795-237b-b6dd-6396ef1a7aa3</v>
    <v>en-US</v>
    <v>Map</v>
  </rv>
  <rv s="1">
    <v>536870912</v>
    <v>Kukës County</v>
    <v>e806dfc8-9082-7d29-b543-270834c82cb8</v>
    <v>en-US</v>
    <v>Map</v>
  </rv>
  <rv s="1">
    <v>536870912</v>
    <v>Lezhë County</v>
    <v>8c522355-68c8-e81d-b510-02c3418f07e7</v>
    <v>en-US</v>
    <v>Map</v>
  </rv>
  <rv s="1">
    <v>536870912</v>
    <v>Shkodër County</v>
    <v>dc286f1f-429c-7703-de2d-0b1b940d6a49</v>
    <v>en-US</v>
    <v>Map</v>
  </rv>
  <rv s="1">
    <v>536870912</v>
    <v>Vlorë County</v>
    <v>408be633-7423-80d9-87da-63e68b5da2cd</v>
    <v>en-US</v>
    <v>Map</v>
  </rv>
  <rv s="3">
    <v>9</v>
  </rv>
  <rv s="0">
    <fb>0.18557475395326101</fb>
    <v>28</v>
  </rv>
  <rv s="3">
    <v>10</v>
  </rv>
  <rv s="0">
    <fb>0.36599999999999999</fb>
    <v>28</v>
  </rv>
  <rv s="0">
    <fb>0.12331000328064</fb>
    <v>35</v>
  </rv>
  <rv s="0">
    <fb>1747593</fb>
    <v>9</v>
  </rv>
  <rv s="8">
    <v>#VALUE!</v>
    <v>en-US</v>
    <v>bb9fa97a-a48f-634d-5eeb-22dfd5d6fe3f</v>
    <v>536870912</v>
    <v>1</v>
    <v>45</v>
    <v>46</v>
    <v>Albania</v>
    <v>5</v>
    <v>6</v>
    <v>Map</v>
    <v>7</v>
    <v>47</v>
    <v>AL</v>
    <v>143</v>
    <v>144</v>
    <v>145</v>
    <v>146</v>
    <v>147</v>
    <v>128</v>
    <v>148</v>
    <v>149</v>
    <v>150</v>
    <v>ALL</v>
    <v>Albania, officially the Republic of Albania, is a country in Southeast Europe. It is located in the Balkans, on the Adriatic and Ionian Seas within the Mediterranean Sea, and shares land borders with Montenegro to the northwest, Kosovo to the ...</v>
    <v>151</v>
    <v>152</v>
    <v>153</v>
    <v>154</v>
    <v>155</v>
    <v>156</v>
    <v>157</v>
    <v>158</v>
    <v>159</v>
    <v>160</v>
    <v>128</v>
    <v>163</v>
    <v>164</v>
    <v>165</v>
    <v>166</v>
    <v>167</v>
    <v>Albania</v>
    <v>Himni i Flamurit</v>
    <v>168</v>
    <v>Republika e Shqipërisë</v>
    <v>169</v>
    <v>170</v>
    <v>171</v>
    <v>172</v>
    <v>173</v>
    <v>174</v>
    <v>175</v>
    <v>176</v>
    <v>177</v>
    <v>178</v>
    <v>179</v>
    <v>191</v>
    <v>192</v>
    <v>193</v>
    <v>194</v>
    <v>195</v>
    <v>Albania</v>
    <v>196</v>
    <v>mdp/vdpid/6</v>
  </rv>
  <rv s="1">
    <v>536870912</v>
    <v>Algiers</v>
    <v>4ae67151-d610-04af-dcbe-ab5836a4ec9a</v>
    <v>en-US</v>
    <v>Map</v>
  </rv>
  <rv s="1">
    <v>536870912</v>
    <v>Algiers Province</v>
    <v>ea8a9141-0ad1-066d-5e89-cb0db5eb4917</v>
    <v>en-US</v>
    <v>Map</v>
  </rv>
  <rv s="0">
    <fb>363</fb>
    <v>9</v>
  </rv>
  <rv s="1">
    <v>536870912</v>
    <v>Algeria</v>
    <v>9670a4ec-16dd-f8c8-9fa8-4a541682532b</v>
    <v>en-US</v>
    <v>Map</v>
  </rv>
  <rv s="2">
    <v>4</v>
    <v>7</v>
    <v>48</v>
    <v>7</v>
    <v>0</v>
    <v>Image of Algiers</v>
  </rv>
  <rv s="0">
    <fb>36.776388888889002</fb>
    <v>0</v>
  </rv>
  <rv s="1">
    <v>805306368</v>
    <v>Mahdia Benghalia (Mayor)</v>
    <v>85bc1152-1d5a-1b37-244e-c1672a62c4cf</v>
    <v>en-US</v>
    <v>Generic</v>
  </rv>
  <rv s="3">
    <v>11</v>
  </rv>
  <rv s="4">
    <v>https://www.bing.com/search?q=algiers&amp;form=skydnc</v>
    <v>Learn more on Bing</v>
  </rv>
  <rv s="0">
    <fb>3.0586111111110998</fb>
    <v>0</v>
  </rv>
  <rv s="0">
    <fb>3415811</fb>
    <v>9</v>
  </rv>
  <rv s="7">
    <v>#VALUE!</v>
    <v>en-US</v>
    <v>4ae67151-d610-04af-dcbe-ab5836a4ec9a</v>
    <v>536870912</v>
    <v>1</v>
    <v>49</v>
    <v>38</v>
    <v>Algiers</v>
    <v>5</v>
    <v>6</v>
    <v>Map</v>
    <v>7</v>
    <v>39</v>
    <v>199</v>
    <v>200</v>
    <v>201</v>
    <v>Algiers is the capital city of Algeria as well as the capital of the Algiers Province; it extends over many communes without having its own separate governing body. With 2,988,145 residents at 2008 and over 4,510,000 in 2020 in an area of 1,190 ...</v>
    <v>202</v>
    <v>203</v>
    <v>205</v>
    <v>206</v>
    <v>207</v>
    <v>Algiers</v>
    <v>208</v>
    <v>141</v>
    <v>Algiers</v>
    <v>mdp/vdpid/7211202763974246401</v>
  </rv>
  <rv s="0">
    <fb>0.17365539151523698</fb>
    <v>28</v>
  </rv>
  <rv s="0">
    <fb>2381741</fb>
    <v>9</v>
  </rv>
  <rv s="0">
    <fb>317000</fb>
    <v>9</v>
  </rv>
  <rv s="0">
    <fb>24.282</fb>
    <v>29</v>
  </rv>
  <rv s="0">
    <fb>213</fb>
    <v>30</v>
  </rv>
  <rv s="0">
    <fb>150005.96900000001</fb>
    <v>9</v>
  </rv>
  <rv s="0">
    <fb>151.36166776774601</fb>
    <v>31</v>
  </rv>
  <rv s="0">
    <fb>1.95176821052894E-2</fb>
    <v>28</v>
  </rv>
  <rv s="0">
    <fb>1362.87191909646</fb>
    <v>9</v>
  </rv>
  <rv s="0">
    <fb>3.0230000000000001</fb>
    <v>29</v>
  </rv>
  <rv s="0">
    <fb>8.2443926523715402E-3</fb>
    <v>28</v>
  </rv>
  <rv s="0">
    <fb>99.977916720160493</fb>
    <v>34</v>
  </rv>
  <rv s="0">
    <fb>0.28000000000000003</fb>
    <v>32</v>
  </rv>
  <rv s="0">
    <fb>169988236398.12601</fb>
    <v>33</v>
  </rv>
  <rv s="0">
    <fb>1.0988282</fb>
    <v>28</v>
  </rv>
  <rv s="0">
    <fb>0.51365669999999997</fb>
    <v>28</v>
  </rv>
  <rv s="2">
    <v>5</v>
    <v>7</v>
    <v>51</v>
    <v>7</v>
    <v>0</v>
    <v>Image of Algeria</v>
  </rv>
  <rv s="0">
    <fb>20.100000000000001</fb>
    <v>34</v>
  </rv>
  <rv s="1">
    <v>805306368</v>
    <v>Abdelmadjid Tebboune (President)</v>
    <v>436c70fd-cb2e-c836-8892-66d5579a3e0d</v>
    <v>en-US</v>
    <v>Generic</v>
  </rv>
  <rv s="1">
    <v>805306368</v>
    <v>Nadir Larbaoui (Prime minister)</v>
    <v>1787c8b3-1c4c-fb85-6a09-2f5a637efb79</v>
    <v>en-US</v>
    <v>Generic</v>
  </rv>
  <rv s="3">
    <v>12</v>
  </rv>
  <rv s="4">
    <v>https://www.bing.com/search?q=algeria&amp;form=skydnc</v>
    <v>Learn more on Bing</v>
  </rv>
  <rv s="0">
    <fb>76.692999999999998</fb>
    <v>34</v>
  </rv>
  <rv s="0">
    <fb>371418617.76844501</fb>
    <v>33</v>
  </rv>
  <rv s="0">
    <fb>112</fb>
    <v>34</v>
  </rv>
  <rv s="0">
    <fb>0.95</fb>
    <v>32</v>
  </rv>
  <rv s="3">
    <v>13</v>
  </rv>
  <rv s="0">
    <fb>0.2809868089</fb>
    <v>28</v>
  </rv>
  <rv s="0">
    <fb>1.7193000000000001</fb>
    <v>29</v>
  </rv>
  <rv s="0">
    <fb>44903225</fb>
    <v>9</v>
  </rv>
  <rv s="0">
    <fb>0.223</fb>
    <v>28</v>
  </rv>
  <rv s="0">
    <fb>0.22899999999999998</fb>
    <v>28</v>
  </rv>
  <rv s="0">
    <fb>0.37200000000000005</fb>
    <v>28</v>
  </rv>
  <rv s="0">
    <fb>0.04</fb>
    <v>28</v>
  </rv>
  <rv s="0">
    <fb>9.4E-2</fb>
    <v>28</v>
  </rv>
  <rv s="0">
    <fb>0.13699999999999998</fb>
    <v>28</v>
  </rv>
  <rv s="0">
    <fb>0.17499999999999999</fb>
    <v>28</v>
  </rv>
  <rv s="0">
    <fb>0.41150001525878899</fb>
    <v>28</v>
  </rv>
  <rv s="1">
    <v>536870912</v>
    <v>Adrar Province</v>
    <v>e80340d2-0aa5-2b0c-fb1c-bd69bab50fee</v>
    <v>en-US</v>
    <v>Map</v>
  </rv>
  <rv s="1">
    <v>536870912</v>
    <v>Chlef Province</v>
    <v>1acf3983-2a04-0df1-0997-69dc42da586f</v>
    <v>en-US</v>
    <v>Map</v>
  </rv>
  <rv s="1">
    <v>536870912</v>
    <v>Laghouat Province</v>
    <v>d4076a39-39e3-f41a-92d2-b9618007f75f</v>
    <v>en-US</v>
    <v>Map</v>
  </rv>
  <rv s="1">
    <v>536870912</v>
    <v>Oum El Bouaghi Province</v>
    <v>1e877a8b-f23f-144a-273a-acf4cf64e874</v>
    <v>en-US</v>
    <v>Map</v>
  </rv>
  <rv s="1">
    <v>536870912</v>
    <v>Batna Province</v>
    <v>03798679-3067-3ce1-e775-136bc42632b4</v>
    <v>en-US</v>
    <v>Map</v>
  </rv>
  <rv s="1">
    <v>536870912</v>
    <v>Béjaïa Province</v>
    <v>30f9883c-00f0-bcb1-5b07-73c107d4ec27</v>
    <v>en-US</v>
    <v>Map</v>
  </rv>
  <rv s="1">
    <v>536870912</v>
    <v>Biskra Province</v>
    <v>30caea82-5ebf-afc8-093d-b1fcc02f8822</v>
    <v>en-US</v>
    <v>Map</v>
  </rv>
  <rv s="1">
    <v>536870912</v>
    <v>Béchar Province</v>
    <v>24f80762-70ab-125d-3b2a-fb404f45b0c9</v>
    <v>en-US</v>
    <v>Map</v>
  </rv>
  <rv s="1">
    <v>536870912</v>
    <v>Blida Province</v>
    <v>71591415-5039-fe81-f0d4-611b0460e355</v>
    <v>en-US</v>
    <v>Map</v>
  </rv>
  <rv s="1">
    <v>536870912</v>
    <v>Bouïra Province</v>
    <v>55ca513f-5cd5-7951-a652-a1fb57037b1b</v>
    <v>en-US</v>
    <v>Map</v>
  </rv>
  <rv s="1">
    <v>536870912</v>
    <v>Tamanrasset Province</v>
    <v>8348fc50-5a85-1652-57b9-c003a081b5df</v>
    <v>en-US</v>
    <v>Map</v>
  </rv>
  <rv s="1">
    <v>536870912</v>
    <v>Tébessa Province</v>
    <v>f2ebf872-2516-1716-e59d-f3545c77d034</v>
    <v>en-US</v>
    <v>Map</v>
  </rv>
  <rv s="1">
    <v>536870912</v>
    <v>Tlemcen Province</v>
    <v>69d07753-699a-b527-d530-1469a9ff5a30</v>
    <v>en-US</v>
    <v>Map</v>
  </rv>
  <rv s="1">
    <v>536870912</v>
    <v>Tiaret Province</v>
    <v>26ec220a-73b5-8acc-51e5-f254398bda65</v>
    <v>en-US</v>
    <v>Map</v>
  </rv>
  <rv s="1">
    <v>536870912</v>
    <v>Tizi Ouzou Province</v>
    <v>c41bb1c1-e903-14bd-c6f9-df096c22fbe6</v>
    <v>en-US</v>
    <v>Map</v>
  </rv>
  <rv s="1">
    <v>536870912</v>
    <v>Djelfa Province</v>
    <v>831a90bb-6e78-8f93-6238-5392a1713a9d</v>
    <v>en-US</v>
    <v>Map</v>
  </rv>
  <rv s="1">
    <v>536870912</v>
    <v>Jijel Province</v>
    <v>919f38f1-2c46-7d06-90e9-1d6e9fc5538a</v>
    <v>en-US</v>
    <v>Map</v>
  </rv>
  <rv s="1">
    <v>536870912</v>
    <v>Sétif Province</v>
    <v>060f7c8c-07c4-f638-2a58-1eaf6fbf9249</v>
    <v>en-US</v>
    <v>Map</v>
  </rv>
  <rv s="1">
    <v>536870912</v>
    <v>Saïda Province</v>
    <v>3fa9fedb-4fa5-1a1d-4434-2cf1ac843569</v>
    <v>en-US</v>
    <v>Map</v>
  </rv>
  <rv s="1">
    <v>536870912</v>
    <v>Skikda Province</v>
    <v>138b26fc-1717-c9a9-7539-e60aa374f21a</v>
    <v>en-US</v>
    <v>Map</v>
  </rv>
  <rv s="1">
    <v>536870912</v>
    <v>Sidi Bel Abbès Province</v>
    <v>69b6ecb6-5801-49ba-06fe-3c6d9972fd69</v>
    <v>en-US</v>
    <v>Map</v>
  </rv>
  <rv s="1">
    <v>536870912</v>
    <v>Annaba Province</v>
    <v>a6e46d37-fc33-8276-f921-57d5fe6789af</v>
    <v>en-US</v>
    <v>Map</v>
  </rv>
  <rv s="1">
    <v>536870912</v>
    <v>Guelma Province</v>
    <v>94b58887-31b3-08b5-6536-39538653ae1f</v>
    <v>en-US</v>
    <v>Map</v>
  </rv>
  <rv s="1">
    <v>536870912</v>
    <v>Constantine Province</v>
    <v>eb74d20a-ef89-edde-bd54-ae45f66e22cb</v>
    <v>en-US</v>
    <v>Map</v>
  </rv>
  <rv s="1">
    <v>536870912</v>
    <v>Médéa Province</v>
    <v>3da968a2-6ead-44cf-bc06-fd404b739dba</v>
    <v>en-US</v>
    <v>Map</v>
  </rv>
  <rv s="1">
    <v>536870912</v>
    <v>Mostaganem Province</v>
    <v>36d36997-eea3-4842-7a5e-49f78217c3b7</v>
    <v>en-US</v>
    <v>Map</v>
  </rv>
  <rv s="1">
    <v>536870912</v>
    <v>M'Sila Province</v>
    <v>63b01c60-7512-43c0-9b2e-6b6dba83f42f</v>
    <v>en-US</v>
    <v>Map</v>
  </rv>
  <rv s="1">
    <v>536870912</v>
    <v>Mascara Province</v>
    <v>3ff9b333-7d59-1405-1ca1-803a869f3996</v>
    <v>en-US</v>
    <v>Map</v>
  </rv>
  <rv s="1">
    <v>536870912</v>
    <v>Ouargla Province</v>
    <v>39052d39-9c8a-f6bb-7992-377b3fb685ee</v>
    <v>en-US</v>
    <v>Map</v>
  </rv>
  <rv s="1">
    <v>536870912</v>
    <v>Oran Province</v>
    <v>829bd425-a119-4b49-b667-0ae18016a69d</v>
    <v>en-US</v>
    <v>Map</v>
  </rv>
  <rv s="1">
    <v>536870912</v>
    <v>El Bayadh Province</v>
    <v>840dda87-341b-8851-c804-6090462701dc</v>
    <v>en-US</v>
    <v>Map</v>
  </rv>
  <rv s="1">
    <v>536870912</v>
    <v>Illizi Province</v>
    <v>536aa71a-66b8-79ef-13c3-ff4fdcdff0ed</v>
    <v>en-US</v>
    <v>Map</v>
  </rv>
  <rv s="1">
    <v>536870912</v>
    <v>Bordj Bou Arréridj Province</v>
    <v>ee29c9bc-9c3f-6a55-0bdf-5f8ea504a1ae</v>
    <v>en-US</v>
    <v>Map</v>
  </rv>
  <rv s="1">
    <v>536870912</v>
    <v>Boumerdès Province</v>
    <v>b901dc60-651a-6b30-3086-01e6ef851d60</v>
    <v>en-US</v>
    <v>Map</v>
  </rv>
  <rv s="1">
    <v>536870912</v>
    <v>El Taref Province</v>
    <v>07d91857-cce9-d9c1-d1e1-667e6c62dd04</v>
    <v>en-US</v>
    <v>Map</v>
  </rv>
  <rv s="1">
    <v>536870912</v>
    <v>Tindouf Province</v>
    <v>788fbab2-bfde-86b7-ad42-160dc24f5efa</v>
    <v>en-US</v>
    <v>Map</v>
  </rv>
  <rv s="1">
    <v>536870912</v>
    <v>Tissemsilt Province</v>
    <v>c9cb8041-1f5f-e573-0832-218ec37b549c</v>
    <v>en-US</v>
    <v>Map</v>
  </rv>
  <rv s="1">
    <v>536870912</v>
    <v>El Oued Province</v>
    <v>d0e2786c-ea9d-dc18-983c-bd8019d89ffe</v>
    <v>en-US</v>
    <v>Map</v>
  </rv>
  <rv s="1">
    <v>536870912</v>
    <v>Khenchela Province</v>
    <v>c88af56d-093f-fb0a-943e-79bf2fef03df</v>
    <v>en-US</v>
    <v>Map</v>
  </rv>
  <rv s="1">
    <v>536870912</v>
    <v>Souk Ahras Province</v>
    <v>a69fb5c9-79e5-4c96-b4a3-2828652e0600</v>
    <v>en-US</v>
    <v>Map</v>
  </rv>
  <rv s="1">
    <v>536870912</v>
    <v>Tipaza Province</v>
    <v>a29c7857-b220-2939-ae52-084e1879daff</v>
    <v>en-US</v>
    <v>Map</v>
  </rv>
  <rv s="1">
    <v>536870912</v>
    <v>Mila Province</v>
    <v>51dcefda-cbda-a660-78bf-2a927a530acf</v>
    <v>en-US</v>
    <v>Map</v>
  </rv>
  <rv s="1">
    <v>536870912</v>
    <v>Aïn Defla Province</v>
    <v>3ebea165-7a1f-fc5d-6bd7-3e252f0e47c7</v>
    <v>en-US</v>
    <v>Map</v>
  </rv>
  <rv s="1">
    <v>536870912</v>
    <v>Naâma Province</v>
    <v>f5d98543-5eaf-b83a-8198-a5c40fe9cf09</v>
    <v>en-US</v>
    <v>Map</v>
  </rv>
  <rv s="1">
    <v>536870912</v>
    <v>Aïn Témouchent Province</v>
    <v>d08a520e-10b6-7977-186b-3702c2f6569f</v>
    <v>en-US</v>
    <v>Map</v>
  </rv>
  <rv s="1">
    <v>536870912</v>
    <v>Ghardaïa Province</v>
    <v>ad52639a-6c24-85ac-b45e-bfcb70c7c9de</v>
    <v>en-US</v>
    <v>Map</v>
  </rv>
  <rv s="1">
    <v>536870912</v>
    <v>Relizane Province</v>
    <v>1e82e6d1-4556-73c7-20ee-ced90d66ec84</v>
    <v>en-US</v>
    <v>Map</v>
  </rv>
  <rv s="3">
    <v>14</v>
  </rv>
  <rv s="0">
    <fb>0.37184736139700098</fb>
    <v>28</v>
  </rv>
  <rv s="3">
    <v>15</v>
  </rv>
  <rv s="0">
    <fb>0.66099999999999992</fb>
    <v>28</v>
  </rv>
  <rv s="0">
    <fb>0.11704000473022499</fb>
    <v>35</v>
  </rv>
  <rv s="0">
    <fb>31510100</fb>
    <v>9</v>
  </rv>
  <rv s="9">
    <v>#VALUE!</v>
    <v>en-US</v>
    <v>9670a4ec-16dd-f8c8-9fa8-4a541682532b</v>
    <v>536870912</v>
    <v>1</v>
    <v>54</v>
    <v>55</v>
    <v>Algeria</v>
    <v>5</v>
    <v>6</v>
    <v>Map</v>
    <v>7</v>
    <v>56</v>
    <v>DZ</v>
    <v>210</v>
    <v>211</v>
    <v>212</v>
    <v>213</v>
    <v>214</v>
    <v>198</v>
    <v>215</v>
    <v>216</v>
    <v>217</v>
    <v>DZD</v>
    <v>Algeria, officially the People's Democratic Republic of Algeria, is a country in the Maghreb region of North Africa. It is bordered to the northeast by Tunisia; to the east by Libya; to the southeast by Niger; to the southwest by Mali, ...</v>
    <v>218</v>
    <v>219</v>
    <v>220</v>
    <v>221</v>
    <v>222</v>
    <v>223</v>
    <v>224</v>
    <v>225</v>
    <v>226</v>
    <v>227</v>
    <v>198</v>
    <v>230</v>
    <v>231</v>
    <v>232</v>
    <v>233</v>
    <v>234</v>
    <v>235</v>
    <v>Algeria</v>
    <v>Kassaman</v>
    <v>236</v>
    <v>اَلْجُمهُورِيَّة اَلْجَزَائِرِيَّة اَلدِّيمُقرَاطِيَّة اَلشَّعبِيَّة</v>
    <v>237</v>
    <v>238</v>
    <v>239</v>
    <v>240</v>
    <v>241</v>
    <v>242</v>
    <v>243</v>
    <v>244</v>
    <v>245</v>
    <v>246</v>
    <v>247</v>
    <v>295</v>
    <v>296</v>
    <v>297</v>
    <v>298</v>
    <v>299</v>
    <v>Algeria</v>
    <v>300</v>
    <v>mdp/vdpid/4</v>
  </rv>
  <rv s="1">
    <v>536870912</v>
    <v>Andorra la Vella</v>
    <v>07f0b28a-da5c-df4a-ad6d-000e2a968cde</v>
    <v>en-US</v>
    <v>Map</v>
  </rv>
  <rv s="0">
    <fb>30</fb>
    <v>9</v>
  </rv>
  <rv s="1">
    <v>536870912</v>
    <v>Andorra</v>
    <v>e15be59c-62ca-054d-6420-415308b75091</v>
    <v>en-US</v>
    <v>Map</v>
  </rv>
  <rv s="2">
    <v>6</v>
    <v>7</v>
    <v>57</v>
    <v>7</v>
    <v>0</v>
    <v>Image of Andorra la Vella</v>
  </rv>
  <rv s="4">
    <v>https://www.bing.com/search?q=andorra+la+vella&amp;form=skydnc</v>
    <v>Learn more on Bing</v>
  </rv>
  <rv s="0">
    <fb>23324</fb>
    <v>9</v>
  </rv>
  <rv s="3">
    <v>16</v>
  </rv>
  <rv s="10">
    <v>#VALUE!</v>
    <v>en-US</v>
    <v>07f0b28a-da5c-df4a-ad6d-000e2a968cde</v>
    <v>536870912</v>
    <v>1</v>
    <v>59</v>
    <v>60</v>
    <v>Andorra la Vella</v>
    <v>5</v>
    <v>6</v>
    <v>Map</v>
    <v>7</v>
    <v>61</v>
    <v>AD-07</v>
    <v>303</v>
    <v>304</v>
    <v>Andorra la Vella is the capital and largest city of Andorra. It is located high in the east Pyrenees, between France and Spain. It is also the name of the Andorran parish that surrounds the capital. As of 2015, the city had a population of ...</v>
    <v>305</v>
    <v>306</v>
    <v>Andorra la Vella</v>
    <v>307</v>
    <v>308</v>
    <v>Andorra la Vella</v>
    <v>mdp/vdpid/7206270662539739137</v>
  </rv>
  <rv s="0">
    <fb>0.39957448269458501</fb>
    <v>28</v>
  </rv>
  <rv s="0">
    <fb>468</fb>
    <v>9</v>
  </rv>
  <rv s="0">
    <fb>7.2</fb>
    <v>29</v>
  </rv>
  <rv s="0">
    <fb>376</fb>
    <v>30</v>
  </rv>
  <rv s="0">
    <fb>469.37599999999998</fb>
    <v>9</v>
  </rv>
  <rv s="0">
    <fb>1.27</fb>
    <v>29</v>
  </rv>
  <rv s="0">
    <fb>0.34042553191489394</fb>
    <v>28</v>
  </rv>
  <rv s="0">
    <fb>1.51</fb>
    <v>32</v>
  </rv>
  <rv s="0">
    <fb>3154057987.2383299</fb>
    <v>33</v>
  </rv>
  <rv s="0">
    <fb>1.0644266</fb>
    <v>28</v>
  </rv>
  <rv s="2">
    <v>7</v>
    <v>7</v>
    <v>63</v>
    <v>7</v>
    <v>0</v>
    <v>Image of Andorra</v>
  </rv>
  <rv s="0">
    <fb>2.7</fb>
    <v>34</v>
  </rv>
  <rv s="1">
    <v>805306368</v>
    <v>Joan Enric Vives i Sicília (Prince)</v>
    <v>49283e96-ba3d-45e6-a180-bce98002770a</v>
    <v>en-US</v>
    <v>Generic</v>
  </rv>
  <rv s="1">
    <v>805306368</v>
    <v>Emmanuel Macron (Prince)</v>
    <v>35be5a56-7a78-6352-b158-60da8f84c858</v>
    <v>en-US</v>
    <v>Generic</v>
  </rv>
  <rv s="1">
    <v>805306368</v>
    <v>Xavier Espot Zamora (Prime minister)</v>
    <v>0acc18de-9778-610d-e816-3400605e7b8a</v>
    <v>en-US</v>
    <v>Generic</v>
  </rv>
  <rv s="3">
    <v>17</v>
  </rv>
  <rv s="4">
    <v>https://www.bing.com/search?q=andorra&amp;form=skydnc</v>
    <v>Learn more on Bing</v>
  </rv>
  <rv s="0">
    <fb>6.63</fb>
    <v>32</v>
  </rv>
  <rv s="3">
    <v>18</v>
  </rv>
  <rv s="0">
    <fb>0.3639415667</fb>
    <v>28</v>
  </rv>
  <rv s="0">
    <fb>3.3332999999999999</fb>
    <v>29</v>
  </rv>
  <rv s="0">
    <fb>79824</fb>
    <v>9</v>
  </rv>
  <rv s="1">
    <v>536870912</v>
    <v>Canillo</v>
    <v>468e2a3d-f118-ba49-0437-87901eba22c7</v>
    <v>en-US</v>
    <v>Map</v>
  </rv>
  <rv s="1">
    <v>536870912</v>
    <v>Encamp</v>
    <v>df4b9782-c936-4e84-766b-1bcc4767b1d6</v>
    <v>en-US</v>
    <v>Map</v>
  </rv>
  <rv s="1">
    <v>536870912</v>
    <v>Escaldes–Engordany</v>
    <v>a7456186-d967-666e-22d7-438317cf7647</v>
    <v>en-US</v>
    <v>Map</v>
  </rv>
  <rv s="1">
    <v>536870912</v>
    <v>La Massana</v>
    <v>90dcecea-4638-bfd5-47be-5fc5da0c0b81</v>
    <v>en-US</v>
    <v>Map</v>
  </rv>
  <rv s="1">
    <v>536870912</v>
    <v>Ordino</v>
    <v>f9f15e18-52f0-9658-6e11-8090a868ab92</v>
    <v>en-US</v>
    <v>Map</v>
  </rv>
  <rv s="1">
    <v>536870912</v>
    <v>Sant Julià de Lòria</v>
    <v>ea732d9c-b354-4695-c6c3-d3c17666fd7d</v>
    <v>en-US</v>
    <v>Map</v>
  </rv>
  <rv s="3">
    <v>19</v>
  </rv>
  <rv s="0">
    <fb>67873</fb>
    <v>9</v>
  </rv>
  <rv s="11">
    <v>#VALUE!</v>
    <v>en-US</v>
    <v>e15be59c-62ca-054d-6420-415308b75091</v>
    <v>536870912</v>
    <v>1</v>
    <v>66</v>
    <v>67</v>
    <v>Andorra</v>
    <v>5</v>
    <v>6</v>
    <v>Map</v>
    <v>7</v>
    <v>68</v>
    <v>AD</v>
    <v>310</v>
    <v>311</v>
    <v>312</v>
    <v>313</v>
    <v>302</v>
    <v>314</v>
    <v>EUR</v>
    <v>Andorra, officially the Principality of Andorra, is a sovereign landlocked country on the Iberian Peninsula, in the eastern Pyrenees in Western Europe, bordered by France to the north and Spain to the south. Believed to have been created by ...</v>
    <v>315</v>
    <v>316</v>
    <v>317</v>
    <v>318</v>
    <v>319</v>
    <v>320</v>
    <v>321</v>
    <v>302</v>
    <v>325</v>
    <v>326</v>
    <v>327</v>
    <v>Andorra</v>
    <v>El gran Carlemany</v>
    <v>328</v>
    <v>Andorra</v>
    <v>329</v>
    <v>330</v>
    <v>331</v>
    <v>338</v>
    <v>193</v>
    <v>Andorra</v>
    <v>339</v>
    <v>mdp/vdpid/8</v>
  </rv>
  <rv s="12">
    <v>12</v>
    <v>Latitude</v>
    <v>0</v>
  </rv>
  <rv s="12">
    <v>12</v>
    <v>Longitude</v>
    <v>0</v>
  </rv>
  <rv s="1">
    <v>536870912</v>
    <v>Luanda</v>
    <v>8a776407-8935-f0e9-c346-94fa1f94d32b</v>
    <v>en-US</v>
    <v>Map</v>
  </rv>
  <rv s="1">
    <v>536870912</v>
    <v>Luanda Province</v>
    <v>3fc5bc35-c317-3bea-49c0-8dd6d20e2533</v>
    <v>en-US</v>
    <v>Map</v>
  </rv>
  <rv s="0">
    <fb>113</fb>
    <v>9</v>
  </rv>
  <rv s="1">
    <v>536870912</v>
    <v>Angola</v>
    <v>c44de41a-6be7-26a0-e667-1b91b20b039f</v>
    <v>en-US</v>
    <v>Map</v>
  </rv>
  <rv s="2">
    <v>8</v>
    <v>7</v>
    <v>70</v>
    <v>7</v>
    <v>0</v>
    <v>Image of Luanda</v>
  </rv>
  <rv s="0">
    <fb>-8.8383333333333294</fb>
    <v>0</v>
  </rv>
  <rv s="4">
    <v>https://www.bing.com/search?q=luanda&amp;form=skydnc</v>
    <v>Learn more on Bing</v>
  </rv>
  <rv s="0">
    <fb>13.234444444444399</fb>
    <v>0</v>
  </rv>
  <rv s="0">
    <fb>2831280</fb>
    <v>9</v>
  </rv>
  <rv s="13">
    <v>#VALUE!</v>
    <v>en-US</v>
    <v>8a776407-8935-f0e9-c346-94fa1f94d32b</v>
    <v>536870912</v>
    <v>1</v>
    <v>71</v>
    <v>72</v>
    <v>Luanda</v>
    <v>5</v>
    <v>6</v>
    <v>Map</v>
    <v>7</v>
    <v>61</v>
    <v>344</v>
    <v>344</v>
    <v>345</v>
    <v>346</v>
    <v>Luanda is the capital and largest city of Angola. It is Angola's primary port, and its major industrial, cultural and urban centre. Located on Angola's northern Atlantic coast, Luanda is Angola's administrative centre, its chief seaport, and ...</v>
    <v>347</v>
    <v>348</v>
    <v>349</v>
    <v>350</v>
    <v>Luanda</v>
    <v>351</v>
    <v>141</v>
    <v>Luanda</v>
    <v>mdp/vdpid/8085245351751057409</v>
  </rv>
  <rv s="0">
    <fb>0.47477340178070099</fb>
    <v>28</v>
  </rv>
  <rv s="0">
    <fb>1246700</fb>
    <v>9</v>
  </rv>
  <rv s="0">
    <fb>117000</fb>
    <v>9</v>
  </rv>
  <rv s="0">
    <fb>40.728999999999999</fb>
    <v>29</v>
  </rv>
  <rv s="0">
    <fb>244</fb>
    <v>30</v>
  </rv>
  <rv s="0">
    <fb>34693.487000000001</fb>
    <v>9</v>
  </rv>
  <rv s="0">
    <fb>261.72720165799001</fb>
    <v>31</v>
  </rv>
  <rv s="0">
    <fb>0.17145319942787199</fb>
    <v>28</v>
  </rv>
  <rv s="0">
    <fb>312.228824978484</fb>
    <v>9</v>
  </rv>
  <rv s="0">
    <fb>5.5190000000000001</fb>
    <v>29</v>
  </rv>
  <rv s="0">
    <fb>0.46307210410483696</fb>
    <v>28</v>
  </rv>
  <rv s="0">
    <fb>48.305593009732902</fb>
    <v>34</v>
  </rv>
  <rv s="0">
    <fb>0.97</fb>
    <v>32</v>
  </rv>
  <rv s="0">
    <fb>94635415869.985107</fb>
    <v>33</v>
  </rv>
  <rv s="0">
    <fb>1.1347795999999999</fb>
    <v>28</v>
  </rv>
  <rv s="0">
    <fb>9.336259999999999E-2</fb>
    <v>28</v>
  </rv>
  <rv s="2">
    <v>9</v>
    <v>7</v>
    <v>74</v>
    <v>7</v>
    <v>0</v>
    <v>Image of Angola</v>
  </rv>
  <rv s="0">
    <fb>51.6</fb>
    <v>34</v>
  </rv>
  <rv s="1">
    <v>805306368</v>
    <v>João Lourenço (President)</v>
    <v>ed80ec01-2935-4c79-9f19-8a6e4629a905</v>
    <v>en-US</v>
    <v>Generic</v>
  </rv>
  <rv s="1">
    <v>805306368</v>
    <v>Esperança da Costa (Vice president)</v>
    <v>d556a1a1-4870-2baa-2bdb-e5cde6c6c7cf</v>
    <v>en-US</v>
    <v>Generic</v>
  </rv>
  <rv s="3">
    <v>20</v>
  </rv>
  <rv s="4">
    <v>https://www.bing.com/search?q=angola&amp;form=skydnc</v>
    <v>Learn more on Bing</v>
  </rv>
  <rv s="0">
    <fb>60.781999999999996</fb>
    <v>34</v>
  </rv>
  <rv s="0">
    <fb>241</fb>
    <v>34</v>
  </rv>
  <rv s="0">
    <fb>0.71</fb>
    <v>32</v>
  </rv>
  <rv s="3">
    <v>21</v>
  </rv>
  <rv s="0">
    <fb>0.33387796799999997</fb>
    <v>28</v>
  </rv>
  <rv s="0">
    <fb>0.21460000000000001</fb>
    <v>29</v>
  </rv>
  <rv s="0">
    <fb>35588987</fb>
    <v>9</v>
  </rv>
  <rv s="0">
    <fb>0.20399999999999999</fb>
    <v>28</v>
  </rv>
  <rv s="0">
    <fb>0.39600000000000002</fb>
    <v>28</v>
  </rv>
  <rv s="0">
    <fb>0.55600000000000005</fb>
    <v>28</v>
  </rv>
  <rv s="0">
    <fb>1.3000000000000001E-2</fb>
    <v>28</v>
  </rv>
  <rv s="0">
    <fb>3.7999999999999999E-2</fb>
    <v>28</v>
  </rv>
  <rv s="0">
    <fb>7.6999999999999999E-2</fb>
    <v>28</v>
  </rv>
  <rv s="0">
    <fb>0.126</fb>
    <v>28</v>
  </rv>
  <rv s="0">
    <fb>0.77492996215820298</fb>
    <v>28</v>
  </rv>
  <rv s="1">
    <v>536870912</v>
    <v>Bengo Province</v>
    <v>327e9606-e870-8641-b1fc-3603da70608f</v>
    <v>en-US</v>
    <v>Map</v>
  </rv>
  <rv s="1">
    <v>536870912</v>
    <v>Benguela Province</v>
    <v>1d609f56-97f4-4bd4-3c63-12f32c8e2c99</v>
    <v>en-US</v>
    <v>Map</v>
  </rv>
  <rv s="1">
    <v>536870912</v>
    <v>Bié Province</v>
    <v>1ae476bf-5de5-fbcb-eb8c-d9c924ab73b2</v>
    <v>en-US</v>
    <v>Map</v>
  </rv>
  <rv s="1">
    <v>536870912</v>
    <v>Cabinda Province</v>
    <v>7672281f-a928-c930-b47c-81f5b7876acf</v>
    <v>en-US</v>
    <v>Map</v>
  </rv>
  <rv s="1">
    <v>536870912</v>
    <v>Cuando Cubango Province</v>
    <v>d9441e4b-03d2-6adb-f1c1-8dbfb4d68ac4</v>
    <v>en-US</v>
    <v>Map</v>
  </rv>
  <rv s="1">
    <v>536870912</v>
    <v>Cuanza Norte Province</v>
    <v>b8bbd69b-0659-b2bf-d552-01eba5ae5792</v>
    <v>en-US</v>
    <v>Map</v>
  </rv>
  <rv s="1">
    <v>536870912</v>
    <v>Cuanza Sul Province</v>
    <v>8a98e101-ea44-19fe-1981-331be311010a</v>
    <v>en-US</v>
    <v>Map</v>
  </rv>
  <rv s="1">
    <v>536870912</v>
    <v>Cunene Province</v>
    <v>e0b594d2-cc63-d93d-07f2-cf72875cdd28</v>
    <v>en-US</v>
    <v>Map</v>
  </rv>
  <rv s="1">
    <v>536870912</v>
    <v>Huambo Province</v>
    <v>04981c62-f1c7-4dd8-ddf0-315359e7ce19</v>
    <v>en-US</v>
    <v>Map</v>
  </rv>
  <rv s="1">
    <v>536870912</v>
    <v>Huíla Province</v>
    <v>abf6abfc-f076-1235-dc02-972c822a69c8</v>
    <v>en-US</v>
    <v>Map</v>
  </rv>
  <rv s="1">
    <v>536870912</v>
    <v>Lunda Norte Province</v>
    <v>2b0900d5-fff2-cf13-a8f4-d20c45f69dde</v>
    <v>en-US</v>
    <v>Map</v>
  </rv>
  <rv s="1">
    <v>536870912</v>
    <v>Lunda Sul Province</v>
    <v>41523132-0a9a-7b5a-cd2f-4f0b9710d443</v>
    <v>en-US</v>
    <v>Map</v>
  </rv>
  <rv s="1">
    <v>536870912</v>
    <v>Malanje Province</v>
    <v>3099b36f-1396-31fe-b591-dd982d3e0128</v>
    <v>en-US</v>
    <v>Map</v>
  </rv>
  <rv s="1">
    <v>536870912</v>
    <v>Namibe Province</v>
    <v>a646f8c8-b948-11ea-ba49-12591ba9542c</v>
    <v>en-US</v>
    <v>Map</v>
  </rv>
  <rv s="1">
    <v>536870912</v>
    <v>Moxico Province</v>
    <v>f682e4b6-b04b-667e-8c02-59063a376b5a</v>
    <v>en-US</v>
    <v>Map</v>
  </rv>
  <rv s="1">
    <v>536870912</v>
    <v>Uíge Province</v>
    <v>6a34ff6c-96f1-ccb1-d2c7-5cf62f9924de</v>
    <v>en-US</v>
    <v>Map</v>
  </rv>
  <rv s="1">
    <v>536870912</v>
    <v>Zaire Province</v>
    <v>3a002640-0183-b075-1951-2692cabc6b71</v>
    <v>en-US</v>
    <v>Map</v>
  </rv>
  <rv s="3">
    <v>22</v>
  </rv>
  <rv s="0">
    <fb>9.2237774537182501E-2</fb>
    <v>28</v>
  </rv>
  <rv s="3">
    <v>23</v>
  </rv>
  <rv s="0">
    <fb>0.49099999999999999</fb>
    <v>28</v>
  </rv>
  <rv s="0">
    <fb>6.8860001564025899E-2</fb>
    <v>35</v>
  </rv>
  <rv s="0">
    <fb>21061025</fb>
    <v>9</v>
  </rv>
  <rv s="8">
    <v>#VALUE!</v>
    <v>en-US</v>
    <v>c44de41a-6be7-26a0-e667-1b91b20b039f</v>
    <v>536870912</v>
    <v>1</v>
    <v>77</v>
    <v>46</v>
    <v>Angola</v>
    <v>5</v>
    <v>6</v>
    <v>Map</v>
    <v>7</v>
    <v>78</v>
    <v>AO</v>
    <v>353</v>
    <v>354</v>
    <v>355</v>
    <v>356</v>
    <v>357</v>
    <v>343</v>
    <v>358</v>
    <v>359</v>
    <v>360</v>
    <v>AOA</v>
    <v>Angola, officially the Republic of Angola, is a country on the west-central coast of Southern Africa. It is the second-largest Portuguese-speaking country in both total area and population and is the seventh-largest country in Africa. It is ...</v>
    <v>361</v>
    <v>362</v>
    <v>363</v>
    <v>364</v>
    <v>365</v>
    <v>366</v>
    <v>367</v>
    <v>368</v>
    <v>369</v>
    <v>370</v>
    <v>343</v>
    <v>373</v>
    <v>374</v>
    <v>375</v>
    <v>376</v>
    <v>377</v>
    <v>Angola</v>
    <v>Angola Avante</v>
    <v>378</v>
    <v>República de Angola</v>
    <v>379</v>
    <v>380</v>
    <v>381</v>
    <v>382</v>
    <v>383</v>
    <v>384</v>
    <v>385</v>
    <v>386</v>
    <v>387</v>
    <v>388</v>
    <v>389</v>
    <v>407</v>
    <v>408</v>
    <v>409</v>
    <v>410</v>
    <v>411</v>
    <v>Angola</v>
    <v>412</v>
    <v>mdp/vdpid/9</v>
  </rv>
  <rv s="1">
    <v>536870912</v>
    <v>St. John's, Antigua and Barbuda</v>
    <v>aa89cf0a-5ddc-cd83-d0c9-58b6d01acc2b</v>
    <v>en-US</v>
    <v>Map</v>
  </rv>
  <rv s="1">
    <v>536870912</v>
    <v>Saint John Parish</v>
    <v>dbcc5b03-7a8b-162f-9ee6-3139f7d7bf9d</v>
    <v>en-US</v>
    <v>Map</v>
  </rv>
  <rv s="0">
    <fb>10</fb>
    <v>9</v>
  </rv>
  <rv s="1">
    <v>536870912</v>
    <v>Antigua and Barbuda</v>
    <v>77aba937-1dd8-fe28-9745-77c69e35dbc6</v>
    <v>en-US</v>
    <v>Map</v>
  </rv>
  <rv s="2">
    <v>10</v>
    <v>7</v>
    <v>79</v>
    <v>7</v>
    <v>0</v>
    <v>Image of St. John's, Antigua and Barbuda</v>
  </rv>
  <rv s="0">
    <fb>17.121111111110999</fb>
    <v>0</v>
  </rv>
  <rv s="4">
    <v>https://www.bing.com/search?q=st.+john%27s+antigua+and+barbuda&amp;form=skydnc</v>
    <v>Learn more on Bing</v>
  </rv>
  <rv s="0">
    <fb>-61.844722222222003</fb>
    <v>0</v>
  </rv>
  <rv s="0">
    <fb>22219</fb>
    <v>9</v>
  </rv>
  <rv s="14">
    <v>#VALUE!</v>
    <v>en-US</v>
    <v>aa89cf0a-5ddc-cd83-d0c9-58b6d01acc2b</v>
    <v>536870912</v>
    <v>1</v>
    <v>80</v>
    <v>81</v>
    <v>St. John's, Antigua and Barbuda</v>
    <v>5</v>
    <v>6</v>
    <v>Map</v>
    <v>7</v>
    <v>39</v>
    <v>415</v>
    <v>416</v>
    <v>417</v>
    <v>St. John's is the capital and largest city of Antigua and Barbuda, part of the West Indies in the Caribbean Sea. With a population of 22,219, St. John's is the commercial centre of the nation and the chief port of the island of Antigua.</v>
    <v>418</v>
    <v>419</v>
    <v>420</v>
    <v>421</v>
    <v>St. John's, Antigua and Barbuda</v>
    <v>422</v>
    <v>St. John's, Antigua and Barbuda</v>
    <v>mdp/vdpid/5588211900031696897</v>
  </rv>
  <rv s="0">
    <fb>0.204545454545455</fb>
    <v>28</v>
  </rv>
  <rv s="0">
    <fb>440.29</fb>
    <v>9</v>
  </rv>
  <rv s="0">
    <fb>0</fb>
    <v>9</v>
  </rv>
  <rv s="0">
    <fb>15.327</fb>
    <v>29</v>
  </rv>
  <rv s="0">
    <fb>1268</fb>
    <v>30</v>
  </rv>
  <rv s="0">
    <fb>557.38400000000001</fb>
    <v>9</v>
  </rv>
  <rv s="0">
    <fb>113.80762042788299</fb>
    <v>31</v>
  </rv>
  <rv s="0">
    <fb>1.20715793367003E-2</fb>
    <v>28</v>
  </rv>
  <rv s="0">
    <fb>1.994</fb>
    <v>29</v>
  </rv>
  <rv s="0">
    <fb>0.222727277062156</fb>
    <v>28</v>
  </rv>
  <rv s="0">
    <fb>0</fb>
    <v>34</v>
  </rv>
  <rv s="0">
    <fb>0.99</fb>
    <v>32</v>
  </rv>
  <rv s="0">
    <fb>1727759259.2592599</fb>
    <v>33</v>
  </rv>
  <rv s="0">
    <fb>1.0502127000000001</fb>
    <v>28</v>
  </rv>
  <rv s="0">
    <fb>0.24830259999999998</fb>
    <v>28</v>
  </rv>
  <rv s="2">
    <v>11</v>
    <v>7</v>
    <v>83</v>
    <v>7</v>
    <v>0</v>
    <v>Image of Antigua and Barbuda</v>
  </rv>
  <rv s="0">
    <fb>5</fb>
    <v>34</v>
  </rv>
  <rv s="1">
    <v>805306368</v>
    <v>Charles III (Monarch)</v>
    <v>afc6f6a9-5b55-9178-3e6f-2c8b6d16ee9c</v>
    <v>en-US</v>
    <v>Generic</v>
  </rv>
  <rv s="1">
    <v>805306368</v>
    <v>Gaston Browne (Prime minister)</v>
    <v>2ce706be-3ee5-af01-59d4-e2b3d03f5522</v>
    <v>en-US</v>
    <v>Generic</v>
  </rv>
  <rv s="3">
    <v>24</v>
  </rv>
  <rv s="4">
    <v>https://www.bing.com/search?q=antigua+and+barbuda&amp;form=skydnc</v>
    <v>Learn more on Bing</v>
  </rv>
  <rv s="0">
    <fb>76.885000000000005</fb>
    <v>34</v>
  </rv>
  <rv s="0">
    <fb>42</fb>
    <v>34</v>
  </rv>
  <rv s="0">
    <fb>3.04</fb>
    <v>32</v>
  </rv>
  <rv s="3">
    <v>25</v>
  </rv>
  <rv s="0">
    <fb>0.2425267908</fb>
    <v>28</v>
  </rv>
  <rv s="0">
    <fb>2.7646999999999999</fb>
    <v>29</v>
  </rv>
  <rv s="0">
    <fb>93763</fb>
    <v>9</v>
  </rv>
  <rv s="1">
    <v>536870912</v>
    <v>Saint George, Antigua and Barbuda</v>
    <v>3a097df0-7600-2e43-43b0-c3f7aaaa80b6</v>
    <v>en-US</v>
    <v>Map</v>
  </rv>
  <rv s="1">
    <v>536870912</v>
    <v>Saint John, Antigua and Barbuda</v>
    <v>dbcc5b03-7a8b-162f-9ee6-3139f7d7bf9d</v>
    <v>en-US</v>
    <v>Map</v>
  </rv>
  <rv s="1">
    <v>536870912</v>
    <v>Saint Mary, Antigua and Barbuda</v>
    <v>ebd70897-4e81-f6fa-8c93-511f78a576e7</v>
    <v>en-US</v>
    <v>Map</v>
  </rv>
  <rv s="1">
    <v>536870912</v>
    <v>Saint Paul, Antigua and Barbuda</v>
    <v>36cf15f8-dc82-610b-a15e-581752d6ab0e</v>
    <v>en-US</v>
    <v>Map</v>
  </rv>
  <rv s="1">
    <v>536870912</v>
    <v>Saint Peter, Antigua and Barbuda</v>
    <v>7f67f8e5-80d8-1bfe-95e8-5d7e561038e0</v>
    <v>en-US</v>
    <v>Map</v>
  </rv>
  <rv s="1">
    <v>536870912</v>
    <v>Saint Philip, Antigua and Barbuda</v>
    <v>0a344f18-0cba-09d7-ac6c-fdaaf178a2d8</v>
    <v>en-US</v>
    <v>Map</v>
  </rv>
  <rv s="1">
    <v>536870912</v>
    <v>Barbuda</v>
    <v>df1aa02a-c9ab-ccd8-2753-91bc4e427a68</v>
    <v>en-US</v>
    <v>Map</v>
  </rv>
  <rv s="1">
    <v>536870912</v>
    <v>Redonda</v>
    <v>52a9ae54-09b5-3b8b-5911-a96cb6e33ead</v>
    <v>en-US</v>
    <v>Map</v>
  </rv>
  <rv s="3">
    <v>26</v>
  </rv>
  <rv s="0">
    <fb>0.165420323693134</fb>
    <v>28</v>
  </rv>
  <rv s="3">
    <v>27</v>
  </rv>
  <rv s="0">
    <fb>0.43</fb>
    <v>28</v>
  </rv>
  <rv s="0">
    <fb>23800</fb>
    <v>9</v>
  </rv>
  <rv s="15">
    <v>#VALUE!</v>
    <v>en-US</v>
    <v>77aba937-1dd8-fe28-9745-77c69e35dbc6</v>
    <v>536870912</v>
    <v>1</v>
    <v>86</v>
    <v>87</v>
    <v>Antigua and Barbuda</v>
    <v>5</v>
    <v>6</v>
    <v>Map</v>
    <v>7</v>
    <v>88</v>
    <v>AG</v>
    <v>424</v>
    <v>425</v>
    <v>426</v>
    <v>427</v>
    <v>428</v>
    <v>414</v>
    <v>429</v>
    <v>430</v>
    <v>431</v>
    <v>XCD</v>
    <v>Antigua and Barbuda is a sovereign archipelagic country composed of Antigua, Barbuda, and numerous other small islands. Antigua and Barbuda has a total area of 440 km², making it one of the smallest countries in the Caribbean. The country is ...</v>
    <v>432</v>
    <v>433</v>
    <v>434</v>
    <v>435</v>
    <v>436</v>
    <v>437</v>
    <v>438</v>
    <v>439</v>
    <v>440</v>
    <v>414</v>
    <v>443</v>
    <v>444</v>
    <v>445</v>
    <v>446</v>
    <v>447</v>
    <v>Antigua and Barbuda</v>
    <v>Fair Antigua, We Salute Thee</v>
    <v>448</v>
    <v>Antigua and Barbuda</v>
    <v>449</v>
    <v>450</v>
    <v>451</v>
    <v>460</v>
    <v>461</v>
    <v>462</v>
    <v>463</v>
    <v>Antigua and Barbuda</v>
    <v>464</v>
    <v>mdp/vdpid/2</v>
  </rv>
  <rv s="1">
    <v>536870912</v>
    <v>Buenos Aires</v>
    <v>857a6814-3fe8-c414-84da-24018be87fce</v>
    <v>en-US</v>
    <v>Map</v>
  </rv>
  <rv s="0">
    <fb>203.3</fb>
    <v>9</v>
  </rv>
  <rv s="1">
    <v>536870912</v>
    <v>Argentina</v>
    <v>87153d87-9bb0-166a-3d56-613bdc274e1b</v>
    <v>en-US</v>
    <v>Map</v>
  </rv>
  <rv s="2">
    <v>12</v>
    <v>7</v>
    <v>89</v>
    <v>7</v>
    <v>0</v>
    <v>Image of Buenos Aires</v>
  </rv>
  <rv s="1">
    <v>805306368</v>
    <v>Martín Lousteau (Senate)</v>
    <v>82db3145-9284-4e33-9644-1a452b8f0078</v>
    <v>en-US</v>
    <v>Generic</v>
  </rv>
  <rv s="1">
    <v>805306368</v>
    <v>Guadalupe Tagliaferri (Senate)</v>
    <v>f7e31f56-2c3c-46bd-0bb2-1774d2b82b28</v>
    <v>en-US</v>
    <v>Generic</v>
  </rv>
  <rv s="1">
    <v>805306368</v>
    <v>Mariano Recalde (Senate)</v>
    <v>f42945f2-5f36-4edc-9fab-87ff2c42f2dc</v>
    <v>en-US</v>
    <v>Generic</v>
  </rv>
  <rv s="3">
    <v>28</v>
  </rv>
  <rv s="4">
    <v>https://www.bing.com/search?q=buenos+aires&amp;form=skydnc</v>
    <v>Learn more on Bing</v>
  </rv>
  <rv s="0">
    <fb>3121707</fb>
    <v>9</v>
  </rv>
  <rv s="3">
    <v>29</v>
  </rv>
  <rv s="16">
    <v>#VALUE!</v>
    <v>en-US</v>
    <v>857a6814-3fe8-c414-84da-24018be87fce</v>
    <v>536870912</v>
    <v>1</v>
    <v>91</v>
    <v>92</v>
    <v>Buenos Aires</v>
    <v>5</v>
    <v>6</v>
    <v>Map</v>
    <v>7</v>
    <v>61</v>
    <v>AR-C</v>
    <v>467</v>
    <v>468</v>
    <v>Buenos Aires, officially the Autonomous City of Buenos Aires, is the capital and largest city of Argentina. It is located on the southwest of the Río de la Plata. Buenos Aires is classified as an Alpha− global city, according to the ...</v>
    <v>469</v>
    <v>473</v>
    <v>474</v>
    <v>Buenos Aires</v>
    <v>475</v>
    <v>476</v>
    <v>Buenos Aires</v>
    <v>mdp/vdpid/6470065719798136833</v>
  </rv>
  <rv s="0">
    <fb>0.54335712119385104</fb>
    <v>28</v>
  </rv>
  <rv s="0">
    <fb>2780400</fb>
    <v>9</v>
  </rv>
  <rv s="0">
    <fb>105000</fb>
    <v>9</v>
  </rv>
  <rv s="0">
    <fb>17.021000000000001</fb>
    <v>29</v>
  </rv>
  <rv s="0">
    <fb>54</fb>
    <v>30</v>
  </rv>
  <rv s="0">
    <fb>201347.636</fb>
    <v>9</v>
  </rv>
  <rv s="0">
    <fb>232.75109166666701</fb>
    <v>31</v>
  </rv>
  <rv s="0">
    <fb>0.53548304349234199</fb>
    <v>28</v>
  </rv>
  <rv s="0">
    <fb>3074.70207056563</fb>
    <v>9</v>
  </rv>
  <rv s="0">
    <fb>2.2610000000000001</fb>
    <v>29</v>
  </rv>
  <rv s="0">
    <fb>9.7984058182512504E-2</fb>
    <v>28</v>
  </rv>
  <rv s="0">
    <fb>87.722407479689195</fb>
    <v>34</v>
  </rv>
  <rv s="0">
    <fb>1.1000000000000001</fb>
    <v>32</v>
  </rv>
  <rv s="0">
    <fb>449663446954.073</fb>
    <v>33</v>
  </rv>
  <rv s="0">
    <fb>1.0974146</fb>
    <v>28</v>
  </rv>
  <rv s="0">
    <fb>0.89958519999999997</fb>
    <v>28</v>
  </rv>
  <rv s="2">
    <v>13</v>
    <v>7</v>
    <v>94</v>
    <v>7</v>
    <v>0</v>
    <v>Image of Argentina</v>
  </rv>
  <rv s="0">
    <fb>8.8000000000000007</fb>
    <v>34</v>
  </rv>
  <rv s="1">
    <v>805306368</v>
    <v>Javier Milei (President)</v>
    <v>9e292152-d659-8459-891a-e2e34df73a4f</v>
    <v>en-US</v>
    <v>Generic</v>
  </rv>
  <rv s="1">
    <v>805306368</v>
    <v>Victoria Villarruel (Vice president)</v>
    <v>c9d496be-e912-ca9e-b72e-cd37e371c69a</v>
    <v>en-US</v>
    <v>Generic</v>
  </rv>
  <rv s="3">
    <v>30</v>
  </rv>
  <rv s="4">
    <v>https://www.bing.com/search?q=argentina&amp;form=skydnc</v>
    <v>Learn more on Bing</v>
  </rv>
  <rv s="0">
    <fb>76.52</fb>
    <v>34</v>
  </rv>
  <rv s="0">
    <fb>39393540000</fb>
    <v>33</v>
  </rv>
  <rv s="0">
    <fb>39</fb>
    <v>34</v>
  </rv>
  <rv s="0">
    <fb>3.35</fb>
    <v>32</v>
  </rv>
  <rv s="3">
    <v>31</v>
  </rv>
  <rv s="0">
    <fb>0.17628076140000001</fb>
    <v>28</v>
  </rv>
  <rv s="0">
    <fb>3.96</fb>
    <v>29</v>
  </rv>
  <rv s="0">
    <fb>46234830</fb>
    <v>9</v>
  </rv>
  <rv s="0">
    <fb>0.23199999999999998</fb>
    <v>28</v>
  </rv>
  <rv s="0">
    <fb>0.29899999999999999</fb>
    <v>28</v>
  </rv>
  <rv s="0">
    <fb>0.46500000000000002</fb>
    <v>28</v>
  </rv>
  <rv s="0">
    <fb>1.8000000000000002E-2</fb>
    <v>28</v>
  </rv>
  <rv s="0">
    <fb>0.05</fb>
    <v>28</v>
  </rv>
  <rv s="0">
    <fb>9.9000000000000005E-2</fb>
    <v>28</v>
  </rv>
  <rv s="0">
    <fb>0.154</fb>
    <v>28</v>
  </rv>
  <rv s="0">
    <fb>0.61301998138427694</fb>
    <v>28</v>
  </rv>
  <rv s="1">
    <v>536870912</v>
    <v>Buenos Aires Province</v>
    <v>83e02b50-6d03-7c2c-eadf-7346066b2dea</v>
    <v>en-US</v>
    <v>Map</v>
  </rv>
  <rv s="1">
    <v>536870912</v>
    <v>Catamarca Province</v>
    <v>3c1c44fb-1be4-0807-a41a-389b53882281</v>
    <v>en-US</v>
    <v>Map</v>
  </rv>
  <rv s="1">
    <v>536870912</v>
    <v>Chaco Province</v>
    <v>7ba7eceb-7d6e-ca38-3de8-8edff91abe6c</v>
    <v>en-US</v>
    <v>Map</v>
  </rv>
  <rv s="1">
    <v>536870912</v>
    <v>Córdoba Province, Argentina</v>
    <v>ee360e95-eb6e-6500-1854-d0ba2979c8c5</v>
    <v>en-US</v>
    <v>Map</v>
  </rv>
  <rv s="1">
    <v>536870912</v>
    <v>Corrientes Province</v>
    <v>370306e6-e553-7210-5bdd-cba530b5bb5e</v>
    <v>en-US</v>
    <v>Map</v>
  </rv>
  <rv s="1">
    <v>536870912</v>
    <v>Entre Ríos Province</v>
    <v>8f271891-a2e7-4452-b33a-32b209204098</v>
    <v>en-US</v>
    <v>Map</v>
  </rv>
  <rv s="1">
    <v>536870912</v>
    <v>Formosa Province</v>
    <v>2c10e13d-832d-d54f-08b1-364c9870d186</v>
    <v>en-US</v>
    <v>Map</v>
  </rv>
  <rv s="1">
    <v>536870912</v>
    <v>Jujuy Province</v>
    <v>4336eba8-fc73-200e-9d91-4273dd01d498</v>
    <v>en-US</v>
    <v>Map</v>
  </rv>
  <rv s="1">
    <v>536870912</v>
    <v>La Pampa Province</v>
    <v>44de277d-e840-a824-59d9-b6a9740aba03</v>
    <v>en-US</v>
    <v>Map</v>
  </rv>
  <rv s="1">
    <v>536870912</v>
    <v>La Rioja Province, Argentina</v>
    <v>dac821c4-934d-98a0-3515-ecf294d05f34</v>
    <v>en-US</v>
    <v>Map</v>
  </rv>
  <rv s="1">
    <v>536870912</v>
    <v>Mendoza Province</v>
    <v>67d55d79-bbf5-f1ea-b2b6-9eaf7f8cbf5c</v>
    <v>en-US</v>
    <v>Map</v>
  </rv>
  <rv s="1">
    <v>536870912</v>
    <v>Misiones Province</v>
    <v>b5dd089e-a58d-3344-220d-67d53fbe2b62</v>
    <v>en-US</v>
    <v>Map</v>
  </rv>
  <rv s="1">
    <v>536870912</v>
    <v>Neuquén Province</v>
    <v>bf5efd04-a076-eedb-ad38-b133bbf30276</v>
    <v>en-US</v>
    <v>Map</v>
  </rv>
  <rv s="1">
    <v>536870912</v>
    <v>Río Negro Province</v>
    <v>d2c8f222-11b8-dd86-e0ab-8d14cb406edc</v>
    <v>en-US</v>
    <v>Map</v>
  </rv>
  <rv s="1">
    <v>536870912</v>
    <v>Salta Province</v>
    <v>f6ae2fbd-0520-148c-3526-8bf23d36cb82</v>
    <v>en-US</v>
    <v>Map</v>
  </rv>
  <rv s="1">
    <v>536870912</v>
    <v>San Juan Province, Argentina</v>
    <v>17fa2e93-239c-11e6-f03e-d1c2f5cce2fe</v>
    <v>en-US</v>
    <v>Map</v>
  </rv>
  <rv s="1">
    <v>536870912</v>
    <v>San Luis Province</v>
    <v>5bdf188c-b213-ac45-dd24-12759c1ef35f</v>
    <v>en-US</v>
    <v>Map</v>
  </rv>
  <rv s="1">
    <v>536870912</v>
    <v>Santa Cruz Province, Argentina</v>
    <v>33b38460-8bb6-75dd-5a16-ccfffb6378dc</v>
    <v>en-US</v>
    <v>Map</v>
  </rv>
  <rv s="1">
    <v>536870912</v>
    <v>Santa Fe Province</v>
    <v>7e0bc671-7ee3-bfe7-3fbf-0780b251b2f6</v>
    <v>en-US</v>
    <v>Map</v>
  </rv>
  <rv s="1">
    <v>536870912</v>
    <v>Santiago del Estero Province</v>
    <v>ec88ec56-2be0-4304-ab71-391ce9c013de</v>
    <v>en-US</v>
    <v>Map</v>
  </rv>
  <rv s="1">
    <v>536870912</v>
    <v>Tierra del Fuego Province, Argentina</v>
    <v>3bb8cbb1-ced9-fc53-1bf4-d1685a3435ea</v>
    <v>en-US</v>
    <v>Map</v>
  </rv>
  <rv s="1">
    <v>536870912</v>
    <v>Tucumán Province</v>
    <v>4f81112c-c69e-b6cc-2acc-73c36fc9a0aa</v>
    <v>en-US</v>
    <v>Map</v>
  </rv>
  <rv s="1">
    <v>536870912</v>
    <v>Chubut Province</v>
    <v>893cfb2e-6128-06e8-d927-6cdee06773f8</v>
    <v>en-US</v>
    <v>Map</v>
  </rv>
  <rv s="3">
    <v>32</v>
  </rv>
  <rv s="0">
    <fb>0.10087499305375699</fb>
    <v>28</v>
  </rv>
  <rv s="3">
    <v>33</v>
  </rv>
  <rv s="0">
    <fb>1.0629999999999999</fb>
    <v>28</v>
  </rv>
  <rv s="0">
    <fb>9.7889995574951205E-2</fb>
    <v>35</v>
  </rv>
  <rv s="0">
    <fb>41339571</fb>
    <v>9</v>
  </rv>
  <rv s="9">
    <v>#VALUE!</v>
    <v>en-US</v>
    <v>87153d87-9bb0-166a-3d56-613bdc274e1b</v>
    <v>536870912</v>
    <v>1</v>
    <v>97</v>
    <v>55</v>
    <v>Argentina</v>
    <v>5</v>
    <v>6</v>
    <v>Map</v>
    <v>7</v>
    <v>98</v>
    <v>AR</v>
    <v>478</v>
    <v>479</v>
    <v>480</v>
    <v>481</v>
    <v>482</v>
    <v>466</v>
    <v>483</v>
    <v>484</v>
    <v>485</v>
    <v>ARS</v>
    <v>Argentina, officially the Argentine Republic, is a country in the southern half of South America. It covers an area of 2,780,085 km², making it the second-largest country in South America after Brazil, the fourth-largest country in the Americas, ...</v>
    <v>486</v>
    <v>487</v>
    <v>488</v>
    <v>489</v>
    <v>490</v>
    <v>491</v>
    <v>492</v>
    <v>493</v>
    <v>494</v>
    <v>495</v>
    <v>466</v>
    <v>498</v>
    <v>499</v>
    <v>500</v>
    <v>501</v>
    <v>502</v>
    <v>503</v>
    <v>Argentina</v>
    <v>Argentine National Anthem</v>
    <v>504</v>
    <v>República Argentina</v>
    <v>505</v>
    <v>506</v>
    <v>507</v>
    <v>508</v>
    <v>509</v>
    <v>510</v>
    <v>511</v>
    <v>512</v>
    <v>513</v>
    <v>514</v>
    <v>515</v>
    <v>539</v>
    <v>540</v>
    <v>541</v>
    <v>542</v>
    <v>543</v>
    <v>Argentina</v>
    <v>544</v>
    <v>mdp/vdpid/11</v>
  </rv>
  <rv s="1">
    <v>536870912</v>
    <v>Yerevan</v>
    <v>91773b72-1da5-803b-5eda-a6d97e07faf8</v>
    <v>en-US</v>
    <v>Map</v>
  </rv>
  <rv s="0">
    <fb>227</fb>
    <v>9</v>
  </rv>
  <rv s="1">
    <v>536870912</v>
    <v>Armenia</v>
    <v>0cf59763-eb22-66a5-d4c7-65403c07ce91</v>
    <v>en-US</v>
    <v>Map</v>
  </rv>
  <rv s="2">
    <v>14</v>
    <v>7</v>
    <v>99</v>
    <v>7</v>
    <v>0</v>
    <v>Image of Yerevan</v>
  </rv>
  <rv s="1">
    <v>805306368</v>
    <v>Tigran Avinyan (Mayor)</v>
    <v>63a03071-5db0-b40e-1627-f288dee5f48d</v>
    <v>en-US</v>
    <v>Generic</v>
  </rv>
  <rv s="3">
    <v>34</v>
  </rv>
  <rv s="4">
    <v>https://www.bing.com/search?q=yerevan&amp;form=skydnc</v>
    <v>Learn more on Bing</v>
  </rv>
  <rv s="0">
    <fb>1086677</fb>
    <v>9</v>
  </rv>
  <rv s="3">
    <v>35</v>
  </rv>
  <rv s="16">
    <v>#VALUE!</v>
    <v>en-US</v>
    <v>91773b72-1da5-803b-5eda-a6d97e07faf8</v>
    <v>536870912</v>
    <v>1</v>
    <v>101</v>
    <v>92</v>
    <v>Yerevan</v>
    <v>5</v>
    <v>6</v>
    <v>Map</v>
    <v>7</v>
    <v>61</v>
    <v>AM-ER</v>
    <v>547</v>
    <v>548</v>
    <v>Yerevan is the capital and largest city of Armenia, as well as one of the world's oldest continuously inhabited cities. Situated along the Hrazdan River, Yerevan is the administrative, cultural, and industrial center of the country, as its ...</v>
    <v>549</v>
    <v>551</v>
    <v>552</v>
    <v>Yerevan</v>
    <v>553</v>
    <v>554</v>
    <v>Yerevan</v>
    <v>mdp/vdpid/7255217631303565313</v>
  </rv>
  <rv s="0">
    <fb>0.58897086365582407</fb>
    <v>28</v>
  </rv>
  <rv s="0">
    <fb>29743.423459000001</fb>
    <v>9</v>
  </rv>
  <rv s="0">
    <fb>49000</fb>
    <v>9</v>
  </rv>
  <rv s="0">
    <fb>13.987</fb>
    <v>29</v>
  </rv>
  <rv s="0">
    <fb>374</fb>
    <v>30</v>
  </rv>
  <rv s="0">
    <fb>5155.8019999999997</fb>
    <v>9</v>
  </rv>
  <rv s="0">
    <fb>129.17600732674799</fb>
    <v>31</v>
  </rv>
  <rv s="0">
    <fb>1.4434466077070201E-2</fb>
    <v>28</v>
  </rv>
  <rv s="0">
    <fb>1961.6103952646699</fb>
    <v>9</v>
  </rv>
  <rv s="0">
    <fb>1.7549999999999999</fb>
    <v>29</v>
  </rv>
  <rv s="0">
    <fb>0.11668423330067799</fb>
    <v>28</v>
  </rv>
  <rv s="0">
    <fb>74.5618657137382</fb>
    <v>34</v>
  </rv>
  <rv s="0">
    <fb>0.77</fb>
    <v>32</v>
  </rv>
  <rv s="0">
    <fb>13672802157.832399</fb>
    <v>33</v>
  </rv>
  <rv s="0">
    <fb>0.92715249999999994</fb>
    <v>28</v>
  </rv>
  <rv s="0">
    <fb>0.54570479999999999</fb>
    <v>28</v>
  </rv>
  <rv s="2">
    <v>15</v>
    <v>7</v>
    <v>103</v>
    <v>7</v>
    <v>0</v>
    <v>Image of Armenia</v>
  </rv>
  <rv s="0">
    <fb>11</fb>
    <v>34</v>
  </rv>
  <rv s="1">
    <v>805306368</v>
    <v>Vahagn Khachaturyan (President)</v>
    <v>63add6be-c7d6-4d39-9c0f-b72a005b3974</v>
    <v>en-US</v>
    <v>Generic</v>
  </rv>
  <rv s="1">
    <v>805306368</v>
    <v>Nikol Pashinyan (Prime minister)</v>
    <v>b733db45-ded3-7f35-1ae5-363d205d5c97</v>
    <v>en-US</v>
    <v>Generic</v>
  </rv>
  <rv s="3">
    <v>36</v>
  </rv>
  <rv s="4">
    <v>https://www.bing.com/search?q=armenia&amp;form=skydnc</v>
    <v>Learn more on Bing</v>
  </rv>
  <rv s="0">
    <fb>74.944999999999993</fb>
    <v>34</v>
  </rv>
  <rv s="0">
    <fb>26</fb>
    <v>34</v>
  </rv>
  <rv s="0">
    <fb>0.66</fb>
    <v>32</v>
  </rv>
  <rv s="3">
    <v>37</v>
  </rv>
  <rv s="0">
    <fb>0.81629877559999997</fb>
    <v>28</v>
  </rv>
  <rv s="0">
    <fb>4.4023000000000003</fb>
    <v>29</v>
  </rv>
  <rv s="0">
    <fb>2780469</fb>
    <v>9</v>
  </rv>
  <rv s="0">
    <fb>0.20800000000000002</fb>
    <v>28</v>
  </rv>
  <rv s="0">
    <fb>0.29199999999999998</fb>
    <v>28</v>
  </rv>
  <rv s="0">
    <fb>3.3000000000000002E-2</fb>
    <v>28</v>
  </rv>
  <rv s="0">
    <fb>8.1000000000000003E-2</fb>
    <v>28</v>
  </rv>
  <rv s="0">
    <fb>0.122</fb>
    <v>28</v>
  </rv>
  <rv s="0">
    <fb>0.159</fb>
    <v>28</v>
  </rv>
  <rv s="0">
    <fb>0.55624000549316399</fb>
    <v>28</v>
  </rv>
  <rv s="1">
    <v>536870912</v>
    <v>Aragatsotn Province</v>
    <v>13d52c9d-2b6b-8c7d-8a7f-f1265f2ebc56</v>
    <v>en-US</v>
    <v>Map</v>
  </rv>
  <rv s="1">
    <v>536870912</v>
    <v>Ararat Province</v>
    <v>385082df-ac6d-777e-c11c-6f57a83687e7</v>
    <v>en-US</v>
    <v>Map</v>
  </rv>
  <rv s="1">
    <v>536870912</v>
    <v>Armavir Province</v>
    <v>169d68c5-2629-0b06-6c7f-c6858ad06b11</v>
    <v>en-US</v>
    <v>Map</v>
  </rv>
  <rv s="1">
    <v>536870912</v>
    <v>Gegharkunik Province</v>
    <v>6da95128-b156-99be-2774-0f9ed7a69552</v>
    <v>en-US</v>
    <v>Map</v>
  </rv>
  <rv s="1">
    <v>536870912</v>
    <v>Kotayk Province</v>
    <v>eb739598-c085-b9da-d0b8-2c56ef5ef41a</v>
    <v>en-US</v>
    <v>Map</v>
  </rv>
  <rv s="1">
    <v>536870912</v>
    <v>Lori Province</v>
    <v>f21f6f45-bbf8-a510-d821-8296ed7f9f82</v>
    <v>en-US</v>
    <v>Map</v>
  </rv>
  <rv s="1">
    <v>536870912</v>
    <v>Shirak Province</v>
    <v>e8dba464-cfca-02fe-1abf-e1255ccf30ce</v>
    <v>en-US</v>
    <v>Map</v>
  </rv>
  <rv s="1">
    <v>536870912</v>
    <v>Syunik Province</v>
    <v>6c9b9354-d6ab-6997-2b2b-b15055429edc</v>
    <v>en-US</v>
    <v>Map</v>
  </rv>
  <rv s="1">
    <v>536870912</v>
    <v>Tavush Province</v>
    <v>93a795b6-00e6-d19b-4b7c-cac9af924be2</v>
    <v>en-US</v>
    <v>Map</v>
  </rv>
  <rv s="1">
    <v>536870912</v>
    <v>Vayots Dzor Province</v>
    <v>cfdf0900-9321-fc0f-63db-937fc7a360bc</v>
    <v>en-US</v>
    <v>Map</v>
  </rv>
  <rv s="3">
    <v>38</v>
  </rv>
  <rv s="0">
    <fb>0.20870103903181397</fb>
    <v>28</v>
  </rv>
  <rv s="3">
    <v>39</v>
  </rv>
  <rv s="0">
    <fb>0.22600000000000001</fb>
    <v>28</v>
  </rv>
  <rv s="0">
    <fb>0.169899997711182</fb>
    <v>35</v>
  </rv>
  <rv s="0">
    <fb>1869848</fb>
    <v>9</v>
  </rv>
  <rv s="8">
    <v>#VALUE!</v>
    <v>en-US</v>
    <v>0cf59763-eb22-66a5-d4c7-65403c07ce91</v>
    <v>536870912</v>
    <v>1</v>
    <v>106</v>
    <v>46</v>
    <v>Armenia</v>
    <v>5</v>
    <v>6</v>
    <v>Map</v>
    <v>7</v>
    <v>107</v>
    <v>AM</v>
    <v>556</v>
    <v>557</v>
    <v>558</v>
    <v>559</v>
    <v>560</v>
    <v>546</v>
    <v>561</v>
    <v>562</v>
    <v>563</v>
    <v>AMD</v>
    <v>Armenia, officially the Republic of Armenia, is a landlocked country in the Armenian Highlands of West Asia. It is a part of the Caucasus region and is bordered by Turkey to the west, Georgia to the north and Azerbaijan to the east, and Iran and ...</v>
    <v>564</v>
    <v>565</v>
    <v>566</v>
    <v>567</v>
    <v>568</v>
    <v>569</v>
    <v>570</v>
    <v>571</v>
    <v>572</v>
    <v>573</v>
    <v>546</v>
    <v>576</v>
    <v>577</v>
    <v>578</v>
    <v>579</v>
    <v>580</v>
    <v>Armenia</v>
    <v>Mer Hayrenik</v>
    <v>581</v>
    <v>Հայաստան</v>
    <v>582</v>
    <v>583</v>
    <v>584</v>
    <v>585</v>
    <v>586</v>
    <v>463</v>
    <v>587</v>
    <v>588</v>
    <v>589</v>
    <v>590</v>
    <v>591</v>
    <v>602</v>
    <v>603</v>
    <v>604</v>
    <v>605</v>
    <v>606</v>
    <v>Armenia</v>
    <v>607</v>
    <v>mdp/vdpid/7</v>
  </rv>
  <rv s="1">
    <v>536870912</v>
    <v>Canberra</v>
    <v>59ab58e3-2f00-9175-e7b8-76d910040855</v>
    <v>en-US</v>
    <v>Map</v>
  </rv>
  <rv s="1">
    <v>536870912</v>
    <v>Australian Capital Territory</v>
    <v>c296eb2e-2c1a-16bf-bc37-164541ce7365</v>
    <v>en-US</v>
    <v>Map</v>
  </rv>
  <rv s="0">
    <fb>471.78</fb>
    <v>9</v>
  </rv>
  <rv s="1">
    <v>536870912</v>
    <v>Australia</v>
    <v>06de2191-243d-a83f-6990-2eb1c7f3382a</v>
    <v>en-US</v>
    <v>Map</v>
  </rv>
  <rv s="2">
    <v>16</v>
    <v>7</v>
    <v>108</v>
    <v>7</v>
    <v>0</v>
    <v>Image of Canberra</v>
  </rv>
  <rv s="4">
    <v>https://www.bing.com/search?q=canberra+australia&amp;form=skydnc</v>
    <v>Learn more on Bing</v>
  </rv>
  <rv s="0">
    <fb>466566</fb>
    <v>9</v>
  </rv>
  <rv s="3">
    <v>40</v>
  </rv>
  <rv s="17">
    <v>#VALUE!</v>
    <v>en-US</v>
    <v>59ab58e3-2f00-9175-e7b8-76d910040855</v>
    <v>536870912</v>
    <v>1</v>
    <v>109</v>
    <v>110</v>
    <v>Canberra</v>
    <v>5</v>
    <v>6</v>
    <v>Map</v>
    <v>7</v>
    <v>111</v>
    <v>610</v>
    <v>611</v>
    <v>612</v>
    <v>Canberra is the capital city of Australia. Founded following the federation of the colonies of Australia as the seat of government for the new nation, it is Australia's largest inland city, the most densely populated capital city, and the ...</v>
    <v>613</v>
    <v>0</v>
    <v>614</v>
    <v>1</v>
    <v>Canberra</v>
    <v>615</v>
    <v>616</v>
    <v>Canberra</v>
    <v>mdp/vdpid/8890957258934976513</v>
  </rv>
  <rv s="0">
    <fb>0.48241944248714902</fb>
    <v>28</v>
  </rv>
  <rv s="0">
    <fb>7692024</fb>
    <v>9</v>
  </rv>
  <rv s="0">
    <fb>58000</fb>
    <v>9</v>
  </rv>
  <rv s="0">
    <fb>12.6</fb>
    <v>29</v>
  </rv>
  <rv s="0">
    <fb>61</fb>
    <v>30</v>
  </rv>
  <rv s="0">
    <fb>375907.837</fb>
    <v>9</v>
  </rv>
  <rv s="0">
    <fb>119.797086368366</fb>
    <v>31</v>
  </rv>
  <rv s="0">
    <fb>1.61076787290379E-2</fb>
    <v>28</v>
  </rv>
  <rv s="0">
    <fb>10071.3989785006</fb>
    <v>9</v>
  </rv>
  <rv s="0">
    <fb>1.74</fb>
    <v>29</v>
  </rv>
  <rv s="0">
    <fb>0.16258278059599401</fb>
    <v>28</v>
  </rv>
  <rv s="0">
    <fb>89.625630110237395</fb>
    <v>34</v>
  </rv>
  <rv s="0">
    <fb>0.93</fb>
    <v>32</v>
  </rv>
  <rv s="0">
    <fb>1392680589329.1399</fb>
    <v>33</v>
  </rv>
  <rv s="0">
    <fb>1.0033898000000001</fb>
    <v>28</v>
  </rv>
  <rv s="0">
    <fb>1.1314216000000001</fb>
    <v>28</v>
  </rv>
  <rv s="2">
    <v>17</v>
    <v>7</v>
    <v>113</v>
    <v>7</v>
    <v>0</v>
    <v>Image of Australia</v>
  </rv>
  <rv s="0">
    <fb>3.1</fb>
    <v>34</v>
  </rv>
  <rv s="1">
    <v>536870912</v>
    <v>Sydney</v>
    <v>3ecec2e8-2993-42e7-7299-f693bbe3b9b9</v>
    <v>en-US</v>
    <v>Map</v>
  </rv>
  <rv s="1">
    <v>805306368</v>
    <v>Anthony Albanese (Prime minister)</v>
    <v>00f8b947-2f64-9828-df4d-5993583bdbe4</v>
    <v>en-US</v>
    <v>Generic</v>
  </rv>
  <rv s="3">
    <v>41</v>
  </rv>
  <rv s="4">
    <v>https://www.bing.com/search?q=australia&amp;form=skydnc</v>
    <v>Learn more on Bing</v>
  </rv>
  <rv s="0">
    <fb>82.748780487804893</fb>
    <v>34</v>
  </rv>
  <rv s="0">
    <fb>1487598500000</fb>
    <v>33</v>
  </rv>
  <rv s="0">
    <fb>6</fb>
    <v>34</v>
  </rv>
  <rv s="0">
    <fb>13.59</fb>
    <v>32</v>
  </rv>
  <rv s="3">
    <v>42</v>
  </rv>
  <rv s="0">
    <fb>0.19558295019999999</fb>
    <v>28</v>
  </rv>
  <rv s="0">
    <fb>3.6778</fb>
    <v>29</v>
  </rv>
  <rv s="0">
    <fb>25978935</fb>
    <v>9</v>
  </rv>
  <rv s="0">
    <fb>0.221</fb>
    <v>28</v>
  </rv>
  <rv s="0">
    <fb>0.27</fb>
    <v>28</v>
  </rv>
  <rv s="0">
    <fb>0.42100000000000004</fb>
    <v>28</v>
  </rv>
  <rv s="0">
    <fb>2.7999999999999997E-2</fb>
    <v>28</v>
  </rv>
  <rv s="0">
    <fb>7.400000000000001E-2</fb>
    <v>28</v>
  </rv>
  <rv s="0">
    <fb>0.161</fb>
    <v>28</v>
  </rv>
  <rv s="0">
    <fb>0.65517997741699208</fb>
    <v>28</v>
  </rv>
  <rv s="1">
    <v>536870912</v>
    <v>New South Wales</v>
    <v>9143b1e4-782f-52c3-0f4a-cea5eaf6f36a</v>
    <v>en-US</v>
    <v>Map</v>
  </rv>
  <rv s="1">
    <v>536870912</v>
    <v>Northern Territory</v>
    <v>20947ace-4dd4-0516-21df-2af8da517b06</v>
    <v>en-US</v>
    <v>Map</v>
  </rv>
  <rv s="1">
    <v>536870912</v>
    <v>Queensland</v>
    <v>d8d1c6ea-bc68-82f2-5bb3-ae7aa11442b4</v>
    <v>en-US</v>
    <v>Map</v>
  </rv>
  <rv s="1">
    <v>536870912</v>
    <v>South Australia</v>
    <v>202994ba-49c2-98c5-91fa-e0b05ffcf2da</v>
    <v>en-US</v>
    <v>Map</v>
  </rv>
  <rv s="1">
    <v>536870912</v>
    <v>Tasmania</v>
    <v>8327961c-5e1c-9007-38cc-b90bc76e7bc3</v>
    <v>en-US</v>
    <v>Map</v>
  </rv>
  <rv s="1">
    <v>536870912</v>
    <v>Victoria</v>
    <v>afad25fd-4cbc-2e30-7764-19bd8a1cb1bc</v>
    <v>en-US</v>
    <v>Map</v>
  </rv>
  <rv s="1">
    <v>536870912</v>
    <v>Western Australia</v>
    <v>bf87c7cd-72cb-99af-809b-eb7577149dcd</v>
    <v>en-US</v>
    <v>Map</v>
  </rv>
  <rv s="1">
    <v>536870912</v>
    <v>Christmas Island</v>
    <v>66788ba9-2bf3-1a5c-abea-c2feb1989f85</v>
    <v>en-US</v>
    <v>Map</v>
  </rv>
  <rv s="1">
    <v>536870912</v>
    <v>Ashmore and Cartier Islands</v>
    <v>0cf3b96d-0c52-2057-50e3-f4d0baacc740</v>
    <v>en-US</v>
    <v>Map</v>
  </rv>
  <rv s="1">
    <v>536870912</v>
    <v>Cocos (Keeling) Islands</v>
    <v>02bce610-1981-8169-049c-5f416771ad7e</v>
    <v>en-US</v>
    <v>Map</v>
  </rv>
  <rv s="1">
    <v>536870912</v>
    <v>Coral Sea Islands</v>
    <v>12fcab3d-6815-b0bc-3cf7-b1396ef5cd47</v>
    <v>en-US</v>
    <v>Map</v>
  </rv>
  <rv s="1">
    <v>536870912</v>
    <v>Heard Island and McDonald Islands</v>
    <v>fb1ed011-1cc6-3fa2-760a-a9290a0bfc5d</v>
    <v>en-US</v>
    <v>Map</v>
  </rv>
  <rv s="1">
    <v>536870912</v>
    <v>Jervis Bay Territory</v>
    <v>e59341af-b7a6-b4f4-6a5d-590c58c94b7c</v>
    <v>en-US</v>
    <v>Map</v>
  </rv>
  <rv s="1">
    <v>536870912</v>
    <v>Norfolk Island</v>
    <v>edf78bdd-d272-9969-118f-522fd065d490</v>
    <v>en-US</v>
    <v>Map</v>
  </rv>
  <rv s="3">
    <v>43</v>
  </rv>
  <rv s="0">
    <fb>0.22985815296127299</fb>
    <v>28</v>
  </rv>
  <rv s="3">
    <v>44</v>
  </rv>
  <rv s="0">
    <fb>0.47399999999999998</fb>
    <v>28</v>
  </rv>
  <rv s="0">
    <fb>5.2680001258850098E-2</fb>
    <v>35</v>
  </rv>
  <rv s="0">
    <fb>21844756</fb>
    <v>9</v>
  </rv>
  <rv s="9">
    <v>#VALUE!</v>
    <v>en-US</v>
    <v>06de2191-243d-a83f-6990-2eb1c7f3382a</v>
    <v>536870912</v>
    <v>1</v>
    <v>116</v>
    <v>55</v>
    <v>Australia</v>
    <v>5</v>
    <v>6</v>
    <v>Map</v>
    <v>7</v>
    <v>117</v>
    <v>AU</v>
    <v>618</v>
    <v>619</v>
    <v>620</v>
    <v>621</v>
    <v>622</v>
    <v>609</v>
    <v>623</v>
    <v>624</v>
    <v>625</v>
    <v>AUD</v>
    <v>Australia, officially the Commonwealth of Australia, is a country comprising the mainland of the Australian continent, the island of Tasmania and numerous smaller islands. It has a total area of 7,688,287 km², making it the sixth-largest country ...</v>
    <v>626</v>
    <v>627</v>
    <v>628</v>
    <v>629</v>
    <v>630</v>
    <v>631</v>
    <v>632</v>
    <v>633</v>
    <v>634</v>
    <v>635</v>
    <v>636</v>
    <v>638</v>
    <v>639</v>
    <v>640</v>
    <v>641</v>
    <v>642</v>
    <v>643</v>
    <v>Australia</v>
    <v>Advance Australia Fair</v>
    <v>644</v>
    <v>Commonwealth of Australia</v>
    <v>645</v>
    <v>646</v>
    <v>647</v>
    <v>648</v>
    <v>649</v>
    <v>650</v>
    <v>651</v>
    <v>652</v>
    <v>589</v>
    <v>653</v>
    <v>654</v>
    <v>669</v>
    <v>670</v>
    <v>671</v>
    <v>672</v>
    <v>673</v>
    <v>Australia</v>
    <v>674</v>
    <v>mdp/vdpid/12</v>
  </rv>
  <rv s="1">
    <v>536870912</v>
    <v>Vienna</v>
    <v>a844b6d2-ff6e-902b-d359-8f7db08f7bb9</v>
    <v>en-US</v>
    <v>Map</v>
  </rv>
  <rv s="0">
    <fb>414.78</fb>
    <v>9</v>
  </rv>
  <rv s="1">
    <v>536870912</v>
    <v>First Austrian Republic</v>
    <v>08504730-c6e8-86a4-9307-8051d655f0d8</v>
    <v>en-US</v>
    <v>Map</v>
  </rv>
  <rv s="2">
    <v>18</v>
    <v>7</v>
    <v>118</v>
    <v>7</v>
    <v>0</v>
    <v>Image of Vienna</v>
  </rv>
  <rv s="1">
    <v>805306368</v>
    <v>Michael Ludwig (Mayor)</v>
    <v>1da03a85-b0cf-2d13-6856-a770e6be02d2</v>
    <v>en-US</v>
    <v>Generic</v>
  </rv>
  <rv s="3">
    <v>45</v>
  </rv>
  <rv s="4">
    <v>https://www.bing.com/search?q=vienna+austria&amp;form=skydnc</v>
    <v>Learn more on Bing</v>
  </rv>
  <rv s="0">
    <fb>1973403</fb>
    <v>9</v>
  </rv>
  <rv s="16">
    <v>#VALUE!</v>
    <v>en-US</v>
    <v>a844b6d2-ff6e-902b-d359-8f7db08f7bb9</v>
    <v>536870912</v>
    <v>1</v>
    <v>120</v>
    <v>92</v>
    <v>Vienna</v>
    <v>5</v>
    <v>6</v>
    <v>Map</v>
    <v>7</v>
    <v>61</v>
    <v>AT-9</v>
    <v>677</v>
    <v>678</v>
    <v>Vienna vee-EN-ə is the capital, most populous city, and one of nine federal states of Austria. It is Austria's primate city, with just over two million inhabitants. Its larger metropolitan area has a population of nearly 2.9 million, ...</v>
    <v>679</v>
    <v>681</v>
    <v>682</v>
    <v>Vienna</v>
    <v>683</v>
    <v>193</v>
    <v>Vienna</v>
    <v>mdp/vdpid/7022209355197972481</v>
  </rv>
  <rv s="1">
    <v>536870912</v>
    <v>Baku</v>
    <v>0070e4f8-b4f3-4a7d-9223-ec1abb577cc3</v>
    <v>en-US</v>
    <v>Map</v>
  </rv>
  <rv s="0">
    <fb>2140</fb>
    <v>9</v>
  </rv>
  <rv s="1">
    <v>536870912</v>
    <v>Azerbaijan</v>
    <v>00e6da1c-e0ce-1961-9567-21511ce930a8</v>
    <v>en-US</v>
    <v>Map</v>
  </rv>
  <rv s="2">
    <v>19</v>
    <v>7</v>
    <v>121</v>
    <v>7</v>
    <v>0</v>
    <v>Image of Baku</v>
  </rv>
  <rv s="1">
    <v>805306368</v>
    <v>Eldar Azizov (Mayor)</v>
    <v>63aa9e56-aaec-c167-7d9f-5330cb3d3749</v>
    <v>en-US</v>
    <v>Generic</v>
  </rv>
  <rv s="3">
    <v>46</v>
  </rv>
  <rv s="4">
    <v>https://www.bing.com/search?q=baku&amp;form=skydnc</v>
    <v>Learn more on Bing</v>
  </rv>
  <rv s="3">
    <v>47</v>
  </rv>
  <rv s="0">
    <fb>2616948</fb>
    <v>9</v>
  </rv>
  <rv s="18">
    <v>#VALUE!</v>
    <v>en-US</v>
    <v>0070e4f8-b4f3-4a7d-9223-ec1abb577cc3</v>
    <v>536870912</v>
    <v>1</v>
    <v>123</v>
    <v>124</v>
    <v>Baku</v>
    <v>5</v>
    <v>6</v>
    <v>Map</v>
    <v>7</v>
    <v>125</v>
    <v>AZ-BA</v>
    <v>686</v>
    <v>687</v>
    <v>Baku is the capital and largest city of Azerbaijan, as well as the largest city on the Caspian Sea and in the Caucasus region. Baku is 28 metres below sea level, which makes it the lowest lying national capital in the world and also the largest ...</v>
    <v>688</v>
    <v>690</v>
    <v>691</v>
    <v>Baku</v>
    <v>692</v>
    <v>693</v>
    <v>554</v>
    <v>Baku</v>
    <v>mdp/vdpid/7352040100538089473</v>
  </rv>
  <rv s="0">
    <fb>0.57735575178420195</fb>
    <v>28</v>
  </rv>
  <rv s="0">
    <fb>86600</fb>
    <v>9</v>
  </rv>
  <rv s="0">
    <fb>82000</fb>
    <v>9</v>
  </rv>
  <rv s="0">
    <fb>14</fb>
    <v>29</v>
  </rv>
  <rv s="0">
    <fb>994</fb>
    <v>30</v>
  </rv>
  <rv s="0">
    <fb>37619.752999999997</fb>
    <v>9</v>
  </rv>
  <rv s="0">
    <fb>156.318691360017</fb>
    <v>31</v>
  </rv>
  <rv s="0">
    <fb>2.60833956534685E-2</fb>
    <v>28</v>
  </rv>
  <rv s="0">
    <fb>2202.3939182884601</fb>
    <v>9</v>
  </rv>
  <rv s="0">
    <fb>1.73</fb>
    <v>29</v>
  </rv>
  <rv s="0">
    <fb>0.14099673341202298</fb>
    <v>28</v>
  </rv>
  <rv s="0">
    <fb>98.365990026555593</fb>
    <v>34</v>
  </rv>
  <rv s="0">
    <fb>0.56000000000000005</fb>
    <v>32</v>
  </rv>
  <rv s="0">
    <fb>39207000000</fb>
    <v>33</v>
  </rv>
  <rv s="0">
    <fb>0.99722100000000002</fb>
    <v>28</v>
  </rv>
  <rv s="0">
    <fb>0.27708500000000003</fb>
    <v>28</v>
  </rv>
  <rv s="2">
    <v>20</v>
    <v>7</v>
    <v>127</v>
    <v>7</v>
    <v>0</v>
    <v>Image of Azerbaijan</v>
  </rv>
  <rv s="0">
    <fb>19.2</fb>
    <v>34</v>
  </rv>
  <rv s="1">
    <v>805306368</v>
    <v>Ilham Aliyev (President)</v>
    <v>6f230f7c-232a-f9d8-8496-ec158d713535</v>
    <v>en-US</v>
    <v>Generic</v>
  </rv>
  <rv s="1">
    <v>805306368</v>
    <v>Mehriban Aliyeva (Vice president)</v>
    <v>7479733d-121a-2018-fc01-a5e089f0ee47</v>
    <v>en-US</v>
    <v>Generic</v>
  </rv>
  <rv s="1">
    <v>805306368</v>
    <v>Ali Asadov (Prime minister)</v>
    <v>efbb8c16-6b82-890d-5065-d3c873b37afa</v>
    <v>en-US</v>
    <v>Generic</v>
  </rv>
  <rv s="3">
    <v>48</v>
  </rv>
  <rv s="4">
    <v>https://www.bing.com/search?q=azerbaijan&amp;form=skydnc</v>
    <v>Learn more on Bing</v>
  </rv>
  <rv s="0">
    <fb>72.864000000000004</fb>
    <v>34</v>
  </rv>
  <rv s="0">
    <fb>3220000</fb>
    <v>33</v>
  </rv>
  <rv s="0">
    <fb>0.47</fb>
    <v>32</v>
  </rv>
  <rv s="0">
    <fb>0.78627087660000006</fb>
    <v>28</v>
  </rv>
  <rv s="0">
    <fb>3.4460000000000002</fb>
    <v>29</v>
  </rv>
  <rv s="0">
    <fb>10175016</fb>
    <v>9</v>
  </rv>
  <rv s="0">
    <fb>0.20899999999999999</fb>
    <v>28</v>
  </rv>
  <rv s="0">
    <fb>0.24199999999999999</fb>
    <v>28</v>
  </rv>
  <rv s="0">
    <fb>0.37799999999999995</fb>
    <v>28</v>
  </rv>
  <rv s="0">
    <fb>4.8000000000000001E-2</fb>
    <v>28</v>
  </rv>
  <rv s="0">
    <fb>0.10800000000000001</fb>
    <v>28</v>
  </rv>
  <rv s="0">
    <fb>0.13900000000000001</fb>
    <v>28</v>
  </rv>
  <rv s="0">
    <fb>0.16600000000000001</fb>
    <v>28</v>
  </rv>
  <rv s="0">
    <fb>0.66501998901367199</fb>
    <v>28</v>
  </rv>
  <rv s="1">
    <v>536870912</v>
    <v>Absheron District</v>
    <v>79609fcc-e73e-b7ac-7358-7d5d5d75eb93</v>
    <v>en-US</v>
    <v>Map</v>
  </rv>
  <rv s="1">
    <v>536870912</v>
    <v>Aghjabadi District</v>
    <v>e17266c1-9cde-85a9-8211-8341571b6cc6</v>
    <v>en-US</v>
    <v>Map</v>
  </rv>
  <rv s="1">
    <v>536870912</v>
    <v>Aghdam District</v>
    <v>9cf61ea6-60ad-4b7c-6348-f161258e5e19</v>
    <v>en-US</v>
    <v>Map</v>
  </rv>
  <rv s="1">
    <v>536870912</v>
    <v>Agdash District</v>
    <v>43076ca7-1bec-c2b7-0e93-8e323b61c52e</v>
    <v>en-US</v>
    <v>Map</v>
  </rv>
  <rv s="1">
    <v>536870912</v>
    <v>Aghstafa District</v>
    <v>eea0dda3-1cf6-cd6b-2689-39a1c4d843ca</v>
    <v>en-US</v>
    <v>Map</v>
  </rv>
  <rv s="1">
    <v>536870912</v>
    <v>Agsu District</v>
    <v>c914c877-5cb5-b99e-67e3-3a2bb7b0d19c</v>
    <v>en-US</v>
    <v>Map</v>
  </rv>
  <rv s="1">
    <v>536870912</v>
    <v>Şirvan, Azerbaijan</v>
    <v>706480f3-4715-716d-d2dc-51044fe0572e</v>
    <v>en-US</v>
    <v>Map</v>
  </rv>
  <rv s="1">
    <v>536870912</v>
    <v>Astara District</v>
    <v>148d9518-fa6e-9d9d-2617-59e14364eac7</v>
    <v>en-US</v>
    <v>Map</v>
  </rv>
  <rv s="1">
    <v>536870912</v>
    <v>Balakan District</v>
    <v>cdda151a-7ebc-6def-3919-e4e56370b164</v>
    <v>en-US</v>
    <v>Map</v>
  </rv>
  <rv s="1">
    <v>536870912</v>
    <v>Barda District</v>
    <v>6184b041-743f-5879-bda8-b985dd8848a0</v>
    <v>en-US</v>
    <v>Map</v>
  </rv>
  <rv s="1">
    <v>536870912</v>
    <v>Beylagan District</v>
    <v>878c297c-fe05-d26a-25b9-886801a46695</v>
    <v>en-US</v>
    <v>Map</v>
  </rv>
  <rv s="1">
    <v>536870912</v>
    <v>Bilasuvar District</v>
    <v>bb4ceb16-aad5-580a-932f-a63deba9d251</v>
    <v>en-US</v>
    <v>Map</v>
  </rv>
  <rv s="1">
    <v>536870912</v>
    <v>Jabrayil District</v>
    <v>3a7941e4-17be-55c1-38f4-76ec39e204c2</v>
    <v>en-US</v>
    <v>Map</v>
  </rv>
  <rv s="1">
    <v>536870912</v>
    <v>Jalilabad District</v>
    <v>914928ee-65dd-a961-cb50-52e42b71e703</v>
    <v>en-US</v>
    <v>Map</v>
  </rv>
  <rv s="1">
    <v>536870912</v>
    <v>Dashkasan District</v>
    <v>1d0f4446-bb05-c525-d298-7e32fd75bd0e</v>
    <v>en-US</v>
    <v>Map</v>
  </rv>
  <rv s="1">
    <v>536870912</v>
    <v>Shabran District</v>
    <v>347165ef-2500-d6f4-b15d-4fe6561d2999</v>
    <v>en-US</v>
    <v>Map</v>
  </rv>
  <rv s="1">
    <v>536870912</v>
    <v>Fuzuli District</v>
    <v>64ca9e82-efa3-1445-ba94-c7b401c5824c</v>
    <v>en-US</v>
    <v>Map</v>
  </rv>
  <rv s="1">
    <v>536870912</v>
    <v>Gadabay District</v>
    <v>834c5441-2162-54f3-6478-31a51c0d04ce</v>
    <v>en-US</v>
    <v>Map</v>
  </rv>
  <rv s="1">
    <v>536870912</v>
    <v>Ganja, Azerbaijan</v>
    <v>e1c860cb-c8bd-28f9-bd31-c8629f142e81</v>
    <v>en-US</v>
    <v>Map</v>
  </rv>
  <rv s="1">
    <v>536870912</v>
    <v>Goranboy District</v>
    <v>e908ff89-dc94-bd4a-b2f4-779c15b7fc71</v>
    <v>en-US</v>
    <v>Map</v>
  </rv>
  <rv s="1">
    <v>536870912</v>
    <v>Goychay District</v>
    <v>a78e6f1d-5944-3d4e-9305-237fa2b8d3a9</v>
    <v>en-US</v>
    <v>Map</v>
  </rv>
  <rv s="1">
    <v>536870912</v>
    <v>Hajigabul District</v>
    <v>fe168803-c5a8-7b45-8007-6b9908199ec3</v>
    <v>en-US</v>
    <v>Map</v>
  </rv>
  <rv s="1">
    <v>536870912</v>
    <v>Imishli District</v>
    <v>dba15707-cd9c-d6bb-a5d9-3e5150852dd4</v>
    <v>en-US</v>
    <v>Map</v>
  </rv>
  <rv s="1">
    <v>536870912</v>
    <v>Ismayilli District</v>
    <v>e3521f9a-f242-7946-66c5-643c4a9f933b</v>
    <v>en-US</v>
    <v>Map</v>
  </rv>
  <rv s="1">
    <v>536870912</v>
    <v>Kalbajar District</v>
    <v>fb84f4ea-c6e1-273e-1c6f-88ee5eb4378c</v>
    <v>en-US</v>
    <v>Map</v>
  </rv>
  <rv s="1">
    <v>536870912</v>
    <v>Kurdamir District</v>
    <v>2cad0706-ab9c-ee2b-f3f7-90e3b96e600a</v>
    <v>en-US</v>
    <v>Map</v>
  </rv>
  <rv s="1">
    <v>536870912</v>
    <v>Lachin District</v>
    <v>57f0f4ac-c6f9-2be1-6c5d-8c3c275a4ddf</v>
    <v>en-US</v>
    <v>Map</v>
  </rv>
  <rv s="1">
    <v>536870912</v>
    <v>Lankaran District</v>
    <v>8d739315-b7d8-e6ca-59b6-9310f8846819</v>
    <v>en-US</v>
    <v>Map</v>
  </rv>
  <rv s="1">
    <v>536870912</v>
    <v>Lankaran</v>
    <v>fa5bf7d8-d274-4bef-ae94-b07448b8c206</v>
    <v>en-US</v>
    <v>Map</v>
  </rv>
  <rv s="1">
    <v>536870912</v>
    <v>Lerik District</v>
    <v>21f61f6b-e8ad-a2b8-8067-09f6daef7d17</v>
    <v>en-US</v>
    <v>Map</v>
  </rv>
  <rv s="1">
    <v>536870912</v>
    <v>Masally District</v>
    <v>03d4f9f4-f7bc-659d-fac6-38c6b71a77ba</v>
    <v>en-US</v>
    <v>Map</v>
  </rv>
  <rv s="1">
    <v>536870912</v>
    <v>Mingachevir</v>
    <v>be62a638-17b2-812c-36ab-d9c73c26096b</v>
    <v>en-US</v>
    <v>Map</v>
  </rv>
  <rv s="1">
    <v>536870912</v>
    <v>Naftalan, Azerbaijan</v>
    <v>6f5b4a06-11bb-751a-2722-8e19cf421121</v>
    <v>en-US</v>
    <v>Map</v>
  </rv>
  <rv s="1">
    <v>536870912</v>
    <v>Neftchala District</v>
    <v>74613247-61a5-bfbd-9f81-08e582e71165</v>
    <v>en-US</v>
    <v>Map</v>
  </rv>
  <rv s="1">
    <v>536870912</v>
    <v>Oghuz District</v>
    <v>98a25544-9a25-5be8-5425-a506a5995b16</v>
    <v>en-US</v>
    <v>Map</v>
  </rv>
  <rv s="1">
    <v>536870912</v>
    <v>Qabala District</v>
    <v>b19c1063-2f76-4bc3-7a7b-77e7aa2a2043</v>
    <v>en-US</v>
    <v>Map</v>
  </rv>
  <rv s="1">
    <v>536870912</v>
    <v>Qakh District</v>
    <v>26c9fb66-fcf1-33b1-ce5f-03877bea2d3b</v>
    <v>en-US</v>
    <v>Map</v>
  </rv>
  <rv s="1">
    <v>536870912</v>
    <v>Gobustan District</v>
    <v>54ecaf00-8cb2-bf0c-00a2-6f32cdf6514e</v>
    <v>en-US</v>
    <v>Map</v>
  </rv>
  <rv s="1">
    <v>536870912</v>
    <v>Quba District</v>
    <v>6effab5c-094d-18b8-8a4f-79a184d0e92e</v>
    <v>en-US</v>
    <v>Map</v>
  </rv>
  <rv s="1">
    <v>536870912</v>
    <v>Qubadli District</v>
    <v>147bf6f9-33e8-4ad9-aa94-57ab62ff4dbe</v>
    <v>en-US</v>
    <v>Map</v>
  </rv>
  <rv s="1">
    <v>536870912</v>
    <v>Qusar District</v>
    <v>5ca465fb-22df-a512-69b9-abcd9956e15c</v>
    <v>en-US</v>
    <v>Map</v>
  </rv>
  <rv s="1">
    <v>536870912</v>
    <v>Saatly District</v>
    <v>4ebad8e9-7857-c510-82a0-4c84f46505ac</v>
    <v>en-US</v>
    <v>Map</v>
  </rv>
  <rv s="1">
    <v>536870912</v>
    <v>Sabirabad District</v>
    <v>09e89d21-7b9a-5b20-4818-53406daca492</v>
    <v>en-US</v>
    <v>Map</v>
  </rv>
  <rv s="1">
    <v>536870912</v>
    <v>Shaki District</v>
    <v>f5715d34-0685-3175-a842-01784e586005</v>
    <v>en-US</v>
    <v>Map</v>
  </rv>
  <rv s="1">
    <v>536870912</v>
    <v>Shaki, Azerbaijan</v>
    <v>f8449ddc-cfb9-493a-0eef-93ad10ac337f</v>
    <v>en-US</v>
    <v>Map</v>
  </rv>
  <rv s="1">
    <v>536870912</v>
    <v>Salyan District</v>
    <v>18282090-2af5-7a19-7eb5-b510afedde76</v>
    <v>en-US</v>
    <v>Map</v>
  </rv>
  <rv s="1">
    <v>536870912</v>
    <v>Shamakhi District</v>
    <v>6534e781-ac61-9d1a-4a31-371a6dcffa6e</v>
    <v>en-US</v>
    <v>Map</v>
  </rv>
  <rv s="1">
    <v>536870912</v>
    <v>Shamkir District</v>
    <v>a937ca01-32b6-3478-4f53-d3891ae03403</v>
    <v>en-US</v>
    <v>Map</v>
  </rv>
  <rv s="1">
    <v>536870912</v>
    <v>Samukh District</v>
    <v>87e33b1e-94b3-9e9e-7d35-d550a607e2cf</v>
    <v>en-US</v>
    <v>Map</v>
  </rv>
  <rv s="1">
    <v>536870912</v>
    <v>Siyazan District</v>
    <v>f8c0aa56-ed85-fd38-eaf0-b80e4545b556</v>
    <v>en-US</v>
    <v>Map</v>
  </rv>
  <rv s="1">
    <v>536870912</v>
    <v>Sumgait</v>
    <v>8ca59d0b-c0d9-2bd7-8a6f-6782e036f77f</v>
    <v>en-US</v>
    <v>Map</v>
  </rv>
  <rv s="1">
    <v>536870912</v>
    <v>Shusha District</v>
    <v>2d0bc353-176a-3049-fa7c-adc962d604a3</v>
    <v>en-US</v>
    <v>Map</v>
  </rv>
  <rv s="1">
    <v>536870912</v>
    <v>Shusha</v>
    <v>db384471-a7b6-4bc5-8cb2-c0b6d202bf72</v>
    <v>en-US</v>
    <v>Map</v>
  </rv>
  <rv s="1">
    <v>536870912</v>
    <v>Tartar District</v>
    <v>5ed340b4-c418-1fee-e944-a2d7e7152e08</v>
    <v>en-US</v>
    <v>Map</v>
  </rv>
  <rv s="1">
    <v>536870912</v>
    <v>Tovuz District</v>
    <v>558d8019-ad4b-0028-8bb3-538405c34e00</v>
    <v>en-US</v>
    <v>Map</v>
  </rv>
  <rv s="1">
    <v>536870912</v>
    <v>Ujar District</v>
    <v>9ac3ff7f-06f4-e49b-db44-4afe1e7b5ab0</v>
    <v>en-US</v>
    <v>Map</v>
  </rv>
  <rv s="1">
    <v>536870912</v>
    <v>Khachmaz District</v>
    <v>cb336029-fd88-f981-af15-e91db9bd256a</v>
    <v>en-US</v>
    <v>Map</v>
  </rv>
  <rv s="1">
    <v>536870912</v>
    <v>Stepanakert</v>
    <v>8a4885c1-f865-32b1-1642-7e5e435d51dc</v>
    <v>en-US</v>
    <v>Map</v>
  </rv>
  <rv s="1">
    <v>536870912</v>
    <v>Goygol District</v>
    <v>842e6af7-2af7-ce26-5b74-2fde5a34350c</v>
    <v>en-US</v>
    <v>Map</v>
  </rv>
  <rv s="1">
    <v>536870912</v>
    <v>Khizi District</v>
    <v>d7e520d2-1ff7-2c5e-0832-f4a1a60fbf2f</v>
    <v>en-US</v>
    <v>Map</v>
  </rv>
  <rv s="1">
    <v>536870912</v>
    <v>Khojaly District</v>
    <v>120e8dee-5720-24d1-ecfd-04f296863eff</v>
    <v>en-US</v>
    <v>Map</v>
  </rv>
  <rv s="1">
    <v>536870912</v>
    <v>Khojavend District</v>
    <v>f6856fce-ff23-58d1-3031-4c484efb4d1a</v>
    <v>en-US</v>
    <v>Map</v>
  </rv>
  <rv s="1">
    <v>536870912</v>
    <v>Yardimli District</v>
    <v>35517e77-c03f-f03e-2ebf-9416667debb9</v>
    <v>en-US</v>
    <v>Map</v>
  </rv>
  <rv s="1">
    <v>536870912</v>
    <v>Yevlakh District</v>
    <v>10a5260a-753d-1c51-e270-35f89500a98e</v>
    <v>en-US</v>
    <v>Map</v>
  </rv>
  <rv s="1">
    <v>536870912</v>
    <v>Yevlakh</v>
    <v>dc8030ef-3f85-ba91-9ed8-347c40763a10</v>
    <v>en-US</v>
    <v>Map</v>
  </rv>
  <rv s="1">
    <v>536870912</v>
    <v>Zangilan District</v>
    <v>acef083f-77e8-1681-5dfe-60e5f6727f29</v>
    <v>en-US</v>
    <v>Map</v>
  </rv>
  <rv s="1">
    <v>536870912</v>
    <v>Zagatala District</v>
    <v>fffa1972-242a-5a68-77b4-debc180f8657</v>
    <v>en-US</v>
    <v>Map</v>
  </rv>
  <rv s="1">
    <v>536870912</v>
    <v>Zardab District</v>
    <v>2998de73-30a2-37cc-11c0-a260ba57b7cc</v>
    <v>en-US</v>
    <v>Map</v>
  </rv>
  <rv s="3">
    <v>49</v>
  </rv>
  <rv s="0">
    <fb>0.12971271787444399</fb>
    <v>28</v>
  </rv>
  <rv s="0">
    <fb>5.5089998245239302E-2</fb>
    <v>35</v>
  </rv>
  <rv s="0">
    <fb>5616165</fb>
    <v>9</v>
  </rv>
  <rv s="9">
    <v>#VALUE!</v>
    <v>en-US</v>
    <v>00e6da1c-e0ce-1961-9567-21511ce930a8</v>
    <v>536870912</v>
    <v>1</v>
    <v>131</v>
    <v>55</v>
    <v>Azerbaijan</v>
    <v>5</v>
    <v>6</v>
    <v>Map</v>
    <v>7</v>
    <v>132</v>
    <v>AZ</v>
    <v>695</v>
    <v>696</v>
    <v>697</v>
    <v>698</v>
    <v>699</v>
    <v>685</v>
    <v>700</v>
    <v>701</v>
    <v>702</v>
    <v>AZN</v>
    <v>Azerbaijan, officially the Republic of Azerbaijan, is a transcontinental and landlocked country at the boundary of West Asia and Eastern Europe. It is a part of the South Caucasus region and is bounded by the Caspian Sea to the east, Russia's ...</v>
    <v>703</v>
    <v>704</v>
    <v>705</v>
    <v>706</v>
    <v>707</v>
    <v>708</v>
    <v>709</v>
    <v>710</v>
    <v>711</v>
    <v>712</v>
    <v>685</v>
    <v>716</v>
    <v>717</v>
    <v>718</v>
    <v>719</v>
    <v>579</v>
    <v>720</v>
    <v>Azerbaijan</v>
    <v>Azərbaycan marşı</v>
    <v>692</v>
    <v>Azərbaycan Respublikası</v>
    <v>721</v>
    <v>722</v>
    <v>723</v>
    <v>724</v>
    <v>725</v>
    <v>726</v>
    <v>727</v>
    <v>728</v>
    <v>729</v>
    <v>730</v>
    <v>731</v>
    <v>800</v>
    <v>801</v>
    <v>554</v>
    <v>174</v>
    <v>802</v>
    <v>Azerbaijan</v>
    <v>803</v>
    <v>mdp/vdpid/5</v>
  </rv>
  <rv s="1">
    <v>536870912</v>
    <v>Nassau, The Bahamas</v>
    <v>06a77b1b-4f8c-6235-1195-026f5e6af6e2</v>
    <v>en-US</v>
    <v>Map</v>
  </rv>
  <rv s="0">
    <fb>207</fb>
    <v>9</v>
  </rv>
  <rv s="1">
    <v>536870912</v>
    <v>The Bahamas</v>
    <v>27f36c28-9ec9-d220-72cc-2e590b20f82b</v>
    <v>en-US</v>
    <v>Map</v>
  </rv>
  <rv s="2">
    <v>21</v>
    <v>7</v>
    <v>133</v>
    <v>7</v>
    <v>0</v>
    <v>Image of Nassau, The Bahamas</v>
  </rv>
  <rv s="0">
    <fb>25.078055555555601</fb>
    <v>0</v>
  </rv>
  <rv s="4">
    <v>https://www.bing.com/search?q=nassau+bahamas&amp;form=skydnc</v>
    <v>Learn more on Bing</v>
  </rv>
  <rv s="0">
    <fb>-77.338611111111106</fb>
    <v>0</v>
  </rv>
  <rv s="0">
    <fb>246329</fb>
    <v>9</v>
  </rv>
  <rv s="3">
    <v>50</v>
  </rv>
  <rv s="19">
    <v>#VALUE!</v>
    <v>en-US</v>
    <v>06a77b1b-4f8c-6235-1195-026f5e6af6e2</v>
    <v>536870912</v>
    <v>1</v>
    <v>134</v>
    <v>135</v>
    <v>Nassau, The Bahamas</v>
    <v>5</v>
    <v>6</v>
    <v>Map</v>
    <v>7</v>
    <v>136</v>
    <v>806</v>
    <v>807</v>
    <v>Nassau is the capital and largest city of the Bahamas. It is located on the island of New Providence, which had a population of 246,329 in 2010, or just over 70% of the entire population of the Bahamas. As of April 2023, the preliminary results ...</v>
    <v>808</v>
    <v>809</v>
    <v>810</v>
    <v>811</v>
    <v>Nassau, The Bahamas</v>
    <v>812</v>
    <v>813</v>
    <v>Nassau, The Bahamas</v>
    <v>mdp/vdpid/5509079837005840385</v>
  </rv>
  <rv s="0">
    <fb>1.3986013986014002E-2</fb>
    <v>28</v>
  </rv>
  <rv s="0">
    <fb>13878</fb>
    <v>9</v>
  </rv>
  <rv s="0">
    <fb>1000</fb>
    <v>9</v>
  </rv>
  <rv s="0">
    <fb>13.968</fb>
    <v>29</v>
  </rv>
  <rv s="0">
    <fb>1242</fb>
    <v>30</v>
  </rv>
  <rv s="0">
    <fb>1785.829</fb>
    <v>9</v>
  </rv>
  <rv s="0">
    <fb>116.218911182281</fb>
    <v>31</v>
  </rv>
  <rv s="0">
    <fb>2.4912352736805497E-2</fb>
    <v>28</v>
  </rv>
  <rv s="0">
    <fb>1.752</fb>
    <v>29</v>
  </rv>
  <rv s="0">
    <fb>0.51448551448551394</fb>
    <v>28</v>
  </rv>
  <rv s="0">
    <fb>0.92</fb>
    <v>32</v>
  </rv>
  <rv s="0">
    <fb>12827000000</fb>
    <v>33</v>
  </rv>
  <rv s="0">
    <fb>0.81361170000000005</fb>
    <v>28</v>
  </rv>
  <rv s="0">
    <fb>0.15058179999999999</fb>
    <v>28</v>
  </rv>
  <rv s="2">
    <v>22</v>
    <v>7</v>
    <v>138</v>
    <v>7</v>
    <v>0</v>
    <v>Image of The Bahamas</v>
  </rv>
  <rv s="0">
    <fb>8.3000000000000007</fb>
    <v>34</v>
  </rv>
  <rv s="1">
    <v>805306368</v>
    <v>Philip Davis (Prime minister)</v>
    <v>bf98043a-d553-9928-9291-aada321451ef</v>
    <v>en-US</v>
    <v>Generic</v>
  </rv>
  <rv s="3">
    <v>51</v>
  </rv>
  <rv s="4">
    <v>https://www.bing.com/search?q=the+bahamas&amp;form=skydnc</v>
    <v>Learn more on Bing</v>
  </rv>
  <rv s="0">
    <fb>73.751999999999995</fb>
    <v>34</v>
  </rv>
  <rv s="0">
    <fb>70</fb>
    <v>34</v>
  </rv>
  <rv s="0">
    <fb>5.25</fb>
    <v>32</v>
  </rv>
  <rv s="3">
    <v>52</v>
  </rv>
  <rv s="0">
    <fb>0.27760736200000002</fb>
    <v>28</v>
  </rv>
  <rv s="0">
    <fb>1.9373</fb>
    <v>29</v>
  </rv>
  <rv s="0">
    <fb>409984</fb>
    <v>9</v>
  </rv>
  <rv s="0">
    <fb>0.74558998107910202</fb>
    <v>28</v>
  </rv>
  <rv s="1">
    <v>536870912</v>
    <v>Berry Islands</v>
    <v>229c178c-d048-f1ad-c101-d9825c6a1dc1</v>
    <v>en-US</v>
    <v>Map</v>
  </rv>
  <rv s="1">
    <v>536870912</v>
    <v>Bimini</v>
    <v>3fc68e32-261d-3b14-94a8-07c9aef51f56</v>
    <v>en-US</v>
    <v>Map</v>
  </rv>
  <rv s="1">
    <v>536870912</v>
    <v>Black Point, Bahamas</v>
    <v>d39c0d83-7c43-873b-1c27-a285702c4a1d</v>
    <v>en-US</v>
    <v>Map</v>
  </rv>
  <rv s="1">
    <v>536870912</v>
    <v>Cat Island, The Bahamas</v>
    <v>c7c6a6cc-80bb-c0af-844a-6fe3b9a22587</v>
    <v>en-US</v>
    <v>Map</v>
  </rv>
  <rv s="1">
    <v>536870912</v>
    <v>Central Abaco</v>
    <v>e8eb45d8-9035-f28d-5bd8-d44ce55223b7</v>
    <v>en-US</v>
    <v>Map</v>
  </rv>
  <rv s="1">
    <v>536870912</v>
    <v>Central Andros</v>
    <v>426c9873-1dc7-a1af-d791-cce5b5427e21</v>
    <v>en-US</v>
    <v>Map</v>
  </rv>
  <rv s="1">
    <v>536870912</v>
    <v>Central Eleuthera</v>
    <v>c7762d4a-cc71-a4df-b395-a6d95513ea2a</v>
    <v>en-US</v>
    <v>Map</v>
  </rv>
  <rv s="1">
    <v>536870912</v>
    <v>Freeport, The Bahamas</v>
    <v>be22d020-dc03-eb63-0058-72487a539aea</v>
    <v>en-US</v>
    <v>Map</v>
  </rv>
  <rv s="1">
    <v>536870912</v>
    <v>Crooked Island, Bahamas</v>
    <v>7ade5e6e-4e14-0693-b381-3ba6f0b25af1</v>
    <v>en-US</v>
    <v>Map</v>
  </rv>
  <rv s="1">
    <v>536870912</v>
    <v>East Grand Bahama</v>
    <v>ccbe68d3-0ebe-9cfc-b823-fcb369b12047</v>
    <v>en-US</v>
    <v>Map</v>
  </rv>
  <rv s="1">
    <v>536870912</v>
    <v>Exuma</v>
    <v>c3fd8889-03e7-bf4c-6fcc-cdd7f759e0d6</v>
    <v>en-US</v>
    <v>Map</v>
  </rv>
  <rv s="1">
    <v>536870912</v>
    <v>Grand Cay</v>
    <v>73a9e34b-241b-efec-de35-f93e434ed7c3</v>
    <v>en-US</v>
    <v>Map</v>
  </rv>
  <rv s="1">
    <v>536870912</v>
    <v>Harbour Island, Bahamas</v>
    <v>1fc50400-6eec-1eaf-41c2-5a2078f66f85</v>
    <v>en-US</v>
    <v>Map</v>
  </rv>
  <rv s="1">
    <v>536870912</v>
    <v>Hope Town</v>
    <v>c7e14225-6c02-3169-4596-5dd65031f80b</v>
    <v>en-US</v>
    <v>Map</v>
  </rv>
  <rv s="1">
    <v>536870912</v>
    <v>Inagua</v>
    <v>24f7238f-badc-488c-dc57-a1f00b0fc8ee</v>
    <v>en-US</v>
    <v>Map</v>
  </rv>
  <rv s="1">
    <v>536870912</v>
    <v>Long Island, Bahamas</v>
    <v>3ab1563a-230d-5a29-b89a-8ab93776d365</v>
    <v>en-US</v>
    <v>Map</v>
  </rv>
  <rv s="1">
    <v>536870912</v>
    <v>Mangrove Cay</v>
    <v>e526540c-a211-5bc1-82ac-1535baf217f9</v>
    <v>en-US</v>
    <v>Map</v>
  </rv>
  <rv s="1">
    <v>536870912</v>
    <v>Mayaguana</v>
    <v>c77c419a-2791-0c13-78a6-a20ba75d3755</v>
    <v>en-US</v>
    <v>Map</v>
  </rv>
  <rv s="1">
    <v>536870912</v>
    <v>Moore's Island</v>
    <v>aefa38bd-0a3a-ce5a-cbd9-ba4ae8823e41</v>
    <v>en-US</v>
    <v>Map</v>
  </rv>
  <rv s="1">
    <v>536870912</v>
    <v>North Abaco</v>
    <v>7cdf5ce0-2059-5ae7-6d23-1737ced0de0d</v>
    <v>en-US</v>
    <v>Map</v>
  </rv>
  <rv s="1">
    <v>536870912</v>
    <v>North Andros</v>
    <v>41b5f3c5-63b8-cfd4-5704-bec29f18ef76</v>
    <v>en-US</v>
    <v>Map</v>
  </rv>
  <rv s="1">
    <v>536870912</v>
    <v>North Eleuthera</v>
    <v>de81304b-9d60-7a47-0b0a-3757e14d7ebf</v>
    <v>en-US</v>
    <v>Map</v>
  </rv>
  <rv s="1">
    <v>536870912</v>
    <v>Ragged Island, Bahamas</v>
    <v>5ffd1d21-1202-511f-a22d-9e03ac68e1aa</v>
    <v>en-US</v>
    <v>Map</v>
  </rv>
  <rv s="1">
    <v>536870912</v>
    <v>Rum Cay</v>
    <v>8311c4cf-0729-5e91-be6b-c9b9286d3f9d</v>
    <v>en-US</v>
    <v>Map</v>
  </rv>
  <rv s="1">
    <v>536870912</v>
    <v>San Salvador Island</v>
    <v>f8c7cf8b-49d4-cd6f-b54e-6d24c34d7d7f</v>
    <v>en-US</v>
    <v>Map</v>
  </rv>
  <rv s="1">
    <v>536870912</v>
    <v>South Abaco</v>
    <v>059905b4-a8d2-5b6f-805a-5a6098990c70</v>
    <v>en-US</v>
    <v>Map</v>
  </rv>
  <rv s="1">
    <v>536870912</v>
    <v>South Andros</v>
    <v>0f779960-6440-926d-1824-f83e392824d4</v>
    <v>en-US</v>
    <v>Map</v>
  </rv>
  <rv s="1">
    <v>536870912</v>
    <v>South Eleuthera</v>
    <v>29b7b681-a2d3-31fc-5f5e-1fa21fe94353</v>
    <v>en-US</v>
    <v>Map</v>
  </rv>
  <rv s="1">
    <v>536870912</v>
    <v>Spanish Wells</v>
    <v>ba6ba39d-56ec-1dcc-4251-bdde735d6547</v>
    <v>en-US</v>
    <v>Map</v>
  </rv>
  <rv s="1">
    <v>536870912</v>
    <v>West Grand Bahama</v>
    <v>9aba9a56-ce87-6953-fd1a-eea104c1f9b0</v>
    <v>en-US</v>
    <v>Map</v>
  </rv>
  <rv s="1">
    <v>536870912</v>
    <v>New Providence</v>
    <v>28a14ee4-73c0-8ee5-077e-c0b2d115129d</v>
    <v>en-US</v>
    <v>Map</v>
  </rv>
  <rv s="1">
    <v>536870912</v>
    <v>Acklins</v>
    <v>583fa551-dea3-4074-ace7-3351baf96063</v>
    <v>en-US</v>
    <v>Map</v>
  </rv>
  <rv s="3">
    <v>53</v>
  </rv>
  <rv s="0">
    <fb>0.147746307698499</fb>
    <v>28</v>
  </rv>
  <rv s="3">
    <v>54</v>
  </rv>
  <rv s="0">
    <fb>0.33799999999999997</fb>
    <v>28</v>
  </rv>
  <rv s="0">
    <fb>0.103599996566772</fb>
    <v>35</v>
  </rv>
  <rv s="0">
    <fb>323784</fb>
    <v>9</v>
  </rv>
  <rv s="20">
    <v>#VALUE!</v>
    <v>en-US</v>
    <v>27f36c28-9ec9-d220-72cc-2e590b20f82b</v>
    <v>536870912</v>
    <v>1</v>
    <v>141</v>
    <v>142</v>
    <v>The Bahamas</v>
    <v>5</v>
    <v>6</v>
    <v>Map</v>
    <v>7</v>
    <v>143</v>
    <v>BS</v>
    <v>815</v>
    <v>816</v>
    <v>817</v>
    <v>818</v>
    <v>819</v>
    <v>805</v>
    <v>820</v>
    <v>821</v>
    <v>822</v>
    <v>BSD</v>
    <v>The Bahamas, officially the Commonwealth of The Bahamas, is an island country within the Lucayan Archipelago of the Atlantic Ocean. It contains 97% of the Lucayan Archipelago's land area and 88% of its population. The archipelagic country ...</v>
    <v>823</v>
    <v>824</v>
    <v>434</v>
    <v>825</v>
    <v>826</v>
    <v>827</v>
    <v>828</v>
    <v>829</v>
    <v>830</v>
    <v>805</v>
    <v>832</v>
    <v>833</v>
    <v>834</v>
    <v>835</v>
    <v>836</v>
    <v>The Bahamas</v>
    <v>March On, Bahamaland</v>
    <v>837</v>
    <v>Commonwealth of the Bahamas</v>
    <v>838</v>
    <v>839</v>
    <v>840</v>
    <v>841</v>
    <v>874</v>
    <v>875</v>
    <v>876</v>
    <v>877</v>
    <v>878</v>
    <v>The Bahamas</v>
    <v>879</v>
    <v>mdp/vdpid/22</v>
  </rv>
  <rv s="1">
    <v>536870912</v>
    <v>Manama</v>
    <v>72f3d583-583b-b84a-0046-ebd515e58d58</v>
    <v>en-US</v>
    <v>Map</v>
  </rv>
  <rv s="1">
    <v>536870912</v>
    <v>Capital Governorate</v>
    <v>19c0fb76-bdd7-83a6-8fab-ff28362460b2</v>
    <v>en-US</v>
    <v>Map</v>
  </rv>
  <rv s="1">
    <v>536870912</v>
    <v>Portuguese Empire</v>
    <v>1a95d07c-0c64-1499-7127-ce82bc784e04</v>
    <v>en-US</v>
    <v>Map</v>
  </rv>
  <rv s="2">
    <v>23</v>
    <v>7</v>
    <v>144</v>
    <v>7</v>
    <v>0</v>
    <v>Image of Manama</v>
  </rv>
  <rv s="0">
    <fb>26.225000000000001</fb>
    <v>0</v>
  </rv>
  <rv s="1">
    <v>805306368</v>
    <v>Hamad bin Isa Al Khalifa (Governor)</v>
    <v>8f936419-1348-ab99-4993-29125df072b0</v>
    <v>en-US</v>
    <v>Generic</v>
  </rv>
  <rv s="3">
    <v>55</v>
  </rv>
  <rv s="4">
    <v>https://www.bing.com/search?q=manama&amp;form=skydnc</v>
    <v>Learn more on Bing</v>
  </rv>
  <rv s="0">
    <fb>50.577500000000001</fb>
    <v>0</v>
  </rv>
  <rv s="0">
    <fb>157474</fb>
    <v>9</v>
  </rv>
  <rv s="3">
    <v>56</v>
  </rv>
  <rv s="7">
    <v>#VALUE!</v>
    <v>en-US</v>
    <v>72f3d583-583b-b84a-0046-ebd515e58d58</v>
    <v>536870912</v>
    <v>1</v>
    <v>145</v>
    <v>38</v>
    <v>Manama</v>
    <v>5</v>
    <v>6</v>
    <v>Map</v>
    <v>7</v>
    <v>136</v>
    <v>882</v>
    <v>303</v>
    <v>883</v>
    <v>Manama is the capital and largest city of Bahrain, with an approximate population of 297,502 as of 2012. Long an important trading center in the Persian Gulf, Manama is home to a diverse population. After periods of Portuguese and Persian ...</v>
    <v>884</v>
    <v>885</v>
    <v>887</v>
    <v>888</v>
    <v>889</v>
    <v>Manama</v>
    <v>890</v>
    <v>891</v>
    <v>Manama</v>
    <v>mdp/vdpid/7373446636250333185</v>
  </rv>
  <rv s="1">
    <v>536870912</v>
    <v>Dhaka</v>
    <v>1052f933-5988-4433-c3d9-2f3435647afa</v>
    <v>en-US</v>
    <v>Map</v>
  </rv>
  <rv s="1">
    <v>536870912</v>
    <v>Dhaka Division</v>
    <v>31821045-9519-4206-56bc-2eb01fb6c71d</v>
    <v>en-US</v>
    <v>Map</v>
  </rv>
  <rv s="0">
    <fb>368</fb>
    <v>9</v>
  </rv>
  <rv s="1">
    <v>536870912</v>
    <v>Bangladesh</v>
    <v>c5fa012f-7347-0857-872b-2a5efc180846</v>
    <v>en-US</v>
    <v>Map</v>
  </rv>
  <rv s="2">
    <v>24</v>
    <v>7</v>
    <v>146</v>
    <v>7</v>
    <v>0</v>
    <v>Image of Dhaka</v>
  </rv>
  <rv s="0">
    <fb>23.7288888888889</fb>
    <v>0</v>
  </rv>
  <rv s="1">
    <v>805306368</v>
    <v>Sheikh Fazle Noor Taposh (Mayor)</v>
    <v>bdada678-44d2-1202-2e35-c1359a30ea58</v>
    <v>en-US</v>
    <v>Generic</v>
  </rv>
  <rv s="3">
    <v>57</v>
  </rv>
  <rv s="4">
    <v>https://www.bing.com/search?q=dhaka&amp;form=skydnc</v>
    <v>Learn more on Bing</v>
  </rv>
  <rv s="0">
    <fb>90.394444444444403</fb>
    <v>0</v>
  </rv>
  <rv s="0">
    <fb>16800000</fb>
    <v>9</v>
  </rv>
  <rv s="3">
    <v>58</v>
  </rv>
  <rv s="5">
    <v>#VALUE!</v>
    <v>en-US</v>
    <v>1052f933-5988-4433-c3d9-2f3435647afa</v>
    <v>536870912</v>
    <v>1</v>
    <v>147</v>
    <v>3</v>
    <v>Dhaka</v>
    <v>5</v>
    <v>6</v>
    <v>Map</v>
    <v>7</v>
    <v>148</v>
    <v>894</v>
    <v>894</v>
    <v>895</v>
    <v>896</v>
    <v>Dhaka, formerly known as Dacca, is the capital and largest city of Bangladesh. It is one of the largest and most densely populated cities in the world with a density of 23,234 people per square kilometer within a total area of approximately 300 ...</v>
    <v>897</v>
    <v>898</v>
    <v>900</v>
    <v>901</v>
    <v>902</v>
    <v>Dhaka</v>
    <v>903</v>
    <v>904</v>
    <v>Dhaka</v>
    <v>mdp/vdpid/7806159576780242945</v>
  </rv>
  <rv s="0">
    <fb>0.70632326656967803</fb>
    <v>28</v>
  </rv>
  <rv s="0">
    <fb>147570</fb>
    <v>9</v>
  </rv>
  <rv s="0">
    <fb>221000</fb>
    <v>9</v>
  </rv>
  <rv s="0">
    <fb>18.184000000000001</fb>
    <v>29</v>
  </rv>
  <rv s="0">
    <fb>880</fb>
    <v>30</v>
  </rv>
  <rv s="0">
    <fb>84245.657999999996</fb>
    <v>9</v>
  </rv>
  <rv s="0">
    <fb>179.67982174704801</fb>
    <v>31</v>
  </rv>
  <rv s="0">
    <fb>5.5919963993063301E-2</fb>
    <v>28</v>
  </rv>
  <rv s="0">
    <fb>320.20415820544599</fb>
    <v>9</v>
  </rv>
  <rv s="0">
    <fb>2.036</fb>
    <v>29</v>
  </rv>
  <rv s="0">
    <fb>0.109579782162869</fb>
    <v>28</v>
  </rv>
  <rv s="0">
    <fb>73.768937945008602</fb>
    <v>34</v>
  </rv>
  <rv s="0">
    <fb>302571254131.13501</fb>
    <v>33</v>
  </rv>
  <rv s="0">
    <fb>1.1646634</fb>
    <v>28</v>
  </rv>
  <rv s="0">
    <fb>0.20565069999999999</fb>
    <v>28</v>
  </rv>
  <rv s="2">
    <v>25</v>
    <v>7</v>
    <v>150</v>
    <v>7</v>
    <v>0</v>
    <v>Image of Bangladesh</v>
  </rv>
  <rv s="0">
    <fb>25.1</fb>
    <v>34</v>
  </rv>
  <rv s="1">
    <v>805306368</v>
    <v>Mohammed Shahabuddin (President)</v>
    <v>81863085-8a84-bee4-9846-5f6416f69608</v>
    <v>en-US</v>
    <v>Generic</v>
  </rv>
  <rv s="1">
    <v>805306368</v>
    <v>Syed Refaat Ahmed (Chief justice)</v>
    <v>47596499-4372-eb81-1c57-855d1489d91c</v>
    <v>en-US</v>
    <v>Generic</v>
  </rv>
  <rv s="3">
    <v>59</v>
  </rv>
  <rv s="4">
    <v>https://www.bing.com/search?q=bangladesh&amp;form=skydnc</v>
    <v>Learn more on Bing</v>
  </rv>
  <rv s="0">
    <fb>72.319999999999993</fb>
    <v>34</v>
  </rv>
  <rv s="0">
    <fb>77390500000</fb>
    <v>33</v>
  </rv>
  <rv s="0">
    <fb>173</fb>
    <v>34</v>
  </rv>
  <rv s="0">
    <fb>0.51</fb>
    <v>32</v>
  </rv>
  <rv s="3">
    <v>60</v>
  </rv>
  <rv s="0">
    <fb>0.71816336719999996</fb>
    <v>28</v>
  </rv>
  <rv s="0">
    <fb>0.58089999999999997</fb>
    <v>29</v>
  </rv>
  <rv s="0">
    <fb>171186372</fb>
    <v>9</v>
  </rv>
  <rv s="0">
    <fb>0.214</fb>
    <v>28</v>
  </rv>
  <rv s="0">
    <fb>0.26800000000000002</fb>
    <v>28</v>
  </rv>
  <rv s="0">
    <fb>0.41399999999999998</fb>
    <v>28</v>
  </rv>
  <rv s="0">
    <fb>3.7000000000000005E-2</fb>
    <v>28</v>
  </rv>
  <rv s="0">
    <fb>8.5999999999999993E-2</fb>
    <v>28</v>
  </rv>
  <rv s="0">
    <fb>0.124</fb>
    <v>28</v>
  </rv>
  <rv s="0">
    <fb>0.58993000030517595</fb>
    <v>28</v>
  </rv>
  <rv s="1">
    <v>536870912</v>
    <v>Barisal Division</v>
    <v>43584efe-2ddf-e5bc-52eb-b8751204a21f</v>
    <v>en-US</v>
    <v>Map</v>
  </rv>
  <rv s="1">
    <v>536870912</v>
    <v>Chittagong Division</v>
    <v>ab343ce3-a920-bd96-4d55-5e1805a83766</v>
    <v>en-US</v>
    <v>Map</v>
  </rv>
  <rv s="1">
    <v>536870912</v>
    <v>Khulna Division</v>
    <v>91466b95-10c0-e30b-bbf1-e01564c351b9</v>
    <v>en-US</v>
    <v>Map</v>
  </rv>
  <rv s="1">
    <v>536870912</v>
    <v>Rajshahi Division</v>
    <v>6f0455a3-b5ec-6b6f-0928-3986232961a4</v>
    <v>en-US</v>
    <v>Map</v>
  </rv>
  <rv s="1">
    <v>536870912</v>
    <v>Sylhet Division</v>
    <v>4a31f1b4-b678-5cbd-607c-39d79576b18d</v>
    <v>en-US</v>
    <v>Map</v>
  </rv>
  <rv s="1">
    <v>536870912</v>
    <v>Rangpur Division</v>
    <v>57cd882a-c5de-439c-3c97-9b97d81cfb7e</v>
    <v>en-US</v>
    <v>Map</v>
  </rv>
  <rv s="1">
    <v>536870912</v>
    <v>Mymensingh Division</v>
    <v>f1980674-ef33-451b-9ec0-a7b694dad827</v>
    <v>en-US</v>
    <v>Map</v>
  </rv>
  <rv s="3">
    <v>61</v>
  </rv>
  <rv s="0">
    <fb>8.7650276516234193E-2</fb>
    <v>28</v>
  </rv>
  <rv s="3">
    <v>62</v>
  </rv>
  <rv s="0">
    <fb>0.33399999999999996</fb>
    <v>28</v>
  </rv>
  <rv s="0">
    <fb>4.1900000572204596E-2</fb>
    <v>35</v>
  </rv>
  <rv s="0">
    <fb>60987417</fb>
    <v>9</v>
  </rv>
  <rv s="9">
    <v>#VALUE!</v>
    <v>en-US</v>
    <v>c5fa012f-7347-0857-872b-2a5efc180846</v>
    <v>536870912</v>
    <v>1</v>
    <v>153</v>
    <v>55</v>
    <v>Bangladesh</v>
    <v>5</v>
    <v>6</v>
    <v>Map</v>
    <v>7</v>
    <v>154</v>
    <v>BD</v>
    <v>906</v>
    <v>907</v>
    <v>908</v>
    <v>909</v>
    <v>910</v>
    <v>893</v>
    <v>911</v>
    <v>912</v>
    <v>913</v>
    <v>BDT</v>
    <v>Bangladesh, officially the People's Republic of Bangladesh, is a country in South Asia. It is the eighth-most populous country in the world and among the most densely populated with a population exceeding 170 million within an area of 147,570 ...</v>
    <v>914</v>
    <v>915</v>
    <v>916</v>
    <v>917</v>
    <v>167</v>
    <v>918</v>
    <v>919</v>
    <v>920</v>
    <v>921</v>
    <v>922</v>
    <v>893</v>
    <v>925</v>
    <v>926</v>
    <v>927</v>
    <v>928</v>
    <v>929</v>
    <v>930</v>
    <v>Bangladesh</v>
    <v>Amar Sonar Bangla</v>
    <v>931</v>
    <v>গণপ্রজাতন্ত্রী বাংলাদেশ</v>
    <v>932</v>
    <v>933</v>
    <v>934</v>
    <v>935</v>
    <v>936</v>
    <v>937</v>
    <v>938</v>
    <v>939</v>
    <v>940</v>
    <v>653</v>
    <v>941</v>
    <v>949</v>
    <v>950</v>
    <v>951</v>
    <v>952</v>
    <v>953</v>
    <v>Bangladesh</v>
    <v>954</v>
    <v>mdp/vdpid/23</v>
  </rv>
  <rv s="1">
    <v>536870912</v>
    <v>Bridgetown</v>
    <v>a07ba8af-9207-ac22-682d-618b6f236497</v>
    <v>en-US</v>
    <v>Map</v>
  </rv>
  <rv s="1">
    <v>536870912</v>
    <v>Saint Michael</v>
    <v>b2f4a190-39c5-0529-4189-5d7d23fe1b25</v>
    <v>en-US</v>
    <v>Map</v>
  </rv>
  <rv s="0">
    <fb>39</fb>
    <v>9</v>
  </rv>
  <rv s="1">
    <v>536870912</v>
    <v>Barbados</v>
    <v>9f89dfaf-5d55-0b9a-df17-7ed2831787b1</v>
    <v>en-US</v>
    <v>Map</v>
  </rv>
  <rv s="2">
    <v>26</v>
    <v>7</v>
    <v>156</v>
    <v>7</v>
    <v>0</v>
    <v>Image of Bridgetown</v>
  </rv>
  <rv s="0">
    <fb>13.0975</fb>
    <v>0</v>
  </rv>
  <rv s="4">
    <v>https://www.bing.com/search?q=bridgetown&amp;form=skydnc</v>
    <v>Learn more on Bing</v>
  </rv>
  <rv s="0">
    <fb>-59.616666666667001</fb>
    <v>0</v>
  </rv>
  <rv s="0">
    <fb>110000</fb>
    <v>9</v>
  </rv>
  <rv s="14">
    <v>#VALUE!</v>
    <v>en-US</v>
    <v>a07ba8af-9207-ac22-682d-618b6f236497</v>
    <v>536870912</v>
    <v>1</v>
    <v>157</v>
    <v>81</v>
    <v>Bridgetown</v>
    <v>5</v>
    <v>6</v>
    <v>Map</v>
    <v>7</v>
    <v>158</v>
    <v>957</v>
    <v>958</v>
    <v>959</v>
    <v>Bridgetown is the capital and largest city of Barbados. Formerly The Town of Saint Michael, the Greater Bridgetown area is located within the parish of Saint Michael. Bridgetown is sometimes locally referred to as "The City", but the most common ...</v>
    <v>960</v>
    <v>961</v>
    <v>962</v>
    <v>963</v>
    <v>Bridgetown</v>
    <v>964</v>
    <v>Bridgetown</v>
    <v>mdp/vdpid/5592596542721622017</v>
  </rv>
  <rv s="0">
    <fb>0.232558139534884</fb>
    <v>28</v>
  </rv>
  <rv s="0">
    <fb>439</fb>
    <v>9</v>
  </rv>
  <rv s="0">
    <fb>10.648</fb>
    <v>29</v>
  </rv>
  <rv s="0">
    <fb>1246</fb>
    <v>30</v>
  </rv>
  <rv s="0">
    <fb>1276.116</fb>
    <v>9</v>
  </rv>
  <rv s="0">
    <fb>134.091174070188</fb>
    <v>31</v>
  </rv>
  <rv s="0">
    <fb>4.10028964518463E-2</fb>
    <v>28</v>
  </rv>
  <rv s="0">
    <fb>1.619</fb>
    <v>29</v>
  </rv>
  <rv s="0">
    <fb>0.14651163234267101</fb>
    <v>28</v>
  </rv>
  <rv s="0">
    <fb>1.81</fb>
    <v>32</v>
  </rv>
  <rv s="0">
    <fb>5209000000</fb>
    <v>33</v>
  </rv>
  <rv s="0">
    <fb>0.99351349999999994</fb>
    <v>28</v>
  </rv>
  <rv s="0">
    <fb>0.6542534000000001</fb>
    <v>28</v>
  </rv>
  <rv s="2">
    <v>27</v>
    <v>7</v>
    <v>160</v>
    <v>7</v>
    <v>0</v>
    <v>Image of Barbados</v>
  </rv>
  <rv s="0">
    <fb>11.3</fb>
    <v>34</v>
  </rv>
  <rv s="1">
    <v>805306368</v>
    <v>Sandra Mason (President)</v>
    <v>592f4200-ac9c-6577-9b99-dd817f219309</v>
    <v>en-US</v>
    <v>Generic</v>
  </rv>
  <rv s="1">
    <v>805306368</v>
    <v>Mia Mottley (Prime minister)</v>
    <v>20dbc3c6-8e85-4fbd-b010-bd3a8c1f9682</v>
    <v>en-US</v>
    <v>Generic</v>
  </rv>
  <rv s="3">
    <v>63</v>
  </rv>
  <rv s="4">
    <v>https://www.bing.com/search?q=barbados&amp;form=skydnc</v>
    <v>Learn more on Bing</v>
  </rv>
  <rv s="0">
    <fb>79.081000000000003</fb>
    <v>34</v>
  </rv>
  <rv s="0">
    <fb>3398000000</fb>
    <v>33</v>
  </rv>
  <rv s="0">
    <fb>27</fb>
    <v>34</v>
  </rv>
  <rv s="0">
    <fb>3.13</fb>
    <v>32</v>
  </rv>
  <rv s="3">
    <v>64</v>
  </rv>
  <rv s="0">
    <fb>0.4516694289</fb>
    <v>28</v>
  </rv>
  <rv s="0">
    <fb>2.4843000000000002</fb>
    <v>29</v>
  </rv>
  <rv s="0">
    <fb>281635</fb>
    <v>9</v>
  </rv>
  <rv s="0">
    <fb>0.65226997375488294</fb>
    <v>28</v>
  </rv>
  <rv s="1">
    <v>536870912</v>
    <v>Christ Church, Barbados</v>
    <v>ac820016-8fbc-036e-11ea-6766b36c162c</v>
    <v>en-US</v>
    <v>Map</v>
  </rv>
  <rv s="1">
    <v>536870912</v>
    <v>Saint Andrew, Barbados</v>
    <v>3c341a51-f476-6b89-9624-c2fcc8d53f31</v>
    <v>en-US</v>
    <v>Map</v>
  </rv>
  <rv s="1">
    <v>536870912</v>
    <v>Saint George, Barbados</v>
    <v>86a9fa59-41db-dfb0-22d9-202ed4a0fa13</v>
    <v>en-US</v>
    <v>Map</v>
  </rv>
  <rv s="1">
    <v>536870912</v>
    <v>Saint James, Barbados</v>
    <v>9a8b2428-8203-e66a-80e4-cecdf7bba622</v>
    <v>en-US</v>
    <v>Map</v>
  </rv>
  <rv s="1">
    <v>536870912</v>
    <v>Saint John, Barbados</v>
    <v>c214b64d-459b-3570-fe19-d4630fcd769d</v>
    <v>en-US</v>
    <v>Map</v>
  </rv>
  <rv s="1">
    <v>536870912</v>
    <v>Saint Joseph, Barbados</v>
    <v>68127762-436c-50d7-25a6-754a007bae55</v>
    <v>en-US</v>
    <v>Map</v>
  </rv>
  <rv s="1">
    <v>536870912</v>
    <v>Saint Lucy, Barbados</v>
    <v>d15444b2-eb55-489a-6a46-41e8ad74396b</v>
    <v>en-US</v>
    <v>Map</v>
  </rv>
  <rv s="1">
    <v>536870912</v>
    <v>Saint Michael, Barbados</v>
    <v>b2f4a190-39c5-0529-4189-5d7d23fe1b25</v>
    <v>en-US</v>
    <v>Map</v>
  </rv>
  <rv s="1">
    <v>536870912</v>
    <v>Saint Peter, Barbados</v>
    <v>72a35400-476e-b0e1-6498-54a19b5ef9bb</v>
    <v>en-US</v>
    <v>Map</v>
  </rv>
  <rv s="1">
    <v>536870912</v>
    <v>Saint Philip, Barbados</v>
    <v>43956f66-2934-f687-c1f5-9ca91fb65e94</v>
    <v>en-US</v>
    <v>Map</v>
  </rv>
  <rv s="1">
    <v>536870912</v>
    <v>Saint Thomas, Barbados</v>
    <v>856ea0fe-683d-ede2-2b1f-33722197893c</v>
    <v>en-US</v>
    <v>Map</v>
  </rv>
  <rv s="3">
    <v>65</v>
  </rv>
  <rv s="0">
    <fb>0.27494456583850901</fb>
    <v>28</v>
  </rv>
  <rv s="0">
    <fb>0.35600000000000004</fb>
    <v>28</v>
  </rv>
  <rv s="0">
    <fb>0.10331000328064001</fb>
    <v>35</v>
  </rv>
  <rv s="0">
    <fb>89431</fb>
    <v>9</v>
  </rv>
  <rv s="21">
    <v>#VALUE!</v>
    <v>en-US</v>
    <v>9f89dfaf-5d55-0b9a-df17-7ed2831787b1</v>
    <v>536870912</v>
    <v>1</v>
    <v>163</v>
    <v>164</v>
    <v>Barbados</v>
    <v>5</v>
    <v>6</v>
    <v>Map</v>
    <v>7</v>
    <v>165</v>
    <v>BB</v>
    <v>966</v>
    <v>967</v>
    <v>817</v>
    <v>968</v>
    <v>969</v>
    <v>956</v>
    <v>970</v>
    <v>971</v>
    <v>972</v>
    <v>BBD</v>
    <v>Barbados is an island country in the Atlantic Ocean. It is part of the Lesser Antilles region of the West Indies. Despite not bordering the Caribbean Sea, it is considered to be part of the Caribbean region and is therefore the most easterly of ...</v>
    <v>973</v>
    <v>974</v>
    <v>434</v>
    <v>975</v>
    <v>976</v>
    <v>977</v>
    <v>978</v>
    <v>979</v>
    <v>980</v>
    <v>956</v>
    <v>983</v>
    <v>984</v>
    <v>985</v>
    <v>986</v>
    <v>987</v>
    <v>988</v>
    <v>Barbados</v>
    <v>In Plenty and In Time of Need</v>
    <v>989</v>
    <v>Barbados</v>
    <v>990</v>
    <v>991</v>
    <v>992</v>
    <v>993</v>
    <v>1005</v>
    <v>1006</v>
    <v>462</v>
    <v>1007</v>
    <v>1008</v>
    <v>Barbados</v>
    <v>1009</v>
    <v>mdp/vdpid/18</v>
  </rv>
  <rv s="1">
    <v>536870912</v>
    <v>Minsk</v>
    <v>7d5fe25b-a082-1bd8-278a-66d1e889c777</v>
    <v>en-US</v>
    <v>Map</v>
  </rv>
  <rv s="0">
    <fb>409.5</fb>
    <v>9</v>
  </rv>
  <rv s="1">
    <v>536870912</v>
    <v>Belarus</v>
    <v>70f0e4f4-4cfb-8ee3-cfe6-041ba6b221bc</v>
    <v>en-US</v>
    <v>Map</v>
  </rv>
  <rv s="2">
    <v>28</v>
    <v>7</v>
    <v>166</v>
    <v>7</v>
    <v>0</v>
    <v>Image of Minsk</v>
  </rv>
  <rv s="1">
    <v>805306368</v>
    <v>Vladimir Kukharev (Chairman)</v>
    <v>a61ca814-6f96-00aa-5e6a-9c999e3043d7</v>
    <v>en-US</v>
    <v>Generic</v>
  </rv>
  <rv s="3">
    <v>66</v>
  </rv>
  <rv s="4">
    <v>https://www.bing.com/search?q=minsk&amp;form=skydnc</v>
    <v>Learn more on Bing</v>
  </rv>
  <rv s="3">
    <v>67</v>
  </rv>
  <rv s="0">
    <fb>1992862</fb>
    <v>9</v>
  </rv>
  <rv s="3">
    <v>68</v>
  </rv>
  <rv s="18">
    <v>#VALUE!</v>
    <v>en-US</v>
    <v>7d5fe25b-a082-1bd8-278a-66d1e889c777</v>
    <v>536870912</v>
    <v>1</v>
    <v>168</v>
    <v>124</v>
    <v>Minsk</v>
    <v>5</v>
    <v>6</v>
    <v>Map</v>
    <v>7</v>
    <v>169</v>
    <v>BY-HM</v>
    <v>1012</v>
    <v>1013</v>
    <v>Minsk is the capital and largest city of Belarus, located on the Svislach and the now subterranean Niamiha rivers. As the capital, Minsk has a special administrative status in Belarus and is the administrative centre of Minsk region and Minsk ...</v>
    <v>1014</v>
    <v>1016</v>
    <v>1017</v>
    <v>Minsk</v>
    <v>1018</v>
    <v>1019</v>
    <v>1020</v>
    <v>Minsk</v>
    <v>mdp/vdpid/7044725566661984257</v>
  </rv>
  <rv s="0">
    <fb>0.42035489126993902</fb>
    <v>28</v>
  </rv>
  <rv s="0">
    <fb>207595</fb>
    <v>9</v>
  </rv>
  <rv s="0">
    <fb>155000</fb>
    <v>9</v>
  </rv>
  <rv s="0">
    <fb>9.9</fb>
    <v>29</v>
  </rv>
  <rv s="0">
    <fb>375</fb>
    <v>30</v>
  </rv>
  <rv s="0">
    <fb>58279.631000000001</fb>
    <v>9</v>
  </rv>
  <rv s="0">
    <fb>5.5981559503985298E-2</fb>
    <v>28</v>
  </rv>
  <rv s="0">
    <fb>3679.9788400688999</fb>
    <v>9</v>
  </rv>
  <rv s="0">
    <fb>1.448</fb>
    <v>29</v>
  </rv>
  <rv s="0">
    <fb>0.426301064968239</fb>
    <v>28</v>
  </rv>
  <rv s="0">
    <fb>92.440375016529202</fb>
    <v>34</v>
  </rv>
  <rv s="0">
    <fb>0.6</fb>
    <v>32</v>
  </rv>
  <rv s="0">
    <fb>63080457022.659897</fb>
    <v>33</v>
  </rv>
  <rv s="0">
    <fb>1.0050021</fb>
    <v>28</v>
  </rv>
  <rv s="0">
    <fb>0.87429089999999998</fb>
    <v>28</v>
  </rv>
  <rv s="2">
    <v>29</v>
    <v>7</v>
    <v>171</v>
    <v>7</v>
    <v>0</v>
    <v>Image of Belarus</v>
  </rv>
  <rv s="0">
    <fb>2.6</fb>
    <v>34</v>
  </rv>
  <rv s="1">
    <v>805306368</v>
    <v>Alexander Lukashenko (President)</v>
    <v>f1271f40-73e7-294e-b707-41d58d186567</v>
    <v>en-US</v>
    <v>Generic</v>
  </rv>
  <rv s="1">
    <v>805306368</v>
    <v>Roman Golovchenko (Prime minister)</v>
    <v>f89a4639-2085-75fc-b82e-1c5fef33b78e</v>
    <v>en-US</v>
    <v>Generic</v>
  </rv>
  <rv s="3">
    <v>69</v>
  </rv>
  <rv s="4">
    <v>https://www.bing.com/search?q=belarus&amp;form=skydnc</v>
    <v>Learn more on Bing</v>
  </rv>
  <rv s="0">
    <fb>74.1756097560976</fb>
    <v>34</v>
  </rv>
  <rv s="0">
    <fb>0</fb>
    <v>33</v>
  </rv>
  <rv s="0">
    <fb>2</fb>
    <v>34</v>
  </rv>
  <rv s="0">
    <fb>1.49</fb>
    <v>32</v>
  </rv>
  <rv s="0">
    <fb>0.34543326620000003</fb>
    <v>28</v>
  </rv>
  <rv s="0">
    <fb>5.1905000000000001</fb>
    <v>29</v>
  </rv>
  <rv s="0">
    <fb>9208701</fb>
    <v>9</v>
  </rv>
  <rv s="0">
    <fb>0.35499999999999998</fb>
    <v>28</v>
  </rv>
  <rv s="0">
    <fb>4.2999999999999997E-2</fb>
    <v>28</v>
  </rv>
  <rv s="0">
    <fb>0.10099999999999999</fb>
    <v>28</v>
  </rv>
  <rv s="0">
    <fb>0.14400000000000002</fb>
    <v>28</v>
  </rv>
  <rv s="0">
    <fb>0.17800000000000002</fb>
    <v>28</v>
  </rv>
  <rv s="0">
    <fb>0.64130996704101606</fb>
    <v>28</v>
  </rv>
  <rv s="1">
    <v>536870912</v>
    <v>Brest region</v>
    <v>6c3c6abd-ba6c-bc21-19c7-ffa8180a1ebb</v>
    <v>en-US</v>
    <v>Map</v>
  </rv>
  <rv s="1">
    <v>536870912</v>
    <v>Gomel region</v>
    <v>fc2c550e-f347-af1e-a7dd-2fe62699a809</v>
    <v>en-US</v>
    <v>Map</v>
  </rv>
  <rv s="1">
    <v>536870912</v>
    <v>Grodno region</v>
    <v>f0c3d29f-07a8-efbf-d4a0-27f6b7cb3db7</v>
    <v>en-US</v>
    <v>Map</v>
  </rv>
  <rv s="1">
    <v>536870912</v>
    <v>Mogilev region</v>
    <v>3f19e5be-9876-46bf-46d4-862f70521fbb</v>
    <v>en-US</v>
    <v>Map</v>
  </rv>
  <rv s="1">
    <v>536870912</v>
    <v>Minsk region</v>
    <v>ffb2e5af-d28b-f746-5de3-97cae92a9146</v>
    <v>en-US</v>
    <v>Map</v>
  </rv>
  <rv s="1">
    <v>536870912</v>
    <v>Vitebsk region</v>
    <v>6de767f2-c556-bb0e-4e0d-d574e233a67e</v>
    <v>en-US</v>
    <v>Map</v>
  </rv>
  <rv s="3">
    <v>70</v>
  </rv>
  <rv s="0">
    <fb>0.14672568969838901</fb>
    <v>28</v>
  </rv>
  <rv s="0">
    <fb>0.53299999999999992</fb>
    <v>28</v>
  </rv>
  <rv s="0">
    <fb>4.5949997901916506E-2</fb>
    <v>35</v>
  </rv>
  <rv s="0">
    <fb>7482982</fb>
    <v>9</v>
  </rv>
  <rv s="22">
    <v>#VALUE!</v>
    <v>en-US</v>
    <v>70f0e4f4-4cfb-8ee3-cfe6-041ba6b221bc</v>
    <v>536870912</v>
    <v>1</v>
    <v>174</v>
    <v>175</v>
    <v>Belarus</v>
    <v>5</v>
    <v>6</v>
    <v>Map</v>
    <v>7</v>
    <v>176</v>
    <v>BY</v>
    <v>1022</v>
    <v>1023</v>
    <v>1024</v>
    <v>1025</v>
    <v>1026</v>
    <v>1011</v>
    <v>1027</v>
    <v>1028</v>
    <v>BYN</v>
    <v>Belarus, officially the Republic of Belarus, is a landlocked country in Eastern Europe. It is bordered by Russia to the east and northeast, Ukraine to the south, Poland to the west, and Lithuania and Latvia to the northwest. Belarus spans an ...</v>
    <v>1029</v>
    <v>1030</v>
    <v>1031</v>
    <v>1032</v>
    <v>1033</v>
    <v>1034</v>
    <v>1035</v>
    <v>1036</v>
    <v>1037</v>
    <v>1038</v>
    <v>1011</v>
    <v>1041</v>
    <v>1042</v>
    <v>1043</v>
    <v>1044</v>
    <v>1045</v>
    <v>1046</v>
    <v>Belarus</v>
    <v>My Belarusy</v>
    <v>1018</v>
    <v>Беларусь</v>
    <v>1047</v>
    <v>1048</v>
    <v>1049</v>
    <v>240</v>
    <v>935</v>
    <v>1050</v>
    <v>1051</v>
    <v>1052</v>
    <v>1053</v>
    <v>1054</v>
    <v>1055</v>
    <v>1062</v>
    <v>1063</v>
    <v>1020</v>
    <v>1064</v>
    <v>1065</v>
    <v>Belarus</v>
    <v>1066</v>
    <v>mdp/vdpid/29</v>
  </rv>
  <rv s="1">
    <v>536870912</v>
    <v>City of Brussels</v>
    <v>95e13b04-adba-5f35-d2c5-f828990ca1fd</v>
    <v>en-US</v>
    <v>Map</v>
  </rv>
  <rv s="1">
    <v>536870912</v>
    <v>Brussels</v>
    <v>f77206fd-fe4f-6c8e-5588-1d0651b151ea</v>
    <v>en-US</v>
    <v>Map</v>
  </rv>
  <rv s="1">
    <v>536870912</v>
    <v>Arrondissement of Brussels-Capital</v>
    <v>c5e948d9-332f-8819-7d62-0625a011f9e7</v>
    <v>en-US</v>
    <v>Map</v>
  </rv>
  <rv s="0">
    <fb>33.08</fb>
    <v>9</v>
  </rv>
  <rv s="1">
    <v>536870912</v>
    <v>Belgium</v>
    <v>ac5bcc34-e1cd-2e76-9d31-fb1be1159a5e</v>
    <v>en-US</v>
    <v>Map</v>
  </rv>
  <rv s="2">
    <v>30</v>
    <v>7</v>
    <v>177</v>
    <v>7</v>
    <v>0</v>
    <v>Image of City of Brussels</v>
  </rv>
  <rv s="1">
    <v>805306368</v>
    <v>Philippe Close (Mayor)</v>
    <v>c89248f3-a3f5-c275-8343-3e1742689df0</v>
    <v>en-US</v>
    <v>Generic</v>
  </rv>
  <rv s="3">
    <v>71</v>
  </rv>
  <rv s="4">
    <v>https://www.bing.com/search?q=city+of+brussels&amp;form=skydnc</v>
    <v>Learn more on Bing</v>
  </rv>
  <rv s="0">
    <fb>188737</fb>
    <v>9</v>
  </rv>
  <rv s="23">
    <v>#VALUE!</v>
    <v>en-US</v>
    <v>95e13b04-adba-5f35-d2c5-f828990ca1fd</v>
    <v>536870912</v>
    <v>1</v>
    <v>178</v>
    <v>179</v>
    <v>City of Brussels</v>
    <v>5</v>
    <v>6</v>
    <v>Map</v>
    <v>7</v>
    <v>61</v>
    <v>1069</v>
    <v>1070</v>
    <v>1071</v>
    <v>1072</v>
    <v>The City of Brussels is the largest municipality and historical centre of the Brussels-Capital Region, as well as the capital of the Flemish Region and Belgium. The City of Brussels is also the administrative centre of the European Union, as it ...</v>
    <v>1073</v>
    <v>2</v>
    <v>1075</v>
    <v>1076</v>
    <v>3</v>
    <v>City of Brussels</v>
    <v>1077</v>
    <v>City of Brussels</v>
    <v>mdp/vdpid/7009802545547706369</v>
  </rv>
  <rv s="0">
    <fb>0.44610305443465298</fb>
    <v>28</v>
  </rv>
  <rv s="0">
    <fb>30688</fb>
    <v>9</v>
  </rv>
  <rv s="0">
    <fb>32000</fb>
    <v>9</v>
  </rv>
  <rv s="0">
    <fb>10.3</fb>
    <v>29</v>
  </rv>
  <rv s="0">
    <fb>32</fb>
    <v>30</v>
  </rv>
  <rv s="0">
    <fb>96889.474000000002</fb>
    <v>9</v>
  </rv>
  <rv s="0">
    <fb>117.11045718797099</fb>
    <v>31</v>
  </rv>
  <rv s="0">
    <fb>1.43681956996435E-2</fb>
    <v>28</v>
  </rv>
  <rv s="0">
    <fb>7709.1230778824702</fb>
    <v>9</v>
  </rv>
  <rv s="0">
    <fb>1.62</fb>
    <v>29</v>
  </rv>
  <rv s="0">
    <fb>0.22583884638555801</fb>
    <v>28</v>
  </rv>
  <rv s="0">
    <fb>75.870784353682396</fb>
    <v>34</v>
  </rv>
  <rv s="0">
    <fb>1.43</fb>
    <v>32</v>
  </rv>
  <rv s="0">
    <fb>529606710418.03802</fb>
    <v>33</v>
  </rv>
  <rv s="0">
    <fb>1.0390557</fb>
    <v>28</v>
  </rv>
  <rv s="0">
    <fb>0.79661730000000008</fb>
    <v>28</v>
  </rv>
  <rv s="2">
    <v>31</v>
    <v>7</v>
    <v>181</v>
    <v>7</v>
    <v>0</v>
    <v>Image of Belgium</v>
  </rv>
  <rv s="0">
    <fb>2.9</fb>
    <v>34</v>
  </rv>
  <rv s="1">
    <v>805306368</v>
    <v>Philippe of Belgium (Monarch)</v>
    <v>a665fab7-fb7f-7057-7ae8-bfd895ec6e4d</v>
    <v>en-US</v>
    <v>Generic</v>
  </rv>
  <rv s="1">
    <v>805306368</v>
    <v>Bart De Wever (Prime minister)</v>
    <v>b612ad4e-f70e-98c6-7b14-c49f120304f0</v>
    <v>en-US</v>
    <v>Generic</v>
  </rv>
  <rv s="3">
    <v>72</v>
  </rv>
  <rv s="4">
    <v>https://www.bing.com/search?q=belgium&amp;form=skydnc</v>
    <v>Learn more on Bing</v>
  </rv>
  <rv s="0">
    <fb>81.595121951219497</fb>
    <v>34</v>
  </rv>
  <rv s="0">
    <fb>321093542983.70203</fb>
    <v>33</v>
  </rv>
  <rv s="0">
    <fb>10.31</fb>
    <v>32</v>
  </rv>
  <rv s="3">
    <v>73</v>
  </rv>
  <rv s="0">
    <fb>0.17567192210000002</fb>
    <v>28</v>
  </rv>
  <rv s="0">
    <fb>3.0709</fb>
    <v>29</v>
  </rv>
  <rv s="0">
    <fb>11669446</fb>
    <v>9</v>
  </rv>
  <rv s="0">
    <fb>0.22699999999999998</fb>
    <v>28</v>
  </rv>
  <rv s="0">
    <fb>0.21899999999999997</fb>
    <v>28</v>
  </rv>
  <rv s="0">
    <fb>0.36299999999999999</fb>
    <v>28</v>
  </rv>
  <rv s="0">
    <fb>8.6999999999999994E-2</fb>
    <v>28</v>
  </rv>
  <rv s="0">
    <fb>0.14199999999999999</fb>
    <v>28</v>
  </rv>
  <rv s="0">
    <fb>0.18100000000000002</fb>
    <v>28</v>
  </rv>
  <rv s="0">
    <fb>0.53562000274658206</fb>
    <v>28</v>
  </rv>
  <rv s="1">
    <v>536870912</v>
    <v>Flemish Region</v>
    <v>f250b992-acb5-d7d5-db4f-47fb684176fd</v>
    <v>en-US</v>
    <v>Map</v>
  </rv>
  <rv s="1">
    <v>536870912</v>
    <v>Wallonia</v>
    <v>077dc74d-75df-1a0d-c05f-5dc9a9747925</v>
    <v>en-US</v>
    <v>Map</v>
  </rv>
  <rv s="3">
    <v>74</v>
  </rv>
  <rv s="0">
    <fb>0.23994106172459101</fb>
    <v>28</v>
  </rv>
  <rv s="3">
    <v>75</v>
  </rv>
  <rv s="0">
    <fb>0.55399999999999994</fb>
    <v>28</v>
  </rv>
  <rv s="0">
    <fb>5.5890002250671394E-2</fb>
    <v>35</v>
  </rv>
  <rv s="0">
    <fb>11259082</fb>
    <v>9</v>
  </rv>
  <rv s="9">
    <v>#VALUE!</v>
    <v>en-US</v>
    <v>ac5bcc34-e1cd-2e76-9d31-fb1be1159a5e</v>
    <v>536870912</v>
    <v>1</v>
    <v>184</v>
    <v>55</v>
    <v>Belgium</v>
    <v>5</v>
    <v>6</v>
    <v>Map</v>
    <v>7</v>
    <v>185</v>
    <v>BE</v>
    <v>1079</v>
    <v>1080</v>
    <v>1081</v>
    <v>1082</v>
    <v>1083</v>
    <v>1068</v>
    <v>1084</v>
    <v>1085</v>
    <v>1086</v>
    <v>EUR</v>
    <v>Belgium, officially the Kingdom of Belgium, is a country in Northwestern Europe. Situated in a coastal lowland region known as the Low Countries, it is bordered by the Netherlands to the north, Germany to the east, Luxembourg to the southeast, ...</v>
    <v>1087</v>
    <v>1088</v>
    <v>1089</v>
    <v>1090</v>
    <v>1091</v>
    <v>1092</v>
    <v>1093</v>
    <v>1094</v>
    <v>1095</v>
    <v>1096</v>
    <v>1069</v>
    <v>1099</v>
    <v>1100</v>
    <v>1101</v>
    <v>1102</v>
    <v>440</v>
    <v>1103</v>
    <v>Belgium</v>
    <v>La Brabançonne</v>
    <v>1104</v>
    <v>Königreich Belgien</v>
    <v>1105</v>
    <v>1106</v>
    <v>1107</v>
    <v>1108</v>
    <v>1109</v>
    <v>1110</v>
    <v>587</v>
    <v>1111</v>
    <v>1112</v>
    <v>1113</v>
    <v>1114</v>
    <v>1117</v>
    <v>1118</v>
    <v>1119</v>
    <v>1120</v>
    <v>1121</v>
    <v>Belgium</v>
    <v>1122</v>
    <v>mdp/vdpid/21</v>
  </rv>
  <rv s="1">
    <v>536870912</v>
    <v>Belmopan</v>
    <v>dad1dd30-ed1c-0202-05ab-669ad8919a90</v>
    <v>en-US</v>
    <v>Map</v>
  </rv>
  <rv s="1">
    <v>536870912</v>
    <v>Cayo District</v>
    <v>1347ac81-8a46-0687-d9ce-4a2f24ebb647</v>
    <v>en-US</v>
    <v>Map</v>
  </rv>
  <rv s="0">
    <fb>32.78</fb>
    <v>9</v>
  </rv>
  <rv s="1">
    <v>536870912</v>
    <v>Belize</v>
    <v>eae59045-3e7c-550b-bf09-43e8fa37d86c</v>
    <v>en-US</v>
    <v>Map</v>
  </rv>
  <rv s="2">
    <v>32</v>
    <v>7</v>
    <v>187</v>
    <v>7</v>
    <v>0</v>
    <v>Image of Belmopan</v>
  </rv>
  <rv s="0">
    <fb>17.25</fb>
    <v>0</v>
  </rv>
  <rv s="1">
    <v>805306368</v>
    <v>Khalid Belisle (Mayor)</v>
    <v>7ff9b227-1fe4-c67d-e82c-afe062d679a1</v>
    <v>en-US</v>
    <v>Generic</v>
  </rv>
  <rv s="3">
    <v>76</v>
  </rv>
  <rv s="4">
    <v>https://www.bing.com/search?q=belmopan&amp;form=skydnc</v>
    <v>Learn more on Bing</v>
  </rv>
  <rv s="0">
    <fb>-88.767499999999998</fb>
    <v>0</v>
  </rv>
  <rv s="0">
    <fb>17222</fb>
    <v>9</v>
  </rv>
  <rv s="24">
    <v>#VALUE!</v>
    <v>en-US</v>
    <v>dad1dd30-ed1c-0202-05ab-669ad8919a90</v>
    <v>536870912</v>
    <v>1</v>
    <v>188</v>
    <v>189</v>
    <v>Belmopan</v>
    <v>5</v>
    <v>6</v>
    <v>Map</v>
    <v>7</v>
    <v>190</v>
    <v>1125</v>
    <v>1126</v>
    <v>1127</v>
    <v>Belmopan is the capital city of Belize. Its population in 2010 was 16,451. In addition to being the smallest capital city in the continental Americas by population, Belmopan is the third-largest settlement in Belize, behind Belize City and San ...</v>
    <v>1128</v>
    <v>1129</v>
    <v>1131</v>
    <v>1132</v>
    <v>1133</v>
    <v>Belmopan</v>
    <v>1134</v>
    <v>Belmopan</v>
    <v>mdp/vdpid/5549962981049106433</v>
  </rv>
  <rv s="0">
    <fb>7.0144673388864501E-2</fb>
    <v>28</v>
  </rv>
  <rv s="0">
    <fb>22966</fb>
    <v>9</v>
  </rv>
  <rv s="0">
    <fb>2000</fb>
    <v>9</v>
  </rv>
  <rv s="0">
    <fb>20.786000000000001</fb>
    <v>29</v>
  </rv>
  <rv s="0">
    <fb>501</fb>
    <v>30</v>
  </rv>
  <rv s="0">
    <fb>568.38499999999999</fb>
    <v>9</v>
  </rv>
  <rv s="0">
    <fb>105.677036031274</fb>
    <v>31</v>
  </rv>
  <rv s="0">
    <fb>-8.8528155199999996E-3</fb>
    <v>28</v>
  </rv>
  <rv s="0">
    <fb>2.3069999999999999</fb>
    <v>29</v>
  </rv>
  <rv s="0">
    <fb>0.59679089403633501</fb>
    <v>28</v>
  </rv>
  <rv s="0">
    <fb>1.1299999999999999</fb>
    <v>32</v>
  </rv>
  <rv s="0">
    <fb>1879613600</fb>
    <v>33</v>
  </rv>
  <rv s="0">
    <fb>1.1169688</fb>
    <v>28</v>
  </rv>
  <rv s="0">
    <fb>0.24656639999999999</fb>
    <v>28</v>
  </rv>
  <rv s="2">
    <v>33</v>
    <v>7</v>
    <v>192</v>
    <v>7</v>
    <v>0</v>
    <v>Image of Belize</v>
  </rv>
  <rv s="0">
    <fb>11.2</fb>
    <v>34</v>
  </rv>
  <rv s="1">
    <v>536870912</v>
    <v>Belize City</v>
    <v>8f0e9015-6b2a-49be-e880-840892d4b61b</v>
    <v>en-US</v>
    <v>Map</v>
  </rv>
  <rv s="1">
    <v>805306368</v>
    <v>Johnny Briceño (Prime minister)</v>
    <v>fc266a28-f4c6-9adf-b1d7-26c8c0c93f25</v>
    <v>en-US</v>
    <v>Generic</v>
  </rv>
  <rv s="3">
    <v>77</v>
  </rv>
  <rv s="4">
    <v>https://www.bing.com/search?q=belize&amp;form=skydnc</v>
    <v>Learn more on Bing</v>
  </rv>
  <rv s="0">
    <fb>74.495999999999995</fb>
    <v>34</v>
  </rv>
  <rv s="0">
    <fb>36</fb>
    <v>34</v>
  </rv>
  <rv s="0">
    <fb>1.65</fb>
    <v>32</v>
  </rv>
  <rv s="3">
    <v>78</v>
  </rv>
  <rv s="0">
    <fb>0.22653518250000002</fb>
    <v>28</v>
  </rv>
  <rv s="0">
    <fb>1.1229</fb>
    <v>29</v>
  </rv>
  <rv s="0">
    <fb>405272</fb>
    <v>9</v>
  </rv>
  <rv s="0">
    <fb>0.19399999999999998</fb>
    <v>28</v>
  </rv>
  <rv s="0">
    <fb>0.42399999999999999</fb>
    <v>28</v>
  </rv>
  <rv s="0">
    <fb>0.57700000000000007</fb>
    <v>28</v>
  </rv>
  <rv s="0">
    <fb>9.0000000000000011E-3</fb>
    <v>28</v>
  </rv>
  <rv s="0">
    <fb>3.2000000000000001E-2</fb>
    <v>28</v>
  </rv>
  <rv s="0">
    <fb>0.65055999755859406</fb>
    <v>28</v>
  </rv>
  <rv s="1">
    <v>536870912</v>
    <v>Belize District</v>
    <v>409b313f-3766-80d5-7bad-2ef05a3772d5</v>
    <v>en-US</v>
    <v>Map</v>
  </rv>
  <rv s="1">
    <v>536870912</v>
    <v>Corozal District</v>
    <v>08cc89bc-1318-db5b-d64f-3824ae1c2826</v>
    <v>en-US</v>
    <v>Map</v>
  </rv>
  <rv s="1">
    <v>536870912</v>
    <v>Orange Walk District</v>
    <v>e2c07473-b05a-03ba-cac3-f4fa1fba9ea1</v>
    <v>en-US</v>
    <v>Map</v>
  </rv>
  <rv s="1">
    <v>536870912</v>
    <v>Stann Creek District</v>
    <v>1c03201e-86fb-790c-6d28-ad109e2e7b5e</v>
    <v>en-US</v>
    <v>Map</v>
  </rv>
  <rv s="1">
    <v>536870912</v>
    <v>Toledo District</v>
    <v>c3c6b98d-3c9e-a32e-5a63-37509945ac40</v>
    <v>en-US</v>
    <v>Map</v>
  </rv>
  <rv s="3">
    <v>79</v>
  </rv>
  <rv s="0">
    <fb>0.26337913307198102</fb>
    <v>28</v>
  </rv>
  <rv s="3">
    <v>80</v>
  </rv>
  <rv s="0">
    <fb>0.311</fb>
    <v>28</v>
  </rv>
  <rv s="0">
    <fb>6.41300010681152E-2</fb>
    <v>35</v>
  </rv>
  <rv s="0">
    <fb>179039</fb>
    <v>9</v>
  </rv>
  <rv s="25">
    <v>#VALUE!</v>
    <v>en-US</v>
    <v>eae59045-3e7c-550b-bf09-43e8fa37d86c</v>
    <v>536870912</v>
    <v>1</v>
    <v>195</v>
    <v>196</v>
    <v>Belize</v>
    <v>5</v>
    <v>6</v>
    <v>Map</v>
    <v>7</v>
    <v>197</v>
    <v>BZ</v>
    <v>1136</v>
    <v>1137</v>
    <v>1138</v>
    <v>1139</v>
    <v>1140</v>
    <v>1124</v>
    <v>1141</v>
    <v>1142</v>
    <v>1143</v>
    <v>BZD</v>
    <v>Belize is a country on the north-eastern coast of Central America. It is bordered by Mexico to the north, the Caribbean Sea to the east, and Guatemala to the west and south. It also shares a maritime boundary with Honduras to the southeast. ...</v>
    <v>1144</v>
    <v>1145</v>
    <v>434</v>
    <v>1146</v>
    <v>1147</v>
    <v>1148</v>
    <v>1149</v>
    <v>1150</v>
    <v>1151</v>
    <v>1152</v>
    <v>1154</v>
    <v>1155</v>
    <v>1156</v>
    <v>1157</v>
    <v>1158</v>
    <v>Belize</v>
    <v>Land of the Free</v>
    <v>1159</v>
    <v>Belize</v>
    <v>1160</v>
    <v>1161</v>
    <v>1162</v>
    <v>1163</v>
    <v>1164</v>
    <v>1165</v>
    <v>1166</v>
    <v>1167</v>
    <v>387</v>
    <v>177</v>
    <v>1168</v>
    <v>1174</v>
    <v>1175</v>
    <v>1176</v>
    <v>1177</v>
    <v>1178</v>
    <v>Belize</v>
    <v>1179</v>
    <v>mdp/vdpid/24</v>
  </rv>
  <rv s="1">
    <v>536870912</v>
    <v>Porto-Novo</v>
    <v>03bd3c55-9557-8577-e456-672fc53d7d5d</v>
    <v>en-US</v>
    <v>Map</v>
  </rv>
  <rv s="1">
    <v>536870912</v>
    <v>Ouémé Department</v>
    <v>4947cc35-3581-1570-acd5-e90f9cb6f1fc</v>
    <v>en-US</v>
    <v>Map</v>
  </rv>
  <rv s="0">
    <fb>52</fb>
    <v>9</v>
  </rv>
  <rv s="1">
    <v>536870912</v>
    <v>Benin</v>
    <v>fd7f79df-e6ce-a0dc-2a07-c156019e62e4</v>
    <v>en-US</v>
    <v>Map</v>
  </rv>
  <rv s="2">
    <v>34</v>
    <v>7</v>
    <v>198</v>
    <v>7</v>
    <v>0</v>
    <v>Image of Porto-Novo</v>
  </rv>
  <rv s="0">
    <fb>6.4833333333332996</fb>
    <v>0</v>
  </rv>
  <rv s="1">
    <v>805306368</v>
    <v>Emmanuel Zossou (Mayor)</v>
    <v>83bc7bcb-782f-d286-24df-07a192e95f2b</v>
    <v>en-US</v>
    <v>Generic</v>
  </rv>
  <rv s="3">
    <v>81</v>
  </rv>
  <rv s="4">
    <v>https://www.bing.com/search?q=porto-novo&amp;form=skydnc</v>
    <v>Learn more on Bing</v>
  </rv>
  <rv s="0">
    <fb>2.6166666666667</fb>
    <v>0</v>
  </rv>
  <rv s="0">
    <fb>264320</fb>
    <v>9</v>
  </rv>
  <rv s="3">
    <v>82</v>
  </rv>
  <rv s="5">
    <v>#VALUE!</v>
    <v>en-US</v>
    <v>03bd3c55-9557-8577-e456-672fc53d7d5d</v>
    <v>536870912</v>
    <v>1</v>
    <v>199</v>
    <v>3</v>
    <v>Porto-Novo</v>
    <v>5</v>
    <v>6</v>
    <v>Map</v>
    <v>7</v>
    <v>190</v>
    <v>1182</v>
    <v>1182</v>
    <v>1183</v>
    <v>1184</v>
    <v>Porto-Novo is the capital and second-largest city of Benin. The commune covers an area of 110 square kilometres and as of 2002 had a population of 223,552 people. Situated on an inlet of the Gulf of Guinea, in the southeastern portion of the ...</v>
    <v>1185</v>
    <v>1186</v>
    <v>1188</v>
    <v>1189</v>
    <v>1190</v>
    <v>Porto-Novo</v>
    <v>1191</v>
    <v>1192</v>
    <v>Porto-Novo</v>
    <v>mdp/vdpid/7297446184220622849</v>
  </rv>
  <rv s="0">
    <fb>0.33256473926924401</fb>
    <v>28</v>
  </rv>
  <rv s="0">
    <fb>114763</fb>
    <v>9</v>
  </rv>
  <rv s="0">
    <fb>12000</fb>
    <v>9</v>
  </rv>
  <rv s="0">
    <fb>36.220999999999997</fb>
    <v>29</v>
  </rv>
  <rv s="0">
    <fb>229</fb>
    <v>30</v>
  </rv>
  <rv s="0">
    <fb>6475.9219999999996</fb>
    <v>9</v>
  </rv>
  <rv s="0">
    <fb>110.709095484763</fb>
    <v>31</v>
  </rv>
  <rv s="0">
    <fb>-9.1568157286491501E-3</fb>
    <v>28</v>
  </rv>
  <rv s="0">
    <fb>100.22512254003701</fb>
    <v>9</v>
  </rv>
  <rv s="0">
    <fb>4.8360000000000003</fb>
    <v>29</v>
  </rv>
  <rv s="0">
    <fb>0.37788222774033398</fb>
    <v>28</v>
  </rv>
  <rv s="0">
    <fb>36.724581325344801</fb>
    <v>34</v>
  </rv>
  <rv s="0">
    <fb>0.72</fb>
    <v>32</v>
  </rv>
  <rv s="0">
    <fb>14390709094.938601</fb>
    <v>33</v>
  </rv>
  <rv s="0">
    <fb>1.2195825</fb>
    <v>28</v>
  </rv>
  <rv s="0">
    <fb>0.12274139999999999</fb>
    <v>28</v>
  </rv>
  <rv s="2">
    <v>35</v>
    <v>7</v>
    <v>201</v>
    <v>7</v>
    <v>0</v>
    <v>Image of Benin</v>
  </rv>
  <rv s="0">
    <fb>60.5</fb>
    <v>34</v>
  </rv>
  <rv s="1">
    <v>536870912</v>
    <v>Cotonou</v>
    <v>e37489c6-6216-d1a1-37ca-5cae638b76ec</v>
    <v>en-US</v>
    <v>Map</v>
  </rv>
  <rv s="1">
    <v>805306368</v>
    <v>Patrice Talon (President)</v>
    <v>b498249c-19f7-8b16-c5e9-b04ebb10ad4c</v>
    <v>en-US</v>
    <v>Generic</v>
  </rv>
  <rv s="1">
    <v>805306368</v>
    <v>Mariam Chabi Talata (Vice president)</v>
    <v>5ec32b6d-9073-e9dd-41aa-55f2f98921f5</v>
    <v>en-US</v>
    <v>Generic</v>
  </rv>
  <rv s="3">
    <v>83</v>
  </rv>
  <rv s="4">
    <v>https://www.bing.com/search?q=benin&amp;form=skydnc</v>
    <v>Learn more on Bing</v>
  </rv>
  <rv s="0">
    <fb>61.47</fb>
    <v>34</v>
  </rv>
  <rv s="0">
    <fb>397</fb>
    <v>34</v>
  </rv>
  <rv s="0">
    <fb>0.39</fb>
    <v>32</v>
  </rv>
  <rv s="3">
    <v>84</v>
  </rv>
  <rv s="0">
    <fb>0.40496587409999996</fb>
    <v>28</v>
  </rv>
  <rv s="0">
    <fb>7.9100000000000004E-2</fb>
    <v>29</v>
  </rv>
  <rv s="0">
    <fb>13352864</fb>
    <v>9</v>
  </rv>
  <rv s="0">
    <fb>0.376</fb>
    <v>28</v>
  </rv>
  <rv s="0">
    <fb>0.52100000000000002</fb>
    <v>28</v>
  </rv>
  <rv s="0">
    <fb>0.01</fb>
    <v>28</v>
  </rv>
  <rv s="0">
    <fb>9.6000000000000002E-2</fb>
    <v>28</v>
  </rv>
  <rv s="0">
    <fb>0.70867996215820295</fb>
    <v>28</v>
  </rv>
  <rv s="1">
    <v>536870912</v>
    <v>Alibori Department</v>
    <v>548de0a8-8966-1755-3701-c53e579431e7</v>
    <v>en-US</v>
    <v>Map</v>
  </rv>
  <rv s="1">
    <v>536870912</v>
    <v>Atakora Department</v>
    <v>24b521e6-2d25-a462-1fe9-31d977f83cbc</v>
    <v>en-US</v>
    <v>Map</v>
  </rv>
  <rv s="1">
    <v>536870912</v>
    <v>Atlantique Department</v>
    <v>a8b1d989-46d7-9f32-6737-012b6e567663</v>
    <v>en-US</v>
    <v>Map</v>
  </rv>
  <rv s="1">
    <v>536870912</v>
    <v>Borgou Department</v>
    <v>5cdeafb1-70b0-340f-3163-b095d91c9070</v>
    <v>en-US</v>
    <v>Map</v>
  </rv>
  <rv s="1">
    <v>536870912</v>
    <v>Collines Department</v>
    <v>2c901451-7b35-4224-39b6-b63b4e9e4a40</v>
    <v>en-US</v>
    <v>Map</v>
  </rv>
  <rv s="1">
    <v>536870912</v>
    <v>Donga Department</v>
    <v>e5466c4e-b92f-6e2c-1e5c-9523dbff0711</v>
    <v>en-US</v>
    <v>Map</v>
  </rv>
  <rv s="1">
    <v>536870912</v>
    <v>Kouffo Department</v>
    <v>22b6a768-49f9-a3f3-dbc7-1ed882382e84</v>
    <v>en-US</v>
    <v>Map</v>
  </rv>
  <rv s="1">
    <v>536870912</v>
    <v>Littoral</v>
    <v>9cc1fd8f-e166-e7be-afff-ccd8b314a549</v>
    <v>en-US</v>
    <v>Map</v>
  </rv>
  <rv s="1">
    <v>536870912</v>
    <v>Mono Department</v>
    <v>b1530902-d753-87e7-7b71-cf5f5a134189</v>
    <v>en-US</v>
    <v>Map</v>
  </rv>
  <rv s="1">
    <v>536870912</v>
    <v>Plateau Department</v>
    <v>c84679b4-0b88-9a28-ef82-9cc7eb5b5020</v>
    <v>en-US</v>
    <v>Map</v>
  </rv>
  <rv s="1">
    <v>536870912</v>
    <v>Zou Department</v>
    <v>8269a0ab-0ce7-2ca6-aab4-ad95a7aa3717</v>
    <v>en-US</v>
    <v>Map</v>
  </rv>
  <rv s="3">
    <v>85</v>
  </rv>
  <rv s="0">
    <fb>0.10789142547378701</fb>
    <v>28</v>
  </rv>
  <rv s="3">
    <v>86</v>
  </rv>
  <rv s="0">
    <fb>0.48899999999999999</fb>
    <v>28</v>
  </rv>
  <rv s="0">
    <fb>2.2320001125335699E-2</fb>
    <v>35</v>
  </rv>
  <rv s="0">
    <fb>5648149</fb>
    <v>9</v>
  </rv>
  <rv s="8">
    <v>#VALUE!</v>
    <v>en-US</v>
    <v>fd7f79df-e6ce-a0dc-2a07-c156019e62e4</v>
    <v>536870912</v>
    <v>1</v>
    <v>204</v>
    <v>46</v>
    <v>Benin</v>
    <v>5</v>
    <v>6</v>
    <v>Map</v>
    <v>7</v>
    <v>205</v>
    <v>BJ</v>
    <v>1194</v>
    <v>1195</v>
    <v>1196</v>
    <v>1197</v>
    <v>1198</v>
    <v>1181</v>
    <v>1199</v>
    <v>1200</v>
    <v>1201</v>
    <v>XOF</v>
    <v>Benin, officially the Republic of Benin, is a country in West Africa. It was formerly known as Dahomey. It is bordered by Togo to the west, Nigeria to the east, Burkina Faso to the north-west, and Niger to the north-east. The majority of its ...</v>
    <v>1202</v>
    <v>1203</v>
    <v>1204</v>
    <v>1205</v>
    <v>1206</v>
    <v>1207</v>
    <v>1208</v>
    <v>1209</v>
    <v>1210</v>
    <v>1211</v>
    <v>1212</v>
    <v>1215</v>
    <v>1216</v>
    <v>1217</v>
    <v>1218</v>
    <v>1219</v>
    <v>Benin</v>
    <v>L'Aube nouvelle</v>
    <v>1220</v>
    <v>Bénin</v>
    <v>1221</v>
    <v>1222</v>
    <v>1223</v>
    <v>585</v>
    <v>1224</v>
    <v>1225</v>
    <v>1226</v>
    <v>1167</v>
    <v>1227</v>
    <v>1112</v>
    <v>1228</v>
    <v>1240</v>
    <v>1241</v>
    <v>1242</v>
    <v>1243</v>
    <v>1244</v>
    <v>Benin</v>
    <v>1245</v>
    <v>mdp/vdpid/28</v>
  </rv>
  <rv s="1">
    <v>536870912</v>
    <v>Thimphu</v>
    <v>f5d856a6-c9ae-0fff-5969-806e5a5604dd</v>
    <v>en-US</v>
    <v>Map</v>
  </rv>
  <rv s="1">
    <v>536870912</v>
    <v>Thimphu District</v>
    <v>a7c71886-c68c-6f9c-a46d-9fc6367e5384</v>
    <v>en-US</v>
    <v>Map</v>
  </rv>
  <rv s="0">
    <fb>27</fb>
    <v>9</v>
  </rv>
  <rv s="1">
    <v>536870912</v>
    <v>Bhutan</v>
    <v>10889457-0175-c510-019f-5ced6d4a02ed</v>
    <v>en-US</v>
    <v>Map</v>
  </rv>
  <rv s="2">
    <v>36</v>
    <v>7</v>
    <v>206</v>
    <v>7</v>
    <v>0</v>
    <v>Image of Thimphu</v>
  </rv>
  <rv s="0">
    <fb>27.471350000000001</fb>
    <v>0</v>
  </rv>
  <rv s="1">
    <v>805306368</v>
    <v>Jigme Khesar Namgyel Wangchuck (Druk Gyalpo)</v>
    <v>ec5101fc-706d-4df9-efb3-7290d7ea6c19</v>
    <v>en-US</v>
    <v>Generic</v>
  </rv>
  <rv s="3">
    <v>87</v>
  </rv>
  <rv s="4">
    <v>https://www.bing.com/search?q=thimphu&amp;form=skydnc</v>
    <v>Learn more on Bing</v>
  </rv>
  <rv s="0">
    <fb>89.633669999999995</fb>
    <v>0</v>
  </rv>
  <rv s="0">
    <fb>114551</fb>
    <v>9</v>
  </rv>
  <rv s="24">
    <v>#VALUE!</v>
    <v>en-US</v>
    <v>f5d856a6-c9ae-0fff-5969-806e5a5604dd</v>
    <v>536870912</v>
    <v>1</v>
    <v>207</v>
    <v>189</v>
    <v>Thimphu</v>
    <v>5</v>
    <v>6</v>
    <v>Map</v>
    <v>7</v>
    <v>148</v>
    <v>1248</v>
    <v>1249</v>
    <v>1250</v>
    <v>Thimphu is the capital and largest city of Bhutan. It is situated in the western central part of Bhutan, and the surrounding valley is one of Bhutan's dzongkhags, the Thimphu District. The ancient capital city of Punakha was replaced by Thimphu ...</v>
    <v>1251</v>
    <v>1252</v>
    <v>1254</v>
    <v>1255</v>
    <v>1256</v>
    <v>Thimphu</v>
    <v>1257</v>
    <v>Thimphu</v>
    <v>mdp/vdpid/7420451447143137281</v>
  </rv>
  <rv s="0">
    <fb>0.136063342409668</fb>
    <v>28</v>
  </rv>
  <rv s="0">
    <fb>38394</fb>
    <v>9</v>
  </rv>
  <rv s="0">
    <fb>6000</fb>
    <v>9</v>
  </rv>
  <rv s="0">
    <fb>17.259</fb>
    <v>29</v>
  </rv>
  <rv s="0">
    <fb>975</fb>
    <v>30</v>
  </rv>
  <rv s="0">
    <fb>1261.4480000000001</fb>
    <v>9</v>
  </rv>
  <rv s="0">
    <fb>167.18245868540899</fb>
    <v>31</v>
  </rv>
  <rv s="0">
    <fb>2.7258210430730401E-2</fb>
    <v>28</v>
  </rv>
  <rv s="0">
    <fb>1.9750000000000001</fb>
    <v>29</v>
  </rv>
  <rv s="0">
    <fb>0.72484536714605996</fb>
    <v>28</v>
  </rv>
  <rv s="0">
    <fb>0.98</fb>
    <v>32</v>
  </rv>
  <rv s="0">
    <fb>2446674101.3737001</fb>
    <v>33</v>
  </rv>
  <rv s="0">
    <fb>1.0013968</fb>
    <v>28</v>
  </rv>
  <rv s="0">
    <fb>0.15554509999999999</fb>
    <v>28</v>
  </rv>
  <rv s="2">
    <v>37</v>
    <v>7</v>
    <v>209</v>
    <v>7</v>
    <v>0</v>
    <v>Image of Bhutan</v>
  </rv>
  <rv s="0">
    <fb>24.8</fb>
    <v>34</v>
  </rv>
  <rv s="1">
    <v>805306368</v>
    <v>Tshering Tobgay (Prime minister)</v>
    <v>3ad3f5fa-8a0a-3d6d-d5c3-a0fd0f0700e0</v>
    <v>en-US</v>
    <v>Generic</v>
  </rv>
  <rv s="3">
    <v>88</v>
  </rv>
  <rv s="4">
    <v>https://www.bing.com/search?q=bhutan&amp;form=skydnc</v>
    <v>Learn more on Bing</v>
  </rv>
  <rv s="0">
    <fb>71.459999999999994</fb>
    <v>34</v>
  </rv>
  <rv s="0">
    <fb>183</fb>
    <v>34</v>
  </rv>
  <rv s="0">
    <fb>0.32</fb>
    <v>32</v>
  </rv>
  <rv s="3">
    <v>89</v>
  </rv>
  <rv s="0">
    <fb>0.19794020509999999</fb>
    <v>28</v>
  </rv>
  <rv s="0">
    <fb>0.42420000000000002</fb>
    <v>29</v>
  </rv>
  <rv s="0">
    <fb>782455</fb>
    <v>9</v>
  </rv>
  <rv s="0">
    <fb>0.27899999999999997</fb>
    <v>28</v>
  </rv>
  <rv s="0">
    <fb>0.44400000000000001</fb>
    <v>28</v>
  </rv>
  <rv s="0">
    <fb>2.7000000000000003E-2</fb>
    <v>28</v>
  </rv>
  <rv s="0">
    <fb>6.7000000000000004E-2</fb>
    <v>28</v>
  </rv>
  <rv s="0">
    <fb>0.155</fb>
    <v>28</v>
  </rv>
  <rv s="0">
    <fb>0.66713996887207005</fb>
    <v>28</v>
  </rv>
  <rv s="1">
    <v>536870912</v>
    <v>Bumthang District</v>
    <v>c9d9491b-78c6-ee53-3e10-7161a7aab970</v>
    <v>en-US</v>
    <v>Map</v>
  </rv>
  <rv s="1">
    <v>536870912</v>
    <v>Chukha District</v>
    <v>7d8cde63-fb73-afb8-6e8f-a7317c70e238</v>
    <v>en-US</v>
    <v>Map</v>
  </rv>
  <rv s="1">
    <v>536870912</v>
    <v>Dagana District</v>
    <v>62cf2299-af59-ce64-db6c-1cf9509c8a84</v>
    <v>en-US</v>
    <v>Map</v>
  </rv>
  <rv s="1">
    <v>536870912</v>
    <v>Gasa District</v>
    <v>8841d62f-1173-0e62-95ba-60766e33ee4e</v>
    <v>en-US</v>
    <v>Map</v>
  </rv>
  <rv s="1">
    <v>536870912</v>
    <v>Haa District</v>
    <v>a00f0377-849d-8753-06c7-6ef1a3ccd2d8</v>
    <v>en-US</v>
    <v>Map</v>
  </rv>
  <rv s="1">
    <v>536870912</v>
    <v>Lhuntse District</v>
    <v>e3eb7bc4-9509-0671-69c5-28bb67312e3a</v>
    <v>en-US</v>
    <v>Map</v>
  </rv>
  <rv s="1">
    <v>536870912</v>
    <v>Mongar District</v>
    <v>e72b2b9d-ac35-5368-b945-e79ae653ce8d</v>
    <v>en-US</v>
    <v>Map</v>
  </rv>
  <rv s="1">
    <v>536870912</v>
    <v>Paro District</v>
    <v>00ae02e4-2c03-8951-1644-61dd0d2a4ae0</v>
    <v>en-US</v>
    <v>Map</v>
  </rv>
  <rv s="1">
    <v>536870912</v>
    <v>Pemagatshel District</v>
    <v>12fb61a6-70e3-1534-c8cb-e92667edc109</v>
    <v>en-US</v>
    <v>Map</v>
  </rv>
  <rv s="1">
    <v>536870912</v>
    <v>Punakha District</v>
    <v>fc16bedc-07ef-117a-5034-f58d31997444</v>
    <v>en-US</v>
    <v>Map</v>
  </rv>
  <rv s="1">
    <v>536870912</v>
    <v>Samdrup Jongkhar District</v>
    <v>9258ad98-e00a-56c8-99cb-6127bf13f82d</v>
    <v>en-US</v>
    <v>Map</v>
  </rv>
  <rv s="1">
    <v>536870912</v>
    <v>Samtse District</v>
    <v>2e1dce3f-5bde-41ef-85b0-2aeb5f4c1261</v>
    <v>en-US</v>
    <v>Map</v>
  </rv>
  <rv s="1">
    <v>536870912</v>
    <v>Sarpang District</v>
    <v>00e92243-5058-ddfa-ba59-3dd58fa55054</v>
    <v>en-US</v>
    <v>Map</v>
  </rv>
  <rv s="1">
    <v>536870912</v>
    <v>Trashigang District</v>
    <v>e534212a-97b7-6058-5912-6812a671f21e</v>
    <v>en-US</v>
    <v>Map</v>
  </rv>
  <rv s="1">
    <v>536870912</v>
    <v>Trashiyangtse District</v>
    <v>8baff5b7-abbc-2a2b-806d-d13f02f19b1e</v>
    <v>en-US</v>
    <v>Map</v>
  </rv>
  <rv s="1">
    <v>536870912</v>
    <v>Trongsa District</v>
    <v>7faa71eb-3f76-adab-b76b-90019c6feee2</v>
    <v>en-US</v>
    <v>Map</v>
  </rv>
  <rv s="1">
    <v>536870912</v>
    <v>Tsirang District</v>
    <v>6546d106-4aa9-7c03-ce69-cf5edb220344</v>
    <v>en-US</v>
    <v>Map</v>
  </rv>
  <rv s="1">
    <v>536870912</v>
    <v>Wangdue Phodrang District</v>
    <v>08dfd4ca-4969-726f-cef4-e8ecffc3aa14</v>
    <v>en-US</v>
    <v>Map</v>
  </rv>
  <rv s="1">
    <v>536870912</v>
    <v>Zhemgang District</v>
    <v>84cd4160-8271-688d-87f5-97503419e619</v>
    <v>en-US</v>
    <v>Map</v>
  </rv>
  <rv s="3">
    <v>90</v>
  </rv>
  <rv s="0">
    <fb>0.160188437410588</fb>
    <v>28</v>
  </rv>
  <rv s="3">
    <v>91</v>
  </rv>
  <rv s="0">
    <fb>0.35299999999999998</fb>
    <v>28</v>
  </rv>
  <rv s="0">
    <fb>2.3420000076293902E-2</fb>
    <v>35</v>
  </rv>
  <rv s="0">
    <fb>317538</fb>
    <v>9</v>
  </rv>
  <rv s="25">
    <v>#VALUE!</v>
    <v>en-US</v>
    <v>10889457-0175-c510-019f-5ced6d4a02ed</v>
    <v>536870912</v>
    <v>1</v>
    <v>212</v>
    <v>196</v>
    <v>Bhutan</v>
    <v>5</v>
    <v>6</v>
    <v>Map</v>
    <v>7</v>
    <v>213</v>
    <v>BT</v>
    <v>1259</v>
    <v>1260</v>
    <v>1261</v>
    <v>1262</v>
    <v>1263</v>
    <v>1247</v>
    <v>1264</v>
    <v>1265</v>
    <v>1266</v>
    <v>BTN</v>
    <v>Bhutan, officially the Kingdom of Bhutan, is a landlocked country in South Asia, situated in the Eastern Himalayas between China in the north and India in the south, with the Indian state of Sikkim separating it from neighbouring Nepal. With a ...</v>
    <v>1267</v>
    <v>1268</v>
    <v>434</v>
    <v>1269</v>
    <v>1270</v>
    <v>1271</v>
    <v>1272</v>
    <v>1273</v>
    <v>1274</v>
    <v>1247</v>
    <v>1276</v>
    <v>1277</v>
    <v>1278</v>
    <v>1279</v>
    <v>1280</v>
    <v>Bhutan</v>
    <v>Druk Tsenden</v>
    <v>1281</v>
    <v>Kingdom of Bhutan</v>
    <v>1282</v>
    <v>1283</v>
    <v>1284</v>
    <v>1108</v>
    <v>1285</v>
    <v>1286</v>
    <v>1287</v>
    <v>1288</v>
    <v>728</v>
    <v>1289</v>
    <v>1290</v>
    <v>1310</v>
    <v>1311</v>
    <v>1312</v>
    <v>1313</v>
    <v>1314</v>
    <v>Bhutan</v>
    <v>1315</v>
    <v>mdp/vdpid/34</v>
  </rv>
  <rv s="1">
    <v>536870912</v>
    <v>Sucre</v>
    <v>f8e304d7-f705-ae11-2527-4417e0689505</v>
    <v>en-US</v>
    <v>Map</v>
  </rv>
  <rv s="1">
    <v>536870912</v>
    <v>Chuquisaca Department</v>
    <v>02bf17fb-0e5b-d89f-1f80-9faaf75f002a</v>
    <v>en-US</v>
    <v>Map</v>
  </rv>
  <rv s="0">
    <fb>1768</fb>
    <v>9</v>
  </rv>
  <rv s="1">
    <v>536870912</v>
    <v>Bolivia</v>
    <v>2da62ca9-5c7a-8f0a-b312-b40ce201f0d0</v>
    <v>en-US</v>
    <v>Map</v>
  </rv>
  <rv s="2">
    <v>38</v>
    <v>7</v>
    <v>214</v>
    <v>7</v>
    <v>0</v>
    <v>Image of Sucre</v>
  </rv>
  <rv s="0">
    <fb>-19.047499999999999</fb>
    <v>0</v>
  </rv>
  <rv s="1">
    <v>805306368</v>
    <v>Rosario López Rojo de Aparicio (Mayor)</v>
    <v>fc957ea7-2573-376a-7010-2576d6029a34</v>
    <v>en-US</v>
    <v>Generic</v>
  </rv>
  <rv s="3">
    <v>92</v>
  </rv>
  <rv s="4">
    <v>https://www.bing.com/search?q=sucre+bolivia&amp;form=skydnc</v>
    <v>Learn more on Bing</v>
  </rv>
  <rv s="0">
    <fb>-65.260000000000005</fb>
    <v>0</v>
  </rv>
  <rv s="0">
    <fb>360544</fb>
    <v>9</v>
  </rv>
  <rv s="24">
    <v>#VALUE!</v>
    <v>en-US</v>
    <v>f8e304d7-f705-ae11-2527-4417e0689505</v>
    <v>536870912</v>
    <v>1</v>
    <v>215</v>
    <v>189</v>
    <v>Sucre</v>
    <v>5</v>
    <v>6</v>
    <v>Map</v>
    <v>7</v>
    <v>216</v>
    <v>1318</v>
    <v>1319</v>
    <v>1320</v>
    <v>Sucre is the de jure capital city of Bolivia, the capital of the Chuquisaca Department and the sixth most populous city in Bolivia. Located in the south-central part of the country, Sucre lies at an elevation of 2,790 m. This relatively high ...</v>
    <v>1321</v>
    <v>1322</v>
    <v>1324</v>
    <v>1325</v>
    <v>1326</v>
    <v>Sucre</v>
    <v>1327</v>
    <v>Sucre</v>
    <v>mdp/vdpid/6400103596280512513</v>
  </rv>
  <rv s="0">
    <fb>0.34787224222283797</fb>
    <v>28</v>
  </rv>
  <rv s="0">
    <fb>1098581</fb>
    <v>9</v>
  </rv>
  <rv s="0">
    <fb>71000</fb>
    <v>9</v>
  </rv>
  <rv s="0">
    <fb>21.75</fb>
    <v>29</v>
  </rv>
  <rv s="0">
    <fb>591</fb>
    <v>30</v>
  </rv>
  <rv s="0">
    <fb>21605.964</fb>
    <v>9</v>
  </rv>
  <rv s="0">
    <fb>148.31751847535801</fb>
    <v>31</v>
  </rv>
  <rv s="0">
    <fb>1.83954504969032E-2</fb>
    <v>28</v>
  </rv>
  <rv s="0">
    <fb>742.53839974288599</fb>
    <v>9</v>
  </rv>
  <rv s="0">
    <fb>2.73</fb>
    <v>29</v>
  </rv>
  <rv s="0">
    <fb>0.50286162651158495</fb>
    <v>28</v>
  </rv>
  <rv s="0">
    <fb>84.153289986877496</fb>
    <v>34</v>
  </rv>
  <rv s="0">
    <fb>40895322865.412399</fb>
    <v>33</v>
  </rv>
  <rv s="0">
    <fb>0.98150919999999997</fb>
    <v>28</v>
  </rv>
  <rv s="2">
    <v>39</v>
    <v>7</v>
    <v>218</v>
    <v>7</v>
    <v>0</v>
    <v>Image of Bolivia</v>
  </rv>
  <rv s="0">
    <fb>21.8</fb>
    <v>34</v>
  </rv>
  <rv s="1">
    <v>536870912</v>
    <v>Santa Cruz de la Sierra</v>
    <v>af7cf39e-638f-ff6b-c0bc-d59f11e7993e</v>
    <v>en-US</v>
    <v>Map</v>
  </rv>
  <rv s="1">
    <v>805306368</v>
    <v>Luis Arce (President)</v>
    <v>d1f13422-1d15-493d-8364-b20f08fc79ae</v>
    <v>en-US</v>
    <v>Generic</v>
  </rv>
  <rv s="1">
    <v>805306368</v>
    <v>David Choquehuanca (Vice president)</v>
    <v>4084c748-353c-a859-544a-e1be262507f3</v>
    <v>en-US</v>
    <v>Generic</v>
  </rv>
  <rv s="3">
    <v>93</v>
  </rv>
  <rv s="4">
    <v>https://www.bing.com/search?q=bolivia&amp;form=skydnc</v>
    <v>Learn more on Bing</v>
  </rv>
  <rv s="0">
    <fb>71.239000000000004</fb>
    <v>34</v>
  </rv>
  <rv s="0">
    <fb>155</fb>
    <v>34</v>
  </rv>
  <rv s="3">
    <v>94</v>
  </rv>
  <rv s="0">
    <fb>0.25921914619999997</fb>
    <v>28</v>
  </rv>
  <rv s="0">
    <fb>1.5901000000000001</fb>
    <v>29</v>
  </rv>
  <rv s="0">
    <fb>12224110</fb>
    <v>9</v>
  </rv>
  <rv s="0">
    <fb>0.30399999999999999</fb>
    <v>28</v>
  </rv>
  <rv s="0">
    <fb>0.47200000000000003</fb>
    <v>28</v>
  </rv>
  <rv s="0">
    <fb>1.4999999999999999E-2</fb>
    <v>28</v>
  </rv>
  <rv s="0">
    <fb>4.5999999999999999E-2</fb>
    <v>28</v>
  </rv>
  <rv s="0">
    <fb>0.153</fb>
    <v>28</v>
  </rv>
  <rv s="0">
    <fb>0.718130035400391</fb>
    <v>28</v>
  </rv>
  <rv s="1">
    <v>536870912</v>
    <v>Beni Department</v>
    <v>2c2bad54-59b5-c8ba-a70d-7afc08c53963</v>
    <v>en-US</v>
    <v>Map</v>
  </rv>
  <rv s="1">
    <v>536870912</v>
    <v>Cochabamba Department</v>
    <v>773b6e15-7981-19c3-9b72-f562f8e78fd5</v>
    <v>en-US</v>
    <v>Map</v>
  </rv>
  <rv s="1">
    <v>536870912</v>
    <v>La Paz Department</v>
    <v>29c87a7e-90c5-955f-b0fc-971e7610a8fc</v>
    <v>en-US</v>
    <v>Map</v>
  </rv>
  <rv s="1">
    <v>536870912</v>
    <v>Oruro Department</v>
    <v>2431b55d-5fe3-644e-77d3-89d8bace76db</v>
    <v>en-US</v>
    <v>Map</v>
  </rv>
  <rv s="1">
    <v>536870912</v>
    <v>Santa Cruz Department</v>
    <v>4fbb234c-7880-72ad-ed91-20faf0a1ce64</v>
    <v>en-US</v>
    <v>Map</v>
  </rv>
  <rv s="1">
    <v>536870912</v>
    <v>Potosí Department</v>
    <v>a546933d-2809-ff8f-ceed-3714ac903a55</v>
    <v>en-US</v>
    <v>Map</v>
  </rv>
  <rv s="1">
    <v>536870912</v>
    <v>Tarija Department</v>
    <v>bef97951-fecf-0d6d-8e48-4bac07be159e</v>
    <v>en-US</v>
    <v>Map</v>
  </rv>
  <rv s="1">
    <v>536870912</v>
    <v>Pando Department</v>
    <v>eed3cf44-05da-c432-d53e-c47683dc5a6b</v>
    <v>en-US</v>
    <v>Map</v>
  </rv>
  <rv s="3">
    <v>95</v>
  </rv>
  <rv s="0">
    <fb>0.169648658038032</fb>
    <v>28</v>
  </rv>
  <rv s="0">
    <fb>0.83700000000000008</fb>
    <v>28</v>
  </rv>
  <rv s="0">
    <fb>3.4979999065399198E-2</fb>
    <v>35</v>
  </rv>
  <rv s="0">
    <fb>8033035</fb>
    <v>9</v>
  </rv>
  <rv s="26">
    <v>#VALUE!</v>
    <v>en-US</v>
    <v>2da62ca9-5c7a-8f0a-b312-b40ce201f0d0</v>
    <v>536870912</v>
    <v>1</v>
    <v>221</v>
    <v>222</v>
    <v>Bolivia</v>
    <v>5</v>
    <v>6</v>
    <v>Map</v>
    <v>7</v>
    <v>223</v>
    <v>BO</v>
    <v>1329</v>
    <v>1330</v>
    <v>1331</v>
    <v>1332</v>
    <v>1333</v>
    <v>1317</v>
    <v>1334</v>
    <v>1335</v>
    <v>1336</v>
    <v>BOB</v>
    <v>Bolivia, officially the Plurinational State of Bolivia, is a landlocked country located in central South America. The country features diverse geography, including vast Amazonian plains, tropical lowlands, mountains, the Gran Chaco Province, ...</v>
    <v>1337</v>
    <v>1338</v>
    <v>1339</v>
    <v>1340</v>
    <v>377</v>
    <v>1341</v>
    <v>1342</v>
    <v>1343</v>
    <v>1344</v>
    <v>1345</v>
    <v>1348</v>
    <v>1349</v>
    <v>1350</v>
    <v>1351</v>
    <v>155</v>
    <v>Bolivia</v>
    <v>National anthem of Bolivia</v>
    <v>1352</v>
    <v>Estado Plurinacional de Bolivia</v>
    <v>1353</v>
    <v>1354</v>
    <v>1355</v>
    <v>241</v>
    <v>1356</v>
    <v>1357</v>
    <v>1358</v>
    <v>1359</v>
    <v>1052</v>
    <v>1360</v>
    <v>1361</v>
    <v>1370</v>
    <v>1371</v>
    <v>462</v>
    <v>1372</v>
    <v>1373</v>
    <v>Bolivia</v>
    <v>1374</v>
    <v>mdp/vdpid/26</v>
  </rv>
  <rv s="1">
    <v>536870912</v>
    <v>Sarajevo</v>
    <v>377e62c3-d9a6-4966-991a-32be280889e0</v>
    <v>en-US</v>
    <v>Map</v>
  </rv>
  <rv s="1">
    <v>536870912</v>
    <v>Federation of Bosnia and Herzegovina</v>
    <v>47ecb05c-2b04-6687-3768-5ad1d4122d13</v>
    <v>en-US</v>
    <v>Map</v>
  </rv>
  <rv s="0">
    <fb>141.5</fb>
    <v>9</v>
  </rv>
  <rv s="1">
    <v>536870912</v>
    <v>Bosnia and Herzegovina</v>
    <v>d4cae21e-b3ba-1c2f-fa55-9c516a522c1b</v>
    <v>en-US</v>
    <v>Map</v>
  </rv>
  <rv s="2">
    <v>40</v>
    <v>7</v>
    <v>224</v>
    <v>7</v>
    <v>0</v>
    <v>Image of Sarajevo</v>
  </rv>
  <rv s="0">
    <fb>43.856388888888901</fb>
    <v>0</v>
  </rv>
  <rv s="1">
    <v>805306368</v>
    <v>Predrag Puharić (Mayor)</v>
    <v>1a7a8f83-817f-99c2-53ed-f4127b040987</v>
    <v>en-US</v>
    <v>Generic</v>
  </rv>
  <rv s="3">
    <v>96</v>
  </rv>
  <rv s="4">
    <v>https://www.bing.com/search?q=sarajevo&amp;form=skydnc</v>
    <v>Learn more on Bing</v>
  </rv>
  <rv s="0">
    <fb>18.413055555555601</fb>
    <v>0</v>
  </rv>
  <rv s="0">
    <fb>275524</fb>
    <v>9</v>
  </rv>
  <rv s="7">
    <v>#VALUE!</v>
    <v>en-US</v>
    <v>377e62c3-d9a6-4966-991a-32be280889e0</v>
    <v>536870912</v>
    <v>1</v>
    <v>225</v>
    <v>38</v>
    <v>Sarajevo</v>
    <v>5</v>
    <v>6</v>
    <v>Map</v>
    <v>7</v>
    <v>190</v>
    <v>1377</v>
    <v>1378</v>
    <v>1379</v>
    <v>Sarajevo is the capital and largest city of Bosnia and Herzegovina, with a population of 275,524 in its administrative limits. The Sarajevo metropolitan area including Sarajevo Canton, Istočno Sarajevo and nearby municipalities is home to ...</v>
    <v>1380</v>
    <v>1381</v>
    <v>1383</v>
    <v>1384</v>
    <v>1385</v>
    <v>Sarajevo</v>
    <v>1386</v>
    <v>193</v>
    <v>Sarajevo</v>
    <v>mdp/vdpid/7217237715618627585</v>
  </rv>
  <rv s="0">
    <fb>0.43144531250000001</fb>
    <v>28</v>
  </rv>
  <rv s="0">
    <fb>51197</fb>
    <v>9</v>
  </rv>
  <rv s="0">
    <fb>11000</fb>
    <v>9</v>
  </rv>
  <rv s="0">
    <fb>8.1110000000000007</fb>
    <v>29</v>
  </rv>
  <rv s="0">
    <fb>387</fb>
    <v>30</v>
  </rv>
  <rv s="0">
    <fb>21847.986000000001</fb>
    <v>9</v>
  </rv>
  <rv s="0">
    <fb>104.896137350469</fb>
    <v>31</v>
  </rv>
  <rv s="0">
    <fb>5.6278215406130308E-3</fb>
    <v>28</v>
  </rv>
  <rv s="0">
    <fb>3446.76666750907</fb>
    <v>9</v>
  </rv>
  <rv s="0">
    <fb>1.2649999999999999</fb>
    <v>29</v>
  </rv>
  <rv s="0">
    <fb>0.4267578125</fb>
    <v>28</v>
  </rv>
  <rv s="0">
    <fb>77.522044967234194</fb>
    <v>34</v>
  </rv>
  <rv s="0">
    <fb>1.05</fb>
    <v>32</v>
  </rv>
  <rv s="0">
    <fb>20047848434.548698</fb>
    <v>33</v>
  </rv>
  <rv s="0">
    <fb>0.2334466</fb>
    <v>28</v>
  </rv>
  <rv s="2">
    <v>41</v>
    <v>7</v>
    <v>227</v>
    <v>7</v>
    <v>0</v>
    <v>Image of Bosnia and Herzegovina</v>
  </rv>
  <rv s="1">
    <v>805306368</v>
    <v>Christian Schmidt (High Representative)</v>
    <v>bc4efa5b-707f-4690-a7bf-f7f71fd9d869</v>
    <v>en-US</v>
    <v>Generic</v>
  </rv>
  <rv s="1">
    <v>805306368</v>
    <v>Željka Cvijanović (Chairwoman)</v>
    <v>4b7becc4-4e7a-4abd-a45e-a2bb0bbd9e36</v>
    <v>en-US</v>
    <v>Generic</v>
  </rv>
  <rv s="1">
    <v>805306368</v>
    <v>Borjana Krišto (Chairwoman)</v>
    <v>476f6b1a-ac95-1ab9-d9cd-c6e0e7c57d86</v>
    <v>en-US</v>
    <v>Generic</v>
  </rv>
  <rv s="3">
    <v>97</v>
  </rv>
  <rv s="4">
    <v>https://www.bing.com/search?q=bosnia+and+herzegovina&amp;form=skydnc</v>
    <v>Learn more on Bing</v>
  </rv>
  <rv s="0">
    <fb>77.262</fb>
    <v>34</v>
  </rv>
  <rv s="0">
    <fb>10</fb>
    <v>34</v>
  </rv>
  <rv s="0">
    <fb>1.04</fb>
    <v>32</v>
  </rv>
  <rv s="3">
    <v>98</v>
  </rv>
  <rv s="0">
    <fb>0.2863505703</fb>
    <v>28</v>
  </rv>
  <rv s="0">
    <fb>2.1616</fb>
    <v>29</v>
  </rv>
  <rv s="0">
    <fb>3233526</fb>
    <v>9</v>
  </rv>
  <rv s="0">
    <fb>0.251</fb>
    <v>28</v>
  </rv>
  <rv s="0">
    <fb>2.8999999999999998E-2</fb>
    <v>28</v>
  </rv>
  <rv s="0">
    <fb>0.12300000000000001</fb>
    <v>28</v>
  </rv>
  <rv s="0">
    <fb>0.16699999999999998</fb>
    <v>28</v>
  </rv>
  <rv s="0">
    <fb>0.46395000457763702</fb>
    <v>28</v>
  </rv>
  <rv s="1">
    <v>536870912</v>
    <v>Republika Srpska</v>
    <v>2fe856d7-b6f4-dbce-fa75-9ac4319b1d63</v>
    <v>en-US</v>
    <v>Map</v>
  </rv>
  <rv s="1">
    <v>536870912</v>
    <v>Brčko District</v>
    <v>b396b6d6-db22-9823-d1e7-7291c204c629</v>
    <v>en-US</v>
    <v>Map</v>
  </rv>
  <rv s="3">
    <v>99</v>
  </rv>
  <rv s="0">
    <fb>0.204407603558384</fb>
    <v>28</v>
  </rv>
  <rv s="3">
    <v>100</v>
  </rv>
  <rv s="0">
    <fb>0.23699999999999999</fb>
    <v>28</v>
  </rv>
  <rv s="0">
    <fb>0.18424999237060502</fb>
    <v>35</v>
  </rv>
  <rv s="0">
    <fb>1605144</fb>
    <v>9</v>
  </rv>
  <rv s="27">
    <v>#VALUE!</v>
    <v>en-US</v>
    <v>d4cae21e-b3ba-1c2f-fa55-9c516a522c1b</v>
    <v>536870912</v>
    <v>1</v>
    <v>230</v>
    <v>231</v>
    <v>Bosnia and Herzegovina</v>
    <v>5</v>
    <v>6</v>
    <v>Map</v>
    <v>7</v>
    <v>232</v>
    <v>BA</v>
    <v>1388</v>
    <v>1389</v>
    <v>1390</v>
    <v>1391</v>
    <v>1392</v>
    <v>1376</v>
    <v>1393</v>
    <v>1394</v>
    <v>1395</v>
    <v>BAM</v>
    <v>Bosnia and Herzegovina, sometimes known as Bosnia-Herzegovina and informally as Bosnia, is a country in Southeast Europe. Situated on the Balkan Peninsula, it borders Serbia to the east, Montenegro to the southeast, and Croatia to the north and ...</v>
    <v>1396</v>
    <v>1397</v>
    <v>1398</v>
    <v>1399</v>
    <v>1400</v>
    <v>1401</v>
    <v>1402</v>
    <v>1403</v>
    <v>440</v>
    <v>1376</v>
    <v>1407</v>
    <v>1408</v>
    <v>1409</v>
    <v>1410</v>
    <v>1411</v>
    <v>Bosnia and Herzegovina</v>
    <v>National anthem of Bosnia and Herzegovina</v>
    <v>1412</v>
    <v>Bosna i Hercegovina</v>
    <v>1413</v>
    <v>1414</v>
    <v>1415</v>
    <v>241</v>
    <v>1416</v>
    <v>174</v>
    <v>1417</v>
    <v>176</v>
    <v>1418</v>
    <v>1419</v>
    <v>1420</v>
    <v>1423</v>
    <v>1424</v>
    <v>1425</v>
    <v>1426</v>
    <v>1427</v>
    <v>Bosnia and Herzegovina</v>
    <v>1428</v>
    <v>mdp/vdpid/25</v>
  </rv>
  <rv s="1">
    <v>536870912</v>
    <v>Gaborone</v>
    <v>5609d0f5-9932-65c1-b698-73699641cba2</v>
    <v>en-US</v>
    <v>Map</v>
  </rv>
  <rv s="0">
    <fb>169</fb>
    <v>9</v>
  </rv>
  <rv s="1">
    <v>536870912</v>
    <v>Botswana</v>
    <v>8aa19277-27e8-6def-a3e1-47929d921d30</v>
    <v>en-US</v>
    <v>Map</v>
  </rv>
  <rv s="2">
    <v>42</v>
    <v>7</v>
    <v>233</v>
    <v>7</v>
    <v>0</v>
    <v>Image of Gaborone</v>
  </rv>
  <rv s="1">
    <v>805306368</v>
    <v>Austin Abraham (Mayor)</v>
    <v>48327f81-1c76-8fd2-60a8-72be8ae1a9af</v>
    <v>en-US</v>
    <v>Generic</v>
  </rv>
  <rv s="1">
    <v>805306368</v>
    <v>Oduetse Tautona (Deputy mayor)</v>
    <v>92aad020-7030-0db7-9e5e-b5954a736896</v>
    <v>en-US</v>
    <v>Generic</v>
  </rv>
  <rv s="3">
    <v>101</v>
  </rv>
  <rv s="4">
    <v>https://www.bing.com/search?q=gaborone&amp;form=skydnc</v>
    <v>Learn more on Bing</v>
  </rv>
  <rv s="0">
    <fb>246325</fb>
    <v>9</v>
  </rv>
  <rv s="3">
    <v>102</v>
  </rv>
  <rv s="16">
    <v>#VALUE!</v>
    <v>en-US</v>
    <v>5609d0f5-9932-65c1-b698-73699641cba2</v>
    <v>536870912</v>
    <v>1</v>
    <v>235</v>
    <v>92</v>
    <v>Gaborone</v>
    <v>5</v>
    <v>6</v>
    <v>Map</v>
    <v>7</v>
    <v>61</v>
    <v>BW-GA</v>
    <v>1431</v>
    <v>1432</v>
    <v>Gaborone is the capital and largest city of Botswana with a population of 246,325 based on the 2022 census, about 10% of the total population of Botswana. Its agglomeration is home to 534,842 inhabitants at the 2022 census.</v>
    <v>1433</v>
    <v>1436</v>
    <v>1437</v>
    <v>Gaborone</v>
    <v>1438</v>
    <v>1439</v>
    <v>Gaborone</v>
    <v>mdp/vdpid/8179463186185977857</v>
  </rv>
  <rv s="0">
    <fb>0.45633016797019699</fb>
    <v>28</v>
  </rv>
  <rv s="0">
    <fb>581737</fb>
    <v>9</v>
  </rv>
  <rv s="0">
    <fb>24.821000000000002</fb>
    <v>29</v>
  </rv>
  <rv s="0">
    <fb>267</fb>
    <v>30</v>
  </rv>
  <rv s="0">
    <fb>6340.2430000000004</fb>
    <v>9</v>
  </rv>
  <rv s="0">
    <fb>149.75369875886699</fb>
    <v>31</v>
  </rv>
  <rv s="0">
    <fb>2.7728644286333003E-2</fb>
    <v>28</v>
  </rv>
  <rv s="0">
    <fb>1815.5580686522301</fb>
    <v>9</v>
  </rv>
  <rv s="0">
    <fb>2.8740000000000001</fb>
    <v>29</v>
  </rv>
  <rv s="0">
    <fb>0.189469408795855</fb>
    <v>28</v>
  </rv>
  <rv s="0">
    <fb>74.6879840737883</fb>
    <v>34</v>
  </rv>
  <rv s="0">
    <fb>18340510789.4272</fb>
    <v>33</v>
  </rv>
  <rv s="0">
    <fb>1.0323838999999999</fb>
    <v>28</v>
  </rv>
  <rv s="0">
    <fb>0.24859970000000001</fb>
    <v>28</v>
  </rv>
  <rv s="2">
    <v>43</v>
    <v>7</v>
    <v>237</v>
    <v>7</v>
    <v>0</v>
    <v>Image of Botswana</v>
  </rv>
  <rv s="0">
    <fb>30</fb>
    <v>34</v>
  </rv>
  <rv s="1">
    <v>805306368</v>
    <v>Duma Boko (President)</v>
    <v>99d42fa7-7a54-7636-1483-f5420ad449a6</v>
    <v>en-US</v>
    <v>Generic</v>
  </rv>
  <rv s="1">
    <v>805306368</v>
    <v>Ndaba Gaolathe (Vice president)</v>
    <v>13b30f5f-dfc6-0ef3-881e-35a1e7a31481</v>
    <v>en-US</v>
    <v>Generic</v>
  </rv>
  <rv s="1">
    <v>805306368</v>
    <v>Gaolapelwe Ketlogetswe (Chief justice)</v>
    <v>1e89d9e0-5e39-9416-d854-7c3f5056eb31</v>
    <v>en-US</v>
    <v>Generic</v>
  </rv>
  <rv s="3">
    <v>103</v>
  </rv>
  <rv s="4">
    <v>https://www.bing.com/search?q=botswana&amp;form=skydnc</v>
    <v>Learn more on Bing</v>
  </rv>
  <rv s="0">
    <fb>69.275000000000006</fb>
    <v>34</v>
  </rv>
  <rv s="0">
    <fb>977610000</fb>
    <v>33</v>
  </rv>
  <rv s="0">
    <fb>144</fb>
    <v>34</v>
  </rv>
  <rv s="0">
    <fb>0.28999999999999998</fb>
    <v>32</v>
  </rv>
  <rv s="0">
    <fb>5.2608499999999996E-2</fb>
    <v>28</v>
  </rv>
  <rv s="0">
    <fb>0.36880000000000002</fb>
    <v>29</v>
  </rv>
  <rv s="0">
    <fb>2630296</fb>
    <v>9</v>
  </rv>
  <rv s="0">
    <fb>0.19500000000000001</fb>
    <v>28</v>
  </rv>
  <rv s="0">
    <fb>0.41499999999999998</fb>
    <v>28</v>
  </rv>
  <rv s="0">
    <fb>0.58499999999999996</fb>
    <v>28</v>
  </rv>
  <rv s="0">
    <fb>3.9E-2</fb>
    <v>28</v>
  </rv>
  <rv s="0">
    <fb>7.0000000000000007E-2</fb>
    <v>28</v>
  </rv>
  <rv s="0">
    <fb>0.111</fb>
    <v>28</v>
  </rv>
  <rv s="0">
    <fb>0.70819999694824209</fb>
    <v>28</v>
  </rv>
  <rv s="1">
    <v>536870912</v>
    <v>Central District</v>
    <v>5a59f96f-2e8b-418f-ce75-352be10aa630</v>
    <v>en-US</v>
    <v>Map</v>
  </rv>
  <rv s="1">
    <v>536870912</v>
    <v>Ghanzi District</v>
    <v>1c8a9f6e-7b9d-d8cf-b717-90bd029cb152</v>
    <v>en-US</v>
    <v>Map</v>
  </rv>
  <rv s="1">
    <v>536870912</v>
    <v>Kgalagadi District</v>
    <v>2c25ab3f-f6f0-b1cc-9c70-b5fb8e82502c</v>
    <v>en-US</v>
    <v>Map</v>
  </rv>
  <rv s="1">
    <v>536870912</v>
    <v>Kgatleng District</v>
    <v>ac2497a9-9802-58ef-220d-ca6fd0c4f68c</v>
    <v>en-US</v>
    <v>Map</v>
  </rv>
  <rv s="1">
    <v>536870912</v>
    <v>Kweneng District</v>
    <v>18aefd8f-46c2-6167-c82a-acb3d55936b2</v>
    <v>en-US</v>
    <v>Map</v>
  </rv>
  <rv s="1">
    <v>536870912</v>
    <v>North-East District</v>
    <v>8c38eee8-a3d2-19ad-4893-f762c50add09</v>
    <v>en-US</v>
    <v>Map</v>
  </rv>
  <rv s="1">
    <v>536870912</v>
    <v>North-West District</v>
    <v>e72eefa7-02e2-3ed3-d2c9-5598ebb2288b</v>
    <v>en-US</v>
    <v>Map</v>
  </rv>
  <rv s="1">
    <v>536870912</v>
    <v>South-East District</v>
    <v>70f9f2fb-580d-debb-7ba5-fd99ee462d53</v>
    <v>en-US</v>
    <v>Map</v>
  </rv>
  <rv s="1">
    <v>536870912</v>
    <v>Southern District</v>
    <v>7171f0fe-bba5-fa98-90c5-d45a0d2077ab</v>
    <v>en-US</v>
    <v>Map</v>
  </rv>
  <rv s="3">
    <v>104</v>
  </rv>
  <rv s="0">
    <fb>0.19548510153898799</fb>
    <v>28</v>
  </rv>
  <rv s="0">
    <fb>0.18193000793456998</fb>
    <v>35</v>
  </rv>
  <rv s="0">
    <fb>1616550</fb>
    <v>9</v>
  </rv>
  <rv s="9">
    <v>#VALUE!</v>
    <v>en-US</v>
    <v>8aa19277-27e8-6def-a3e1-47929d921d30</v>
    <v>536870912</v>
    <v>1</v>
    <v>240</v>
    <v>55</v>
    <v>Botswana</v>
    <v>5</v>
    <v>6</v>
    <v>Map</v>
    <v>7</v>
    <v>241</v>
    <v>BW</v>
    <v>1441</v>
    <v>1442</v>
    <v>145</v>
    <v>1443</v>
    <v>1444</v>
    <v>1430</v>
    <v>1445</v>
    <v>1446</v>
    <v>1447</v>
    <v>BWP</v>
    <v>Botswana, officially the Republic of Botswana, is a landlocked country in Southern Africa. Botswana is topographically flat, with approximately 70 percent of its territory part of the Kalahari Desert. It is bordered by South Africa to the south ...</v>
    <v>1448</v>
    <v>1449</v>
    <v>1450</v>
    <v>1451</v>
    <v>377</v>
    <v>1452</v>
    <v>1453</v>
    <v>1454</v>
    <v>1455</v>
    <v>1456</v>
    <v>1430</v>
    <v>1460</v>
    <v>1461</v>
    <v>1462</v>
    <v>1463</v>
    <v>1464</v>
    <v>1465</v>
    <v>Botswana</v>
    <v>Fatshe leno la rona</v>
    <v>448</v>
    <v>Botswana</v>
    <v>1466</v>
    <v>1467</v>
    <v>1468</v>
    <v>1469</v>
    <v>1470</v>
    <v>1471</v>
    <v>1358</v>
    <v>1472</v>
    <v>1473</v>
    <v>1474</v>
    <v>1475</v>
    <v>1485</v>
    <v>1486</v>
    <v>1439</v>
    <v>1416</v>
    <v>1487</v>
    <v>Botswana</v>
    <v>1488</v>
    <v>mdp/vdpid/19</v>
  </rv>
  <rv s="1">
    <v>536870912</v>
    <v>Brasília</v>
    <v>0f4c1a26-f33c-b6de-a63f-578da6617369</v>
    <v>en-US</v>
    <v>Map</v>
  </rv>
  <rv s="1">
    <v>536870912</v>
    <v>Federal District</v>
    <v>88dfc3b6-8e7a-694d-61b2-96d14f226ec4</v>
    <v>en-US</v>
    <v>Map</v>
  </rv>
  <rv s="0">
    <fb>5802</fb>
    <v>9</v>
  </rv>
  <rv s="1">
    <v>536870912</v>
    <v>Brazil</v>
    <v>a828cf41-b938-49fe-7986-4b336618d413</v>
    <v>en-US</v>
    <v>Map</v>
  </rv>
  <rv s="2">
    <v>44</v>
    <v>7</v>
    <v>242</v>
    <v>7</v>
    <v>0</v>
    <v>Image of Brasília</v>
  </rv>
  <rv s="3">
    <v>105</v>
  </rv>
  <rv s="4">
    <v>https://www.bing.com/search?q=bras%c3%adlia&amp;form=skydnc</v>
    <v>Learn more on Bing</v>
  </rv>
  <rv s="0">
    <fb>2817381</fb>
    <v>9</v>
  </rv>
  <rv s="3">
    <v>106</v>
  </rv>
  <rv s="7">
    <v>#VALUE!</v>
    <v>en-US</v>
    <v>0f4c1a26-f33c-b6de-a63f-578da6617369</v>
    <v>536870912</v>
    <v>1</v>
    <v>243</v>
    <v>38</v>
    <v>Brasília</v>
    <v>5</v>
    <v>6</v>
    <v>Map</v>
    <v>7</v>
    <v>61</v>
    <v>1491</v>
    <v>1492</v>
    <v>1493</v>
    <v>Brasília is the federal capital of Brazil and the seat of government of the Federal District. Located in the Brazilian highlands in the country's Central-West region, it was founded by President Juscelino Kubitschek on 21 April 1960, to replace ...</v>
    <v>1494</v>
    <v>4</v>
    <v>1495</v>
    <v>1496</v>
    <v>5</v>
    <v>Brasília</v>
    <v>1497</v>
    <v>1498</v>
    <v>Brasília</v>
    <v>mdp/vdpid/6407970072035328001</v>
  </rv>
  <rv s="0">
    <fb>0.33924533448829503</fb>
    <v>28</v>
  </rv>
  <rv s="0">
    <fb>8515767</fb>
    <v>9</v>
  </rv>
  <rv s="0">
    <fb>730000</fb>
    <v>9</v>
  </rv>
  <rv s="0">
    <fb>13.923999999999999</fb>
    <v>29</v>
  </rv>
  <rv s="0">
    <fb>55</fb>
    <v>30</v>
  </rv>
  <rv s="0">
    <fb>462298.69</fb>
    <v>9</v>
  </rv>
  <rv s="0">
    <fb>167.397860280061</fb>
    <v>31</v>
  </rv>
  <rv s="0">
    <fb>3.7329762121689397E-2</fb>
    <v>28</v>
  </rv>
  <rv s="0">
    <fb>2619.96061573831</fb>
    <v>9</v>
  </rv>
  <rv s="0">
    <fb>0.58931054038338704</fb>
    <v>28</v>
  </rv>
  <rv s="0">
    <fb>59.1075326389753</fb>
    <v>34</v>
  </rv>
  <rv s="0">
    <fb>1.02</fb>
    <v>32</v>
  </rv>
  <rv s="0">
    <fb>1839758040765.6201</fb>
    <v>33</v>
  </rv>
  <rv s="0">
    <fb>1.1544783999999999</fb>
    <v>28</v>
  </rv>
  <rv s="0">
    <fb>0.513436</fb>
    <v>28</v>
  </rv>
  <rv s="2">
    <v>45</v>
    <v>7</v>
    <v>245</v>
    <v>7</v>
    <v>0</v>
    <v>Image of Brazil</v>
  </rv>
  <rv s="0">
    <fb>12.8</fb>
    <v>34</v>
  </rv>
  <rv s="1">
    <v>536870912</v>
    <v>São Paulo</v>
    <v>c6cf2f6e-626c-4267-ae48-9e13ea74d2b9</v>
    <v>en-US</v>
    <v>Map</v>
  </rv>
  <rv s="1">
    <v>805306368</v>
    <v>Luiz Inácio Lula da Silva (President)</v>
    <v>d1dff6dd-e1d9-642a-4044-fc3f6765ae2b</v>
    <v>en-US</v>
    <v>Generic</v>
  </rv>
  <rv s="1">
    <v>805306368</v>
    <v>Geraldo Alckmin (Vice president)</v>
    <v>ea2c259d-ca87-ae96-81e3-8e0b97870fa3</v>
    <v>en-US</v>
    <v>Generic</v>
  </rv>
  <rv s="3">
    <v>107</v>
  </rv>
  <rv s="4">
    <v>https://www.bing.com/search?q=brazil&amp;form=skydnc</v>
    <v>Learn more on Bing</v>
  </rv>
  <rv s="0">
    <fb>75.671999999999997</fb>
    <v>34</v>
  </rv>
  <rv s="0">
    <fb>1187361690000</fb>
    <v>33</v>
  </rv>
  <rv s="0">
    <fb>60</fb>
    <v>34</v>
  </rv>
  <rv s="0">
    <fb>1.53</fb>
    <v>32</v>
  </rv>
  <rv s="3">
    <v>108</v>
  </rv>
  <rv s="0">
    <fb>0.28289823089999999</fb>
    <v>28</v>
  </rv>
  <rv s="0">
    <fb>2.1499000000000001</fb>
    <v>29</v>
  </rv>
  <rv s="0">
    <fb>215313498</fb>
    <v>9</v>
  </rv>
  <rv s="0">
    <fb>0.192</fb>
    <v>28</v>
  </rv>
  <rv s="0">
    <fb>0.42499999999999999</fb>
    <v>28</v>
  </rv>
  <rv s="0">
    <fb>0.58399999999999996</fb>
    <v>28</v>
  </rv>
  <rv s="0">
    <fb>7.2999999999999995E-2</fb>
    <v>28</v>
  </rv>
  <rv s="0">
    <fb>0.63883998870849601</fb>
    <v>28</v>
  </rv>
  <rv s="1">
    <v>536870912</v>
    <v>Acre</v>
    <v>8960bf27-5261-01d1-4019-e7d898f67bb4</v>
    <v>en-US</v>
    <v>Map</v>
  </rv>
  <rv s="1">
    <v>536870912</v>
    <v>Amapá</v>
    <v>28d39e09-4b9f-31f6-cc72-48b1f9be59db</v>
    <v>en-US</v>
    <v>Map</v>
  </rv>
  <rv s="1">
    <v>536870912</v>
    <v>Amazonas</v>
    <v>f79e57ca-6fc1-5a6a-015b-38d90f33902f</v>
    <v>en-US</v>
    <v>Map</v>
  </rv>
  <rv s="1">
    <v>536870912</v>
    <v>Pará</v>
    <v>7a0db70a-73db-e83d-e548-6fab7a523b35</v>
    <v>en-US</v>
    <v>Map</v>
  </rv>
  <rv s="1">
    <v>536870912</v>
    <v>Rondônia</v>
    <v>25fbe5d5-9bc1-0ec2-ac78-2d9fe5b147dd</v>
    <v>en-US</v>
    <v>Map</v>
  </rv>
  <rv s="1">
    <v>536870912</v>
    <v>Roraima</v>
    <v>3b8383a2-7c79-31f6-2359-bd9ba2099213</v>
    <v>en-US</v>
    <v>Map</v>
  </rv>
  <rv s="1">
    <v>536870912</v>
    <v>Tocantins</v>
    <v>f7a46dfe-e192-d6f7-e5f8-084e555ba7cb</v>
    <v>en-US</v>
    <v>Map</v>
  </rv>
  <rv s="1">
    <v>536870912</v>
    <v>Alagoas</v>
    <v>4e3f1ba4-1948-0514-728a-55b34ab027b4</v>
    <v>en-US</v>
    <v>Map</v>
  </rv>
  <rv s="1">
    <v>536870912</v>
    <v>Bahia</v>
    <v>e904684f-6d5b-f7bb-c27d-bdb50a0ec8ab</v>
    <v>en-US</v>
    <v>Map</v>
  </rv>
  <rv s="1">
    <v>536870912</v>
    <v>Ceará</v>
    <v>b598e20e-29fb-ccf6-be0e-2650e6ba40c5</v>
    <v>en-US</v>
    <v>Map</v>
  </rv>
  <rv s="1">
    <v>536870912</v>
    <v>Maranhão</v>
    <v>98274980-9da4-ff5e-78a1-e512bb4179ca</v>
    <v>en-US</v>
    <v>Map</v>
  </rv>
  <rv s="1">
    <v>536870912</v>
    <v>Paraíba</v>
    <v>f5be810b-3322-2252-c10f-35206d84b548</v>
    <v>en-US</v>
    <v>Map</v>
  </rv>
  <rv s="1">
    <v>536870912</v>
    <v>Pernambuco</v>
    <v>5538aab1-15ae-294f-2c10-f5083201cca1</v>
    <v>en-US</v>
    <v>Map</v>
  </rv>
  <rv s="1">
    <v>536870912</v>
    <v>Piauí</v>
    <v>ab11433a-8357-ae6d-67fe-8570cc271399</v>
    <v>en-US</v>
    <v>Map</v>
  </rv>
  <rv s="1">
    <v>536870912</v>
    <v>Rio Grande do Norte</v>
    <v>4cccb40d-d26b-4493-e031-bcf803f1c2b1</v>
    <v>en-US</v>
    <v>Map</v>
  </rv>
  <rv s="1">
    <v>536870912</v>
    <v>Sergipe</v>
    <v>a7f70762-a1ab-d5de-8bf0-3eb8532c1eb9</v>
    <v>en-US</v>
    <v>Map</v>
  </rv>
  <rv s="1">
    <v>536870912</v>
    <v>Goiás</v>
    <v>38750702-647a-b72a-2cec-e4a55e078f36</v>
    <v>en-US</v>
    <v>Map</v>
  </rv>
  <rv s="1">
    <v>536870912</v>
    <v>Mato Grosso</v>
    <v>af05c757-4d77-813e-b8eb-97635c07f37a</v>
    <v>en-US</v>
    <v>Map</v>
  </rv>
  <rv s="1">
    <v>536870912</v>
    <v>Mato Grosso do Sul</v>
    <v>7de24933-1d79-fc85-387b-3ce7947910b6</v>
    <v>en-US</v>
    <v>Map</v>
  </rv>
  <rv s="1">
    <v>536870912</v>
    <v>Espírito Santo</v>
    <v>dbc4d679-53e7-49d7-c6b3-88a4ca7f522f</v>
    <v>en-US</v>
    <v>Map</v>
  </rv>
  <rv s="1">
    <v>536870912</v>
    <v>Minas Gerais</v>
    <v>974e2066-dee0-aecd-c973-50babb750033</v>
    <v>en-US</v>
    <v>Map</v>
  </rv>
  <rv s="1">
    <v>536870912</v>
    <v>Rio de Janeiro</v>
    <v>3f5a22fa-26bd-86f9-0345-3a6206e8aab5</v>
    <v>en-US</v>
    <v>Map</v>
  </rv>
  <rv s="1">
    <v>536870912</v>
    <v>São Paulo</v>
    <v>4d56ae2d-1aad-8c4f-dca2-4456acc12f89</v>
    <v>en-US</v>
    <v>Map</v>
  </rv>
  <rv s="1">
    <v>536870912</v>
    <v>Paraná</v>
    <v>a33450c4-459a-0682-41ee-635b343dd785</v>
    <v>en-US</v>
    <v>Map</v>
  </rv>
  <rv s="1">
    <v>536870912</v>
    <v>Rio Grande do Sul</v>
    <v>9644dbbf-be0c-de9c-a534-3d7ff4801a8b</v>
    <v>en-US</v>
    <v>Map</v>
  </rv>
  <rv s="1">
    <v>536870912</v>
    <v>Santa Catarina</v>
    <v>6262969d-76c7-e65f-1be5-668011a93ff0</v>
    <v>en-US</v>
    <v>Map</v>
  </rv>
  <rv s="3">
    <v>109</v>
  </rv>
  <rv s="0">
    <fb>0.14178605589771201</fb>
    <v>28</v>
  </rv>
  <rv s="3">
    <v>110</v>
  </rv>
  <rv s="0">
    <fb>0.65099999999999991</fb>
    <v>28</v>
  </rv>
  <rv s="0">
    <fb>0.12083000183105501</fb>
    <v>35</v>
  </rv>
  <rv s="0">
    <fb>183241641</fb>
    <v>9</v>
  </rv>
  <rv s="9">
    <v>#VALUE!</v>
    <v>en-US</v>
    <v>a828cf41-b938-49fe-7986-4b336618d413</v>
    <v>536870912</v>
    <v>1</v>
    <v>248</v>
    <v>55</v>
    <v>Brazil</v>
    <v>5</v>
    <v>6</v>
    <v>Map</v>
    <v>7</v>
    <v>249</v>
    <v>BR</v>
    <v>1500</v>
    <v>1501</v>
    <v>1502</v>
    <v>1503</v>
    <v>1504</v>
    <v>1490</v>
    <v>1505</v>
    <v>1506</v>
    <v>1507</v>
    <v>BRL</v>
    <v>Brazil, officially the Federative Republic of Brazil, is the largest and easternmost country in South America. It is the world's fifth-largest country by area and the seventh largest by population, with over 212 million people. The country is a ...</v>
    <v>1508</v>
    <v>704</v>
    <v>1509</v>
    <v>1510</v>
    <v>1511</v>
    <v>1512</v>
    <v>1513</v>
    <v>1514</v>
    <v>1515</v>
    <v>1516</v>
    <v>1517</v>
    <v>1520</v>
    <v>1521</v>
    <v>1522</v>
    <v>1523</v>
    <v>1524</v>
    <v>1525</v>
    <v>Brazil</v>
    <v>Brazilian National Anthem</v>
    <v>1526</v>
    <v>República Federativa do Brasil</v>
    <v>1527</v>
    <v>1528</v>
    <v>1529</v>
    <v>1530</v>
    <v>1531</v>
    <v>1532</v>
    <v>1226</v>
    <v>175</v>
    <v>1533</v>
    <v>177</v>
    <v>1534</v>
    <v>1561</v>
    <v>1562</v>
    <v>1563</v>
    <v>1564</v>
    <v>1565</v>
    <v>Brazil</v>
    <v>1566</v>
    <v>mdp/vdpid/32</v>
  </rv>
  <rv s="1">
    <v>536870912</v>
    <v>Bandar Seri Begawan</v>
    <v>a0c655b6-95c7-fe5a-2cf3-39ebfad16464</v>
    <v>en-US</v>
    <v>Map</v>
  </rv>
  <rv s="1">
    <v>536870912</v>
    <v>Brunei-Muara District</v>
    <v>b6c13f5e-4b6e-d9fb-0481-ea499518ed7d</v>
    <v>en-US</v>
    <v>Map</v>
  </rv>
  <rv s="0">
    <fb>100.36</fb>
    <v>9</v>
  </rv>
  <rv s="1">
    <v>536870912</v>
    <v>Brunei</v>
    <v>dde316d9-cf10-398d-ffd9-1c4cd798a523</v>
    <v>en-US</v>
    <v>Map</v>
  </rv>
  <rv s="2">
    <v>46</v>
    <v>7</v>
    <v>251</v>
    <v>7</v>
    <v>0</v>
    <v>Image of Bandar Seri Begawan</v>
  </rv>
  <rv s="0">
    <fb>4.9166666666666998</fb>
    <v>0</v>
  </rv>
  <rv s="4">
    <v>https://www.bing.com/search?q=bandar+seri+begawan&amp;form=skydnc</v>
    <v>Learn more on Bing</v>
  </rv>
  <rv s="0">
    <fb>114.91666666667</fb>
    <v>0</v>
  </rv>
  <rv s="0">
    <fb>50000</fb>
    <v>9</v>
  </rv>
  <rv s="14">
    <v>#VALUE!</v>
    <v>en-US</v>
    <v>a0c655b6-95c7-fe5a-2cf3-39ebfad16464</v>
    <v>536870912</v>
    <v>1</v>
    <v>252</v>
    <v>81</v>
    <v>Bandar Seri Begawan</v>
    <v>5</v>
    <v>6</v>
    <v>Map</v>
    <v>7</v>
    <v>253</v>
    <v>1569</v>
    <v>1570</v>
    <v>1571</v>
    <v>Bandar Seri Begawan is the capital and largest city of Brunei. It is officially a municipal area with an area of 100.36 square kilometres and an estimated population of 100,700 as of 2007. It is part of Brunei-Muara District, the smallest yet ...</v>
    <v>1572</v>
    <v>1573</v>
    <v>1574</v>
    <v>1575</v>
    <v>Bandar Seri Begawan</v>
    <v>1576</v>
    <v>Bandar Seri Begawan</v>
    <v>mdp/vdpid/7913080269018497025</v>
  </rv>
  <rv s="0">
    <fb>2.7324477454516698E-2</fb>
    <v>28</v>
  </rv>
  <rv s="0">
    <fb>5765.3135329999996</fb>
    <v>9</v>
  </rv>
  <rv s="0">
    <fb>8000</fb>
    <v>9</v>
  </rv>
  <rv s="0">
    <fb>14.896000000000001</fb>
    <v>29</v>
  </rv>
  <rv s="0">
    <fb>673</fb>
    <v>30</v>
  </rv>
  <rv s="0">
    <fb>7664.03</fb>
    <v>9</v>
  </rv>
  <rv s="0">
    <fb>99.026816572106597</fb>
    <v>31</v>
  </rv>
  <rv s="0">
    <fb>-3.90522069165492E-3</fb>
    <v>28</v>
  </rv>
  <rv s="0">
    <fb>10291.164046084499</fb>
    <v>9</v>
  </rv>
  <rv s="0">
    <fb>1.8480000000000001</fb>
    <v>29</v>
  </rv>
  <rv s="0">
    <fb>0.72106261859582499</fb>
    <v>28</v>
  </rv>
  <rv s="0">
    <fb>99.995188469885605</fb>
    <v>34</v>
  </rv>
  <rv s="0">
    <fb>0.37</fb>
    <v>32</v>
  </rv>
  <rv s="0">
    <fb>13469422941.391899</fb>
    <v>33</v>
  </rv>
  <rv s="0">
    <fb>1.0315162</fb>
    <v>28</v>
  </rv>
  <rv s="0">
    <fb>0.31392579999999998</fb>
    <v>28</v>
  </rv>
  <rv s="2">
    <v>47</v>
    <v>7</v>
    <v>255</v>
    <v>7</v>
    <v>0</v>
    <v>Image of Brunei</v>
  </rv>
  <rv s="0">
    <fb>9.8000000000000007</fb>
    <v>34</v>
  </rv>
  <rv s="1">
    <v>805306368</v>
    <v>Hassanal Bolkiah (Sultan)</v>
    <v>6b9258af-d724-efe1-f49a-a65df912038b</v>
    <v>en-US</v>
    <v>Generic</v>
  </rv>
  <rv s="1">
    <v>805306368</v>
    <v>Hassanal Bolkiah (Prime minister)</v>
    <v>6b9258af-d724-efe1-f49a-a65df912038b</v>
    <v>en-US</v>
    <v>Generic</v>
  </rv>
  <rv s="3">
    <v>111</v>
  </rv>
  <rv s="4">
    <v>https://www.bing.com/search?q=brunei&amp;form=skydnc</v>
    <v>Learn more on Bing</v>
  </rv>
  <rv s="0">
    <fb>75.721999999999994</fb>
    <v>34</v>
  </rv>
  <rv s="0">
    <fb>31</fb>
    <v>34</v>
  </rv>
  <rv s="3">
    <v>112</v>
  </rv>
  <rv s="0">
    <fb>6.0119631E-2</fb>
    <v>28</v>
  </rv>
  <rv s="0">
    <fb>1.609</fb>
    <v>29</v>
  </rv>
  <rv s="0">
    <fb>449002</fb>
    <v>9</v>
  </rv>
  <rv s="0">
    <fb>0.64678001403808594</fb>
    <v>28</v>
  </rv>
  <rv s="1">
    <v>536870912</v>
    <v>Belait District</v>
    <v>2556f0e1-d2ef-f34a-7d2b-203798d09ed4</v>
    <v>en-US</v>
    <v>Map</v>
  </rv>
  <rv s="1">
    <v>536870912</v>
    <v>Brunei–Muara District</v>
    <v>b6c13f5e-4b6e-d9fb-0481-ea499518ed7d</v>
    <v>en-US</v>
    <v>Map</v>
  </rv>
  <rv s="1">
    <v>536870912</v>
    <v>Temburong District</v>
    <v>66ea33cd-31e3-55ec-e6f0-49ca01d7a004</v>
    <v>en-US</v>
    <v>Map</v>
  </rv>
  <rv s="1">
    <v>536870912</v>
    <v>Tutong District</v>
    <v>9360ebc0-b1cf-8937-52c0-5278ac08b670</v>
    <v>en-US</v>
    <v>Map</v>
  </rv>
  <rv s="3">
    <v>113</v>
  </rv>
  <rv s="3">
    <v>114</v>
  </rv>
  <rv s="0">
    <fb>0.08</fb>
    <v>28</v>
  </rv>
  <rv s="0">
    <fb>9.1169996261596692E-2</fb>
    <v>35</v>
  </rv>
  <rv s="0">
    <fb>337711</fb>
    <v>9</v>
  </rv>
  <rv s="28">
    <v>#VALUE!</v>
    <v>en-US</v>
    <v>dde316d9-cf10-398d-ffd9-1c4cd798a523</v>
    <v>536870912</v>
    <v>1</v>
    <v>258</v>
    <v>259</v>
    <v>Brunei</v>
    <v>5</v>
    <v>6</v>
    <v>Map</v>
    <v>7</v>
    <v>260</v>
    <v>BN</v>
    <v>1578</v>
    <v>1579</v>
    <v>1580</v>
    <v>1581</v>
    <v>1582</v>
    <v>1568</v>
    <v>1583</v>
    <v>1584</v>
    <v>1585</v>
    <v>BND</v>
    <v>Brunei, officially Brunei Darussalam, is a country in Southeast Asia, situated on the northern coast of the island of Borneo. Apart from its coastline on the South China Sea, it is completely surrounded by the Malaysian state of Sarawak, with ...</v>
    <v>1586</v>
    <v>1587</v>
    <v>1588</v>
    <v>1589</v>
    <v>1590</v>
    <v>1591</v>
    <v>1592</v>
    <v>1593</v>
    <v>1594</v>
    <v>1595</v>
    <v>1568</v>
    <v>1598</v>
    <v>1599</v>
    <v>1600</v>
    <v>1601</v>
    <v>Brunei</v>
    <v>Allah Peliharakan Sultan</v>
    <v>1602</v>
    <v>le Brunei Darussalam</v>
    <v>1603</v>
    <v>1604</v>
    <v>1605</v>
    <v>1606</v>
    <v>1611</v>
    <v>1612</v>
    <v>1613</v>
    <v>1614</v>
    <v>Brunei</v>
    <v>1615</v>
    <v>mdp/vdpid/37</v>
  </rv>
  <rv s="1">
    <v>536870912</v>
    <v>Sofia</v>
    <v>eff4fcb8-c55d-2f4b-c72e-3fe0a1efe922</v>
    <v>en-US</v>
    <v>Map</v>
  </rv>
  <rv s="1">
    <v>536870912</v>
    <v>Sofia City Province</v>
    <v>3c8166aa-96fc-06d8-0611-6990b84abb0c</v>
    <v>en-US</v>
    <v>Map</v>
  </rv>
  <rv s="0">
    <fb>492</fb>
    <v>9</v>
  </rv>
  <rv s="1">
    <v>536870912</v>
    <v>Bulgaria</v>
    <v>74aa5012-510a-f5fb-6b80-bdb48e9f088c</v>
    <v>en-US</v>
    <v>Map</v>
  </rv>
  <rv s="2">
    <v>48</v>
    <v>7</v>
    <v>261</v>
    <v>7</v>
    <v>0</v>
    <v>Image of Sofia</v>
  </rv>
  <rv s="0">
    <fb>42.697885999999997</fb>
    <v>0</v>
  </rv>
  <rv s="1">
    <v>805306368</v>
    <v>Vassil Terziev (Mayor)</v>
    <v>ac80d52e-afc1-ee60-a37d-54df0188a4e8</v>
    <v>en-US</v>
    <v>Generic</v>
  </rv>
  <rv s="3">
    <v>115</v>
  </rv>
  <rv s="4">
    <v>https://www.bing.com/search?q=sofia+bulgaria&amp;form=skydnc</v>
    <v>Learn more on Bing</v>
  </rv>
  <rv s="0">
    <fb>23.321726000000002</fb>
    <v>0</v>
  </rv>
  <rv s="0">
    <fb>1276956</fb>
    <v>9</v>
  </rv>
  <rv s="24">
    <v>#VALUE!</v>
    <v>en-US</v>
    <v>eff4fcb8-c55d-2f4b-c72e-3fe0a1efe922</v>
    <v>536870912</v>
    <v>1</v>
    <v>262</v>
    <v>189</v>
    <v>Sofia</v>
    <v>5</v>
    <v>6</v>
    <v>Map</v>
    <v>7</v>
    <v>61</v>
    <v>1618</v>
    <v>1619</v>
    <v>1620</v>
    <v>Sofia is the capital and largest city of Bulgaria. It is situated in the Sofia Valley at the foot of the Vitosha mountain, in the western part of the country. The city is built west of the Iskar river and has many mineral springs, such as the ...</v>
    <v>1621</v>
    <v>1622</v>
    <v>1624</v>
    <v>1625</v>
    <v>1626</v>
    <v>Sofia</v>
    <v>1627</v>
    <v>Sofia</v>
    <v>mdp/vdpid/7242184910952202241</v>
  </rv>
  <rv s="0">
    <fb>0.46250921149594704</fb>
    <v>28</v>
  </rv>
  <rv s="0">
    <fb>110993.60000000001</fb>
    <v>9</v>
  </rv>
  <rv s="0">
    <fb>31000</fb>
    <v>9</v>
  </rv>
  <rv s="0">
    <fb>8.9</fb>
    <v>29</v>
  </rv>
  <rv s="0">
    <fb>359</fb>
    <v>30</v>
  </rv>
  <rv s="0">
    <fb>41708.457999999999</fb>
    <v>9</v>
  </rv>
  <rv s="0">
    <fb>114.41839316035301</fb>
    <v>31</v>
  </rv>
  <rv s="0">
    <fb>3.1037294479677402E-2</fb>
    <v>28</v>
  </rv>
  <rv s="0">
    <fb>4708.9274575723102</fb>
    <v>9</v>
  </rv>
  <rv s="0">
    <fb>1.56</fb>
    <v>29</v>
  </rv>
  <rv s="0">
    <fb>0.35373986285665798</fb>
    <v>28</v>
  </rv>
  <rv s="0">
    <fb>71.045922522026899</fb>
    <v>34</v>
  </rv>
  <rv s="0">
    <fb>1.1100000000000001</fb>
    <v>32</v>
  </rv>
  <rv s="0">
    <fb>86000000000</fb>
    <v>33</v>
  </rv>
  <rv s="0">
    <fb>0.89333770000000001</fb>
    <v>28</v>
  </rv>
  <rv s="0">
    <fb>0.71030660000000001</fb>
    <v>28</v>
  </rv>
  <rv s="2">
    <v>49</v>
    <v>7</v>
    <v>264</v>
    <v>7</v>
    <v>0</v>
    <v>Image of Bulgaria</v>
  </rv>
  <rv s="0">
    <fb>5.9</fb>
    <v>34</v>
  </rv>
  <rv s="1">
    <v>805306368</v>
    <v>Rumen Radev (President)</v>
    <v>396c5d7f-9881-c4d9-cdcd-b74a3ea2c024</v>
    <v>en-US</v>
    <v>Generic</v>
  </rv>
  <rv s="1">
    <v>805306368</v>
    <v>Iliana Iotova (Vice president)</v>
    <v>a785fd4e-7b51-e907-ba50-10ed795f0bc9</v>
    <v>en-US</v>
    <v>Generic</v>
  </rv>
  <rv s="1">
    <v>805306368</v>
    <v>Rosen Zhelyazkov (Prime minister)</v>
    <v>728e826c-5721-ddab-eeac-d55bb2a6e19d</v>
    <v>en-US</v>
    <v>Generic</v>
  </rv>
  <rv s="3">
    <v>116</v>
  </rv>
  <rv s="4">
    <v>https://www.bing.com/search?q=bulgaria&amp;form=skydnc</v>
    <v>Learn more on Bing</v>
  </rv>
  <rv s="0">
    <fb>74.865853658536594</fb>
    <v>34</v>
  </rv>
  <rv s="0">
    <fb>8253250000</fb>
    <v>33</v>
  </rv>
  <rv s="0">
    <fb>1.57</fb>
    <v>32</v>
  </rv>
  <rv s="3">
    <v>117</v>
  </rv>
  <rv s="0">
    <fb>0.47668267909999995</fb>
    <v>28</v>
  </rv>
  <rv s="0">
    <fb>4.0331999999999999</fb>
    <v>29</v>
  </rv>
  <rv s="0">
    <fb>6465097</fb>
    <v>9</v>
  </rv>
  <rv s="0">
    <fb>0.21299999999999999</fb>
    <v>28</v>
  </rv>
  <rv s="0">
    <fb>0.31900000000000001</fb>
    <v>28</v>
  </rv>
  <rv s="0">
    <fb>0.46600000000000003</fb>
    <v>28</v>
  </rv>
  <rv s="0">
    <fb>1.9E-2</fb>
    <v>28</v>
  </rv>
  <rv s="0">
    <fb>5.7000000000000002E-2</fb>
    <v>28</v>
  </rv>
  <rv s="0">
    <fb>0.11</fb>
    <v>28</v>
  </rv>
  <rv s="0">
    <fb>0.55367000579834003</fb>
    <v>28</v>
  </rv>
  <rv s="1">
    <v>536870912</v>
    <v>Blagoevgrad Province</v>
    <v>8ded25ce-e3d4-642b-4889-064c7d724958</v>
    <v>en-US</v>
    <v>Map</v>
  </rv>
  <rv s="1">
    <v>536870912</v>
    <v>Burgas Province</v>
    <v>443f974a-4bfb-2414-7bd3-b175c0b45f0f</v>
    <v>en-US</v>
    <v>Map</v>
  </rv>
  <rv s="1">
    <v>536870912</v>
    <v>Dobrich Province</v>
    <v>a177d832-8845-23a6-ed1b-d497c6b9cf4a</v>
    <v>en-US</v>
    <v>Map</v>
  </rv>
  <rv s="1">
    <v>536870912</v>
    <v>Plovdiv Province</v>
    <v>3672cc48-23a5-9f46-35a5-2f4185be4c98</v>
    <v>en-US</v>
    <v>Map</v>
  </rv>
  <rv s="1">
    <v>536870912</v>
    <v>Gabrovo Province</v>
    <v>b6427aae-cd44-0105-2cc8-0d73897a7540</v>
    <v>en-US</v>
    <v>Map</v>
  </rv>
  <rv s="1">
    <v>536870912</v>
    <v>Haskovo Province</v>
    <v>73ca7e64-5786-bcc7-1823-082cb9bc65c8</v>
    <v>en-US</v>
    <v>Map</v>
  </rv>
  <rv s="1">
    <v>536870912</v>
    <v>Yambol Province</v>
    <v>20ed6940-66fe-8c50-1220-448f9d1ade32</v>
    <v>en-US</v>
    <v>Map</v>
  </rv>
  <rv s="1">
    <v>536870912</v>
    <v>Kardzhali Province</v>
    <v>10e9ee5b-d5f8-c267-0f19-b1877cd3e63d</v>
    <v>en-US</v>
    <v>Map</v>
  </rv>
  <rv s="1">
    <v>536870912</v>
    <v>Kyustendil Province</v>
    <v>b8088648-e27e-1024-b371-6f0516f14c38</v>
    <v>en-US</v>
    <v>Map</v>
  </rv>
  <rv s="1">
    <v>536870912</v>
    <v>Lovech Province</v>
    <v>10897c71-c602-548d-e1ce-86c199b79bb6</v>
    <v>en-US</v>
    <v>Map</v>
  </rv>
  <rv s="1">
    <v>536870912</v>
    <v>Montana Province</v>
    <v>92b12c75-9dc1-0ddf-69ec-07e25c3c0a8f</v>
    <v>en-US</v>
    <v>Map</v>
  </rv>
  <rv s="1">
    <v>536870912</v>
    <v>Pazardzhik Province</v>
    <v>5067ddd2-5707-31e6-be8c-4d0fae0660c4</v>
    <v>en-US</v>
    <v>Map</v>
  </rv>
  <rv s="1">
    <v>536870912</v>
    <v>Pernik Province</v>
    <v>748a63df-9088-53cb-34a6-116048f6f4fa</v>
    <v>en-US</v>
    <v>Map</v>
  </rv>
  <rv s="1">
    <v>536870912</v>
    <v>Pleven Province</v>
    <v>2c5af5f6-f2e0-3529-006b-ae9a4c18039d</v>
    <v>en-US</v>
    <v>Map</v>
  </rv>
  <rv s="1">
    <v>536870912</v>
    <v>Razgrad Province</v>
    <v>065054e4-f056-8fd0-c87d-68e9162a8538</v>
    <v>en-US</v>
    <v>Map</v>
  </rv>
  <rv s="1">
    <v>536870912</v>
    <v>Ruse Province</v>
    <v>6cd2a7d9-8d1b-df19-74fa-b264c310496e</v>
    <v>en-US</v>
    <v>Map</v>
  </rv>
  <rv s="1">
    <v>536870912</v>
    <v>Silistra Province</v>
    <v>c855225a-7895-b5f3-db5a-626bacb9ef04</v>
    <v>en-US</v>
    <v>Map</v>
  </rv>
  <rv s="1">
    <v>536870912</v>
    <v>Sliven Province</v>
    <v>68405c86-93bf-0229-64d7-e6223de1e273</v>
    <v>en-US</v>
    <v>Map</v>
  </rv>
  <rv s="1">
    <v>536870912</v>
    <v>Smolyan Province</v>
    <v>e5466c10-8f55-bb4b-b4e5-846fd3141d53</v>
    <v>en-US</v>
    <v>Map</v>
  </rv>
  <rv s="1">
    <v>536870912</v>
    <v>Sofia Province</v>
    <v>1ba90f10-4ca5-a6b7-f231-146d244f1507</v>
    <v>en-US</v>
    <v>Map</v>
  </rv>
  <rv s="1">
    <v>536870912</v>
    <v>Stara Zagora Province</v>
    <v>ced6a914-c48d-45c7-2608-77a1a7fa7bda</v>
    <v>en-US</v>
    <v>Map</v>
  </rv>
  <rv s="1">
    <v>536870912</v>
    <v>Shumen Province</v>
    <v>2c972deb-3356-dfe3-6548-f973a0f8129e</v>
    <v>en-US</v>
    <v>Map</v>
  </rv>
  <rv s="1">
    <v>536870912</v>
    <v>Targovishte Province</v>
    <v>27838f32-dfc0-28d2-2853-7cdfd4bde6f3</v>
    <v>en-US</v>
    <v>Map</v>
  </rv>
  <rv s="1">
    <v>536870912</v>
    <v>Varna Province</v>
    <v>1101bd86-143c-c8e8-99ed-e537e115ba15</v>
    <v>en-US</v>
    <v>Map</v>
  </rv>
  <rv s="1">
    <v>536870912</v>
    <v>Veliko Tarnovo Province</v>
    <v>9ba20876-be15-7cca-a266-62f9ac350794</v>
    <v>en-US</v>
    <v>Map</v>
  </rv>
  <rv s="1">
    <v>536870912</v>
    <v>Vidin Province</v>
    <v>58ad5cc4-961c-e18e-b38c-0893863b3909</v>
    <v>en-US</v>
    <v>Map</v>
  </rv>
  <rv s="1">
    <v>536870912</v>
    <v>Vratsa Province</v>
    <v>35d2895e-dc89-328c-f81d-699b8afc39d0</v>
    <v>en-US</v>
    <v>Map</v>
  </rv>
  <rv s="3">
    <v>118</v>
  </rv>
  <rv s="0">
    <fb>0.20182262961313399</fb>
    <v>28</v>
  </rv>
  <rv s="3">
    <v>119</v>
  </rv>
  <rv s="0">
    <fb>0.28300000000000003</fb>
    <v>28</v>
  </rv>
  <rv s="0">
    <fb>4.3400001525878897E-2</fb>
    <v>35</v>
  </rv>
  <rv s="0">
    <fb>5256027</fb>
    <v>9</v>
  </rv>
  <rv s="9">
    <v>#VALUE!</v>
    <v>en-US</v>
    <v>74aa5012-510a-f5fb-6b80-bdb48e9f088c</v>
    <v>536870912</v>
    <v>1</v>
    <v>268</v>
    <v>55</v>
    <v>Bulgaria</v>
    <v>5</v>
    <v>6</v>
    <v>Map</v>
    <v>7</v>
    <v>269</v>
    <v>BG</v>
    <v>1629</v>
    <v>1630</v>
    <v>1631</v>
    <v>1632</v>
    <v>1633</v>
    <v>1617</v>
    <v>1634</v>
    <v>1635</v>
    <v>1636</v>
    <v>BGN</v>
    <v>Bulgaria, officially the Republic of Bulgaria, is a country in Southeast Europe. It is situated on the eastern portion of the Balkans directly south of the Danube river and west of the Black Sea. Bulgaria is bordered by Greece and Turkey to the ...</v>
    <v>1637</v>
    <v>1638</v>
    <v>1639</v>
    <v>1640</v>
    <v>1641</v>
    <v>1642</v>
    <v>1643</v>
    <v>1644</v>
    <v>1645</v>
    <v>1646</v>
    <v>1617</v>
    <v>1650</v>
    <v>1651</v>
    <v>1652</v>
    <v>1653</v>
    <v>1410</v>
    <v>1654</v>
    <v>Bulgaria</v>
    <v>Mila Rodino</v>
    <v>1655</v>
    <v>Bulharská republika</v>
    <v>1656</v>
    <v>1657</v>
    <v>1658</v>
    <v>1659</v>
    <v>1660</v>
    <v>1661</v>
    <v>1662</v>
    <v>1663</v>
    <v>1664</v>
    <v>514</v>
    <v>1665</v>
    <v>1693</v>
    <v>1694</v>
    <v>1695</v>
    <v>1696</v>
    <v>1697</v>
    <v>Bulgaria</v>
    <v>1698</v>
    <v>mdp/vdpid/35</v>
  </rv>
  <rv s="1">
    <v>536870912</v>
    <v>Ouagadougou</v>
    <v>4ce7d237-e6df-89c2-3840-589216cd771e</v>
    <v>en-US</v>
    <v>Map</v>
  </rv>
  <rv s="1">
    <v>536870912</v>
    <v>Kadiogo Province</v>
    <v>26d3cbe2-f105-36d4-5bb3-67a6136055ab</v>
    <v>en-US</v>
    <v>Map</v>
  </rv>
  <rv s="1">
    <v>536870912</v>
    <v>Ouagadougou Department</v>
    <v>ce4db94f-c961-43ba-91cb-df411d70c2a0</v>
    <v>en-US</v>
    <v>Map</v>
  </rv>
  <rv s="0">
    <fb>219.3</fb>
    <v>9</v>
  </rv>
  <rv s="1">
    <v>536870912</v>
    <v>French Upper Volta</v>
    <v>03e6de2d-d531-8be8-e29a-4eb2fb4fe385</v>
    <v>en-US</v>
    <v>Map</v>
  </rv>
  <rv s="2">
    <v>50</v>
    <v>7</v>
    <v>271</v>
    <v>7</v>
    <v>0</v>
    <v>Image of Ouagadougou</v>
  </rv>
  <rv s="0">
    <fb>12.3686111111111</fb>
    <v>0</v>
  </rv>
  <rv s="1">
    <v>805306368</v>
    <v>Armand Béouindé (Mayor)</v>
    <v>943cbb9a-2f97-c5a7-97ae-adcc3142dd02</v>
    <v>en-US</v>
    <v>Generic</v>
  </rv>
  <rv s="3">
    <v>120</v>
  </rv>
  <rv s="4">
    <v>https://www.bing.com/search?q=ouagadougou&amp;form=skydnc</v>
    <v>Learn more on Bing</v>
  </rv>
  <rv s="0">
    <fb>-1.5275000000000001</fb>
    <v>0</v>
  </rv>
  <rv s="0">
    <fb>2453496</fb>
    <v>9</v>
  </rv>
  <rv s="3">
    <v>121</v>
  </rv>
  <rv s="5">
    <v>#VALUE!</v>
    <v>en-US</v>
    <v>4ce7d237-e6df-89c2-3840-589216cd771e</v>
    <v>536870912</v>
    <v>1</v>
    <v>272</v>
    <v>3</v>
    <v>Ouagadougou</v>
    <v>5</v>
    <v>6</v>
    <v>Map</v>
    <v>7</v>
    <v>125</v>
    <v>1701</v>
    <v>1702</v>
    <v>1703</v>
    <v>1704</v>
    <v>Ouagadougou or Wagadugu is the capital of Burkina Faso, and the administrative, communications, cultural and economic centre of the nation. It is also the country's largest city, with a population of 2,415,266 in 2019. The city's name is often ...</v>
    <v>1705</v>
    <v>1706</v>
    <v>1708</v>
    <v>1709</v>
    <v>1710</v>
    <v>Ouagadougou</v>
    <v>1711</v>
    <v>1712</v>
    <v>Ouagadougou</v>
    <v>mdp/vdpid/5746363760101031937</v>
  </rv>
  <rv s="1">
    <v>536870912</v>
    <v>Gitega</v>
    <v>d1af905d-ae48-808f-0459-d2d6bb8ae512</v>
    <v>en-US</v>
    <v>Map</v>
  </rv>
  <rv s="1">
    <v>536870912</v>
    <v>Gitega Province</v>
    <v>b0b201a0-98b2-faaa-9908-ac63a7edb590</v>
    <v>en-US</v>
    <v>Map</v>
  </rv>
  <rv s="0">
    <fb>22</fb>
    <v>9</v>
  </rv>
  <rv s="1">
    <v>536870912</v>
    <v>Burundi</v>
    <v>06b4a4e8-0361-8a8e-e41f-22f1a41f2784</v>
    <v>en-US</v>
    <v>Map</v>
  </rv>
  <rv s="2">
    <v>51</v>
    <v>7</v>
    <v>274</v>
    <v>7</v>
    <v>0</v>
    <v>Image of Gitega</v>
  </rv>
  <rv s="0">
    <fb>-3.4283333333333301</fb>
    <v>0</v>
  </rv>
  <rv s="4">
    <v>https://www.bing.com/search?q=gitega&amp;form=skydnc</v>
    <v>Learn more on Bing</v>
  </rv>
  <rv s="0">
    <fb>29.925000000000001</fb>
    <v>0</v>
  </rv>
  <rv s="0">
    <fb>135467</fb>
    <v>9</v>
  </rv>
  <rv s="14">
    <v>#VALUE!</v>
    <v>en-US</v>
    <v>d1af905d-ae48-808f-0459-d2d6bb8ae512</v>
    <v>536870912</v>
    <v>1</v>
    <v>275</v>
    <v>81</v>
    <v>Gitega</v>
    <v>5</v>
    <v>6</v>
    <v>Map</v>
    <v>7</v>
    <v>8</v>
    <v>1715</v>
    <v>1716</v>
    <v>1717</v>
    <v>Gitega, formerly Kitega, is the political capital of Burundi. Located in the centre of the country, in the Burundian central plateau roughly 62 kilometres east of Bujumbura, the largest city and former political capital, Gitega is also the ...</v>
    <v>1718</v>
    <v>1719</v>
    <v>1720</v>
    <v>1721</v>
    <v>Gitega</v>
    <v>1722</v>
    <v>Gitega</v>
    <v>mdp/vdpid/8110029674022699009</v>
  </rv>
  <rv s="0">
    <fb>0.79166666666666696</fb>
    <v>28</v>
  </rv>
  <rv s="0">
    <fb>27834</fb>
    <v>9</v>
  </rv>
  <rv s="0">
    <fb>39.008000000000003</fb>
    <v>29</v>
  </rv>
  <rv s="0">
    <fb>257</fb>
    <v>30</v>
  </rv>
  <rv s="0">
    <fb>495.04500000000002</fb>
    <v>9</v>
  </rv>
  <rv s="0">
    <fb>182.11233999434401</fb>
    <v>31</v>
  </rv>
  <rv s="0">
    <fb>-6.8677217079722895E-3</fb>
    <v>28</v>
  </rv>
  <rv s="0">
    <fb>5.41</fb>
    <v>29</v>
  </rv>
  <rv s="0">
    <fb>0.109267915149344</fb>
    <v>28</v>
  </rv>
  <rv s="0">
    <fb>1.21</fb>
    <v>32</v>
  </rv>
  <rv s="0">
    <fb>3012334881.6405702</fb>
    <v>33</v>
  </rv>
  <rv s="0">
    <fb>1.2142156</fb>
    <v>28</v>
  </rv>
  <rv s="0">
    <fb>6.0501600000000003E-2</fb>
    <v>28</v>
  </rv>
  <rv s="2">
    <v>52</v>
    <v>7</v>
    <v>277</v>
    <v>7</v>
    <v>0</v>
    <v>Image of Burundi</v>
  </rv>
  <rv s="0">
    <fb>41</fb>
    <v>34</v>
  </rv>
  <rv s="1">
    <v>536870912</v>
    <v>Bujumbura</v>
    <v>bc83cc34-7c20-e35f-6afe-e4a4612bb1b2</v>
    <v>en-US</v>
    <v>Map</v>
  </rv>
  <rv s="1">
    <v>805306368</v>
    <v>Évariste Ndayishimiye (President)</v>
    <v>eda12947-bf03-f3e6-b130-58f6de738850</v>
    <v>en-US</v>
    <v>Generic</v>
  </rv>
  <rv s="1">
    <v>805306368</v>
    <v>Gervais Ndirakobuca (Prime minister)</v>
    <v>f3ddd9bb-70c7-46d9-fa22-29bda040e387</v>
    <v>en-US</v>
    <v>Generic</v>
  </rv>
  <rv s="1">
    <v>805306368</v>
    <v>Prosper Bazombanza (Vice president)</v>
    <v>d3fcce6e-8b82-f971-a905-75b24470aa5f</v>
    <v>en-US</v>
    <v>Generic</v>
  </rv>
  <rv s="3">
    <v>122</v>
  </rv>
  <rv s="4">
    <v>https://www.bing.com/search?q=burundi&amp;form=skydnc</v>
    <v>Learn more on Bing</v>
  </rv>
  <rv s="0">
    <fb>61.247</fb>
    <v>34</v>
  </rv>
  <rv s="0">
    <fb>548</fb>
    <v>34</v>
  </rv>
  <rv s="3">
    <v>123</v>
  </rv>
  <rv s="0">
    <fb>0.19066551600000001</fb>
    <v>28</v>
  </rv>
  <rv s="0">
    <fb>0.10009999999999999</fb>
    <v>29</v>
  </rv>
  <rv s="0">
    <fb>12889576</fb>
    <v>9</v>
  </rv>
  <rv s="0">
    <fb>0.31</fb>
    <v>28</v>
  </rv>
  <rv s="0">
    <fb>0.46299999999999997</fb>
    <v>28</v>
  </rv>
  <rv s="0">
    <fb>6.9000000000000006E-2</fb>
    <v>28</v>
  </rv>
  <rv s="0">
    <fb>0.15</fb>
    <v>28</v>
  </rv>
  <rv s="0">
    <fb>0.791539993286133</fb>
    <v>28</v>
  </rv>
  <rv s="1">
    <v>536870912</v>
    <v>Bubanza Province</v>
    <v>f977d556-18ee-2cbe-dee3-d603f13defd3</v>
    <v>en-US</v>
    <v>Map</v>
  </rv>
  <rv s="1">
    <v>536870912</v>
    <v>Bujumbura Mairie Province</v>
    <v>232fe7f8-9b82-4926-6984-828b272b8fcf</v>
    <v>en-US</v>
    <v>Map</v>
  </rv>
  <rv s="1">
    <v>536870912</v>
    <v>Bujumbura Rural Province</v>
    <v>c747f228-eb58-78a6-38ca-a6566a3016e5</v>
    <v>en-US</v>
    <v>Map</v>
  </rv>
  <rv s="1">
    <v>536870912</v>
    <v>Bururi Province</v>
    <v>c9bf8461-32d0-69ae-5000-b2a03cf22496</v>
    <v>en-US</v>
    <v>Map</v>
  </rv>
  <rv s="1">
    <v>536870912</v>
    <v>Cankuzo Province</v>
    <v>f73c588b-3346-4d6d-09ee-8df4a782b221</v>
    <v>en-US</v>
    <v>Map</v>
  </rv>
  <rv s="1">
    <v>536870912</v>
    <v>Cibitoke Province</v>
    <v>8d507665-9efe-c4f2-656e-8d05d92dcbba</v>
    <v>en-US</v>
    <v>Map</v>
  </rv>
  <rv s="1">
    <v>536870912</v>
    <v>Karuzi Province</v>
    <v>c98c18dc-ca61-082c-94f9-5dd8de0ba7b4</v>
    <v>en-US</v>
    <v>Map</v>
  </rv>
  <rv s="1">
    <v>536870912</v>
    <v>Kayanza Province</v>
    <v>b6805502-9f8d-7875-d952-b357b193a13c</v>
    <v>en-US</v>
    <v>Map</v>
  </rv>
  <rv s="1">
    <v>536870912</v>
    <v>Kirundo Province</v>
    <v>5ec1d3aa-00b1-4862-e2f1-b06812909203</v>
    <v>en-US</v>
    <v>Map</v>
  </rv>
  <rv s="1">
    <v>536870912</v>
    <v>Makamba Province</v>
    <v>e28922db-283e-d524-4766-0b7f9e03622c</v>
    <v>en-US</v>
    <v>Map</v>
  </rv>
  <rv s="1">
    <v>536870912</v>
    <v>Muramvya Province</v>
    <v>2cdad420-5c47-4683-b01f-8339e2ba1866</v>
    <v>en-US</v>
    <v>Map</v>
  </rv>
  <rv s="1">
    <v>536870912</v>
    <v>Muyinga Province</v>
    <v>5496c5b2-12e2-1001-d45a-9e932ec0668d</v>
    <v>en-US</v>
    <v>Map</v>
  </rv>
  <rv s="1">
    <v>536870912</v>
    <v>Mwaro Province</v>
    <v>ced53541-3e87-02ea-e9a1-1378421bf35e</v>
    <v>en-US</v>
    <v>Map</v>
  </rv>
  <rv s="1">
    <v>536870912</v>
    <v>Ngozi Province</v>
    <v>836744bb-ae85-9b96-3ddc-63e5231ba394</v>
    <v>en-US</v>
    <v>Map</v>
  </rv>
  <rv s="1">
    <v>536870912</v>
    <v>Rutana Province</v>
    <v>e560e4aa-3609-a11a-9b69-e8a314cf22d5</v>
    <v>en-US</v>
    <v>Map</v>
  </rv>
  <rv s="1">
    <v>536870912</v>
    <v>Ruyigi Province</v>
    <v>63bb3dbe-a766-36e6-22da-4b08677aa57f</v>
    <v>en-US</v>
    <v>Map</v>
  </rv>
  <rv s="3">
    <v>124</v>
  </rv>
  <rv s="0">
    <fb>0.135974418093983</fb>
    <v>28</v>
  </rv>
  <rv s="3">
    <v>125</v>
  </rv>
  <rv s="0">
    <fb>0.41200000000000003</fb>
    <v>28</v>
  </rv>
  <rv s="0">
    <fb>1.42700004577637E-2</fb>
    <v>35</v>
  </rv>
  <rv s="0">
    <fb>1541177</fb>
    <v>9</v>
  </rv>
  <rv s="29">
    <v>#VALUE!</v>
    <v>en-US</v>
    <v>06b4a4e8-0361-8a8e-e41f-22f1a41f2784</v>
    <v>536870912</v>
    <v>1</v>
    <v>280</v>
    <v>281</v>
    <v>Burundi</v>
    <v>5</v>
    <v>6</v>
    <v>Map</v>
    <v>7</v>
    <v>282</v>
    <v>BI</v>
    <v>1724</v>
    <v>1725</v>
    <v>1631</v>
    <v>1726</v>
    <v>1727</v>
    <v>1714</v>
    <v>1728</v>
    <v>1729</v>
    <v>1730</v>
    <v>BIF</v>
    <v>Burundi, officially the Republic of Burundi, is a landlocked country in East Africa. It is located in the Great Rift Valley at the junction between the African Great Lakes region and Southeast Africa, with a population of over 14 million people. ...</v>
    <v>1731</v>
    <v>1732</v>
    <v>1733</v>
    <v>1734</v>
    <v>1735</v>
    <v>1736</v>
    <v>1737</v>
    <v>1738</v>
    <v>1739</v>
    <v>1743</v>
    <v>1744</v>
    <v>1745</v>
    <v>1746</v>
    <v>Burundi</v>
    <v>Burundi Bwacu</v>
    <v>1747</v>
    <v>Uburundi</v>
    <v>1748</v>
    <v>1749</v>
    <v>1750</v>
    <v>585</v>
    <v>1751</v>
    <v>1752</v>
    <v>651</v>
    <v>1753</v>
    <v>1664</v>
    <v>1754</v>
    <v>1755</v>
    <v>1772</v>
    <v>1773</v>
    <v>1774</v>
    <v>1775</v>
    <v>1776</v>
    <v>Burundi</v>
    <v>1777</v>
    <v>mdp/vdpid/38</v>
  </rv>
  <rv s="1">
    <v>536870912</v>
    <v>Praia</v>
    <v>78c8a737-4c28-9af0-ee0b-e664b36b5560</v>
    <v>en-US</v>
    <v>Map</v>
  </rv>
  <rv s="1">
    <v>536870912</v>
    <v>Sotavento Islands</v>
    <v>be1a3a6a-c2a2-f206-21b2-6127b0b90690</v>
    <v>en-US</v>
    <v>Map</v>
  </rv>
  <rv s="1">
    <v>536870912</v>
    <v>Praia, Cape Verde</v>
    <v>fa2bf56b-a438-0d36-51eb-728e4d9b7ca5</v>
    <v>en-US</v>
    <v>Map</v>
  </rv>
  <rv s="0">
    <fb>102.6</fb>
    <v>9</v>
  </rv>
  <rv s="1">
    <v>536870912</v>
    <v>Cape Verde</v>
    <v>f5c359d6-b579-f02c-e5ec-07e6cc68c768</v>
    <v>en-US</v>
    <v>Map</v>
  </rv>
  <rv s="2">
    <v>53</v>
    <v>7</v>
    <v>283</v>
    <v>7</v>
    <v>0</v>
    <v>Image of Praia</v>
  </rv>
  <rv s="0">
    <fb>14.917719444444</fb>
    <v>0</v>
  </rv>
  <rv s="4">
    <v>https://www.bing.com/search?q=praia&amp;form=skydnc</v>
    <v>Learn more on Bing</v>
  </rv>
  <rv s="0">
    <fb>-23.509155555555999</fb>
    <v>0</v>
  </rv>
  <rv s="0">
    <fb>159050</fb>
    <v>9</v>
  </rv>
  <rv s="3">
    <v>126</v>
  </rv>
  <rv s="13">
    <v>#VALUE!</v>
    <v>en-US</v>
    <v>78c8a737-4c28-9af0-ee0b-e664b36b5560</v>
    <v>536870912</v>
    <v>1</v>
    <v>284</v>
    <v>72</v>
    <v>Praia</v>
    <v>5</v>
    <v>6</v>
    <v>Map</v>
    <v>7</v>
    <v>148</v>
    <v>1780</v>
    <v>1781</v>
    <v>1782</v>
    <v>1783</v>
    <v>Praia is the capital and largest city of Cape Verde. Located on the southern coast of Santiago island, within the Sotavento Islands group, the city is the seat of the Praia Municipality. Praia is the political, economic and cultural center of ...</v>
    <v>1784</v>
    <v>1785</v>
    <v>1786</v>
    <v>1787</v>
    <v>Praia</v>
    <v>1788</v>
    <v>1789</v>
    <v>Praia</v>
    <v>mdp/vdpid/5709328600067473409</v>
  </rv>
  <rv s="0">
    <fb>0.19602977667493801</fb>
    <v>28</v>
  </rv>
  <rv s="0">
    <fb>4033</fb>
    <v>9</v>
  </rv>
  <rv s="0">
    <fb>19.489999999999998</fb>
    <v>29</v>
  </rv>
  <rv s="0">
    <fb>238</fb>
    <v>30</v>
  </rv>
  <rv s="0">
    <fb>542.71600000000001</fb>
    <v>9</v>
  </rv>
  <rv s="0">
    <fb>110.50160632139099</fb>
    <v>31</v>
  </rv>
  <rv s="0">
    <fb>1.1066665649414401E-2</fb>
    <v>28</v>
  </rv>
  <rv s="0">
    <fb>2.274</fb>
    <v>29</v>
  </rv>
  <rv s="0">
    <fb>0.22545905858647999</fb>
    <v>28</v>
  </rv>
  <rv s="0">
    <fb>1981845740.7061501</fb>
    <v>33</v>
  </rv>
  <rv s="0">
    <fb>1.0402796999999999</fb>
    <v>28</v>
  </rv>
  <rv s="0">
    <fb>0.23616510000000002</fb>
    <v>28</v>
  </rv>
  <rv s="2">
    <v>54</v>
    <v>7</v>
    <v>286</v>
    <v>7</v>
    <v>0</v>
    <v>Image of Cape Verde</v>
  </rv>
  <rv s="0">
    <fb>16.7</fb>
    <v>34</v>
  </rv>
  <rv s="1">
    <v>805306368</v>
    <v>José Maria Neves (President)</v>
    <v>47b5deba-3ca5-87b6-3f01-cbe50d3fedb6</v>
    <v>en-US</v>
    <v>Generic</v>
  </rv>
  <rv s="1">
    <v>805306368</v>
    <v>Ulisses Correia e Silva (Prime minister)</v>
    <v>2b16dc4b-324c-04ed-3cea-8a9b2a37fc7a</v>
    <v>en-US</v>
    <v>Generic</v>
  </rv>
  <rv s="3">
    <v>127</v>
  </rv>
  <rv s="4">
    <v>https://www.bing.com/search?q=cape+verde&amp;form=skydnc</v>
    <v>Learn more on Bing</v>
  </rv>
  <rv s="0">
    <fb>72.781999999999996</fb>
    <v>34</v>
  </rv>
  <rv s="0">
    <fb>58</fb>
    <v>34</v>
  </rv>
  <rv s="0">
    <fb>0.68</fb>
    <v>32</v>
  </rv>
  <rv s="3">
    <v>128</v>
  </rv>
  <rv s="0">
    <fb>0.23170751710000001</fb>
    <v>28</v>
  </rv>
  <rv s="0">
    <fb>0.76939999999999997</fb>
    <v>29</v>
  </rv>
  <rv s="0">
    <fb>593149</fb>
    <v>9</v>
  </rv>
  <rv s="0">
    <fb>0.21600000000000003</fb>
    <v>28</v>
  </rv>
  <rv s="0">
    <fb>0.32299999999999995</fb>
    <v>28</v>
  </rv>
  <rv s="0">
    <fb>0.48700000000000004</fb>
    <v>28</v>
  </rv>
  <rv s="0">
    <fb>2.2000000000000002E-2</fb>
    <v>28</v>
  </rv>
  <rv s="0">
    <fb>9.6999999999999989E-2</fb>
    <v>28</v>
  </rv>
  <rv s="0">
    <fb>0.14300000000000002</fb>
    <v>28</v>
  </rv>
  <rv s="0">
    <fb>0.604550018310547</fb>
    <v>28</v>
  </rv>
  <rv s="1">
    <v>536870912</v>
    <v>São Lourenço dos Órgãos, Cape Verde</v>
    <v>f183e7ec-3c03-6fea-e842-5c6b653b9959</v>
    <v>en-US</v>
    <v>Map</v>
  </rv>
  <rv s="1">
    <v>536870912</v>
    <v>São Miguel, Cape Verde</v>
    <v>82f9df29-c086-33fc-9ef5-eaf04e219943</v>
    <v>en-US</v>
    <v>Map</v>
  </rv>
  <rv s="1">
    <v>536870912</v>
    <v>São Salvador do Mundo, Cape Verde</v>
    <v>a1f95461-5e9c-4f01-ff23-232168ef5307</v>
    <v>en-US</v>
    <v>Map</v>
  </rv>
  <rv s="1">
    <v>536870912</v>
    <v>Ribeira Grande, Cape Verde</v>
    <v>6742a278-e6b9-888f-1f14-8dbc62c20e6d</v>
    <v>en-US</v>
    <v>Map</v>
  </rv>
  <rv s="1">
    <v>536870912</v>
    <v>Paul, Cape Verde</v>
    <v>458c0002-934a-ea9d-6a82-5ec5dca5f40d</v>
    <v>en-US</v>
    <v>Map</v>
  </rv>
  <rv s="1">
    <v>536870912</v>
    <v>Porto Novo, Cape Verde</v>
    <v>decabdcc-76c3-86ab-8123-ebc3e0865185</v>
    <v>en-US</v>
    <v>Map</v>
  </rv>
  <rv s="1">
    <v>536870912</v>
    <v>Ribeira Brava, Cape Verde</v>
    <v>32abb67d-a103-da7d-50c0-f3d23d7081b1</v>
    <v>en-US</v>
    <v>Map</v>
  </rv>
  <rv s="1">
    <v>536870912</v>
    <v>Tarrafal de São Nicolau</v>
    <v>55b2c9c6-739e-2a17-ad43-ebff2a632d02</v>
    <v>en-US</v>
    <v>Map</v>
  </rv>
  <rv s="1">
    <v>536870912</v>
    <v>Mosteiros, Cape Verde</v>
    <v>60049836-a2c8-c0f3-f519-5de3b7eec761</v>
    <v>en-US</v>
    <v>Map</v>
  </rv>
  <rv s="1">
    <v>536870912</v>
    <v>Ribeira Grande de Santiago, Cape Verde</v>
    <v>75d0a256-1710-dd23-9ba5-7d66001e0139</v>
    <v>en-US</v>
    <v>Map</v>
  </rv>
  <rv s="1">
    <v>536870912</v>
    <v>Santa Catarina, Cape Verde</v>
    <v>5960d726-cea9-c4b1-7864-27c3ae7120df</v>
    <v>en-US</v>
    <v>Map</v>
  </rv>
  <rv s="1">
    <v>536870912</v>
    <v>Santa Catarina do Fogo, Cape Verde</v>
    <v>62b4e152-ad9d-b1d9-221e-745396f00621</v>
    <v>en-US</v>
    <v>Map</v>
  </rv>
  <rv s="1">
    <v>536870912</v>
    <v>Santa Cruz, Cape Verde</v>
    <v>f6f15e30-f512-139a-1350-14afe8483679</v>
    <v>en-US</v>
    <v>Map</v>
  </rv>
  <rv s="1">
    <v>536870912</v>
    <v>São Domingos, Cape Verde</v>
    <v>1fe33247-d53c-6627-79ac-ab28ecc3af85</v>
    <v>en-US</v>
    <v>Map</v>
  </rv>
  <rv s="1">
    <v>536870912</v>
    <v>São Filipe, Cape Verde</v>
    <v>4c226f7f-2d80-ab38-f532-61d277eb98ab</v>
    <v>en-US</v>
    <v>Map</v>
  </rv>
  <rv s="1">
    <v>536870912</v>
    <v>Tarrafal, Cape Verde</v>
    <v>24b4fb16-bfdc-2a3c-195b-a2d8e1443a5d</v>
    <v>en-US</v>
    <v>Map</v>
  </rv>
  <rv s="3">
    <v>129</v>
  </rv>
  <rv s="0">
    <fb>0.20086752683725401</fb>
    <v>28</v>
  </rv>
  <rv s="3">
    <v>130</v>
  </rv>
  <rv s="0">
    <fb>0.375</fb>
    <v>28</v>
  </rv>
  <rv s="0">
    <fb>0.122489995956421</fb>
    <v>35</v>
  </rv>
  <rv s="0">
    <fb>364029</fb>
    <v>9</v>
  </rv>
  <rv s="25">
    <v>#VALUE!</v>
    <v>en-US</v>
    <v>f5c359d6-b579-f02c-e5ec-07e6cc68c768</v>
    <v>536870912</v>
    <v>1</v>
    <v>289</v>
    <v>196</v>
    <v>Cape Verde</v>
    <v>5</v>
    <v>6</v>
    <v>Map</v>
    <v>7</v>
    <v>290</v>
    <v>CV</v>
    <v>1791</v>
    <v>1792</v>
    <v>817</v>
    <v>1793</v>
    <v>1794</v>
    <v>1779</v>
    <v>1795</v>
    <v>1796</v>
    <v>1797</v>
    <v>CVE</v>
    <v>Cape Verde or Cabo Verde, officially the Republic of Cabo Verde, is an island country and archipelagic state of West Africa in the central Atlantic Ocean, consisting of ten volcanic islands with a combined land area of about 4,033 square ...</v>
    <v>1798</v>
    <v>1799</v>
    <v>434</v>
    <v>1511</v>
    <v>1800</v>
    <v>1801</v>
    <v>1802</v>
    <v>1803</v>
    <v>1804</v>
    <v>1779</v>
    <v>1807</v>
    <v>1808</v>
    <v>1809</v>
    <v>1810</v>
    <v>1811</v>
    <v>Cape Verde</v>
    <v>Cântico da Liberdade</v>
    <v>1812</v>
    <v>República de Cabo Verde</v>
    <v>1813</v>
    <v>1814</v>
    <v>1815</v>
    <v>1816</v>
    <v>1817</v>
    <v>1818</v>
    <v>1819</v>
    <v>1663</v>
    <v>1820</v>
    <v>1821</v>
    <v>1822</v>
    <v>1839</v>
    <v>1840</v>
    <v>1841</v>
    <v>1842</v>
    <v>1843</v>
    <v>Cape Verde</v>
    <v>1844</v>
    <v>mdp/vdpid/57</v>
  </rv>
  <rv s="1">
    <v>536870912</v>
    <v>Phnom Penh</v>
    <v>2af6d400-9e36-c46e-40c8-48152c13e1cc</v>
    <v>en-US</v>
    <v>Map</v>
  </rv>
  <rv s="0">
    <fb>678.46</fb>
    <v>9</v>
  </rv>
  <rv s="1">
    <v>536870912</v>
    <v>Cambodia</v>
    <v>bb8658d2-efc7-e40e-6397-05439c87cb30</v>
    <v>en-US</v>
    <v>Map</v>
  </rv>
  <rv s="2">
    <v>55</v>
    <v>7</v>
    <v>291</v>
    <v>7</v>
    <v>0</v>
    <v>Image of Phnom Penh</v>
  </rv>
  <rv s="1">
    <v>805306368</v>
    <v>Khuong Sreng (Governor)</v>
    <v>efce3c32-3b10-b430-a3b1-23f29c28bea2</v>
    <v>en-US</v>
    <v>Generic</v>
  </rv>
  <rv s="3">
    <v>131</v>
  </rv>
  <rv s="4">
    <v>https://www.bing.com/search?q=phnom+penh&amp;form=skydnc</v>
    <v>Learn more on Bing</v>
  </rv>
  <rv s="0">
    <fb>2129371</fb>
    <v>9</v>
  </rv>
  <rv s="30">
    <v>#VALUE!</v>
    <v>en-US</v>
    <v>2af6d400-9e36-c46e-40c8-48152c13e1cc</v>
    <v>536870912</v>
    <v>1</v>
    <v>293</v>
    <v>294</v>
    <v>Phnom Penh</v>
    <v>5</v>
    <v>6</v>
    <v>Map</v>
    <v>7</v>
    <v>125</v>
    <v>KH-12</v>
    <v>1847</v>
    <v>1848</v>
    <v>Phnom Penh is the capital and most populous city of Cambodia. It has been the national capital since the French protectorate of Cambodia and has grown to become the nation's primate city and its economic, industrial, and cultural centre. Before ...</v>
    <v>1849</v>
    <v>1851</v>
    <v>1852</v>
    <v>Phnom Penh</v>
    <v>1853</v>
    <v>Phnom Penh</v>
    <v>mdp/vdpid/7869867929397886977</v>
  </rv>
  <rv s="0">
    <fb>0.30903013822796299</fb>
    <v>28</v>
  </rv>
  <rv s="0">
    <fb>181035</fb>
    <v>9</v>
  </rv>
  <rv s="0">
    <fb>191000</fb>
    <v>9</v>
  </rv>
  <rv s="0">
    <fb>22.463999999999999</fb>
    <v>29</v>
  </rv>
  <rv s="0">
    <fb>855</fb>
    <v>30</v>
  </rv>
  <rv s="0">
    <fb>9919.2350000000006</fb>
    <v>9</v>
  </rv>
  <rv s="0">
    <fb>127.633466125719</fb>
    <v>31</v>
  </rv>
  <rv s="0">
    <fb>2.4579649002317901E-2</fb>
    <v>28</v>
  </rv>
  <rv s="0">
    <fb>271.36725823419602</fb>
    <v>9</v>
  </rv>
  <rv s="0">
    <fb>2.5030000000000001</fb>
    <v>29</v>
  </rv>
  <rv s="0">
    <fb>0.52852932298748001</fb>
    <v>28</v>
  </rv>
  <rv s="0">
    <fb>30.629081397543999</fb>
    <v>34</v>
  </rv>
  <rv s="0">
    <fb>0.9</fb>
    <v>32</v>
  </rv>
  <rv s="0">
    <fb>27089389786.968399</fb>
    <v>33</v>
  </rv>
  <rv s="0">
    <fb>1.0741485</fb>
    <v>28</v>
  </rv>
  <rv s="0">
    <fb>0.13687760000000002</fb>
    <v>28</v>
  </rv>
  <rv s="2">
    <v>56</v>
    <v>7</v>
    <v>296</v>
    <v>7</v>
    <v>0</v>
    <v>Image of Cambodia</v>
  </rv>
  <rv s="0">
    <fb>24</fb>
    <v>34</v>
  </rv>
  <rv s="1">
    <v>805306368</v>
    <v>Norodom Sihamoni (Monarch)</v>
    <v>a95f7f79-66ee-d11e-a411-10669d3d5027</v>
    <v>en-US</v>
    <v>Generic</v>
  </rv>
  <rv s="1">
    <v>805306368</v>
    <v>Hun Manet (Prime minister)</v>
    <v>01c2714d-bb04-7cc5-12f6-dda3f77b2c62</v>
    <v>en-US</v>
    <v>Generic</v>
  </rv>
  <rv s="3">
    <v>132</v>
  </rv>
  <rv s="4">
    <v>https://www.bing.com/search?q=cambodia&amp;form=skydnc</v>
    <v>Learn more on Bing</v>
  </rv>
  <rv s="0">
    <fb>69.569999999999993</fb>
    <v>34</v>
  </rv>
  <rv s="0">
    <fb>160</fb>
    <v>34</v>
  </rv>
  <rv s="3">
    <v>133</v>
  </rv>
  <rv s="0">
    <fb>0.59363314229999997</fb>
    <v>28</v>
  </rv>
  <rv s="0">
    <fb>0.16819999999999999</fb>
    <v>29</v>
  </rv>
  <rv s="0">
    <fb>16767842</fb>
    <v>9</v>
  </rv>
  <rv s="0">
    <fb>0.82313003540039109</fb>
    <v>28</v>
  </rv>
  <rv s="1">
    <v>536870912</v>
    <v>Banteay Meanchey province</v>
    <v>505a5635-03c6-3282-06d4-b29d4f60e720</v>
    <v>en-US</v>
    <v>Map</v>
  </rv>
  <rv s="1">
    <v>536870912</v>
    <v>Battambang province</v>
    <v>a4627637-5390-c9da-b3fd-9909541ae42c</v>
    <v>en-US</v>
    <v>Map</v>
  </rv>
  <rv s="1">
    <v>536870912</v>
    <v>Kampong Cham province</v>
    <v>8c373015-7888-6d3d-8026-8b55879e04e8</v>
    <v>en-US</v>
    <v>Map</v>
  </rv>
  <rv s="1">
    <v>536870912</v>
    <v>Kampong Chhnang province</v>
    <v>d70295a1-217a-1f43-e542-f65e1b577c7b</v>
    <v>en-US</v>
    <v>Map</v>
  </rv>
  <rv s="1">
    <v>536870912</v>
    <v>Kampong Speu province</v>
    <v>b7c7cee7-453b-f3ed-7e11-91500de7886f</v>
    <v>en-US</v>
    <v>Map</v>
  </rv>
  <rv s="1">
    <v>536870912</v>
    <v>Kampong Thom province</v>
    <v>8612fdc7-179e-420f-418d-f5957626ee3e</v>
    <v>en-US</v>
    <v>Map</v>
  </rv>
  <rv s="1">
    <v>536870912</v>
    <v>Kampot province</v>
    <v>39b642fc-0a43-f761-1735-30054e9c2441</v>
    <v>en-US</v>
    <v>Map</v>
  </rv>
  <rv s="1">
    <v>536870912</v>
    <v>Kandal province</v>
    <v>172ab1c0-4e87-3804-6ebc-5ab4cc1628bf</v>
    <v>en-US</v>
    <v>Map</v>
  </rv>
  <rv s="1">
    <v>536870912</v>
    <v>Koh Kong province</v>
    <v>e2e200f7-3c7d-ddbb-230d-8df6024f0f70</v>
    <v>en-US</v>
    <v>Map</v>
  </rv>
  <rv s="1">
    <v>536870912</v>
    <v>Kratié province</v>
    <v>12dcc255-4c9c-c7fd-12b9-c69ac9bfd061</v>
    <v>en-US</v>
    <v>Map</v>
  </rv>
  <rv s="1">
    <v>536870912</v>
    <v>Mondulkiri province</v>
    <v>f2d64bb2-2943-991b-f338-025dad7c90a2</v>
    <v>en-US</v>
    <v>Map</v>
  </rv>
  <rv s="1">
    <v>536870912</v>
    <v>Oddar Meanchey province</v>
    <v>023439ca-104c-cf5c-fa55-276a17b031d3</v>
    <v>en-US</v>
    <v>Map</v>
  </rv>
  <rv s="1">
    <v>536870912</v>
    <v>Preah Vihear province</v>
    <v>acf0105e-7051-7b0d-cf2a-bc9ceb06a073</v>
    <v>en-US</v>
    <v>Map</v>
  </rv>
  <rv s="1">
    <v>536870912</v>
    <v>Pursat province</v>
    <v>c62a8d40-5575-a2b8-dcc7-14bcf457b830</v>
    <v>en-US</v>
    <v>Map</v>
  </rv>
  <rv s="1">
    <v>536870912</v>
    <v>Prey Veng province</v>
    <v>d48859b0-aeaf-1bdc-d91d-c1c8716e0bf3</v>
    <v>en-US</v>
    <v>Map</v>
  </rv>
  <rv s="1">
    <v>536870912</v>
    <v>Ratanakiri province</v>
    <v>4ea0c574-0a72-3fc7-181b-b7ff35d0a8d4</v>
    <v>en-US</v>
    <v>Map</v>
  </rv>
  <rv s="1">
    <v>536870912</v>
    <v>Siem Reap province</v>
    <v>41502905-753f-39f7-3a73-73920daff8b5</v>
    <v>en-US</v>
    <v>Map</v>
  </rv>
  <rv s="1">
    <v>536870912</v>
    <v>Stung Treng province</v>
    <v>d0d1346d-02f3-ddb5-8dcd-61ed702e40d4</v>
    <v>en-US</v>
    <v>Map</v>
  </rv>
  <rv s="1">
    <v>536870912</v>
    <v>Svay Rieng province</v>
    <v>c2206c42-8e00-3b93-d460-84a6956df4da</v>
    <v>en-US</v>
    <v>Map</v>
  </rv>
  <rv s="1">
    <v>536870912</v>
    <v>Takéo province</v>
    <v>ad3f47be-b385-aa9b-b056-26e1ce0c37e5</v>
    <v>en-US</v>
    <v>Map</v>
  </rv>
  <rv s="1">
    <v>536870912</v>
    <v>Pailin province</v>
    <v>389479ba-7ca4-3b3f-9a3e-54ce0d52f046</v>
    <v>en-US</v>
    <v>Map</v>
  </rv>
  <rv s="3">
    <v>134</v>
  </rv>
  <rv s="0">
    <fb>0.17052091762089902</fb>
    <v>28</v>
  </rv>
  <rv s="3">
    <v>135</v>
  </rv>
  <rv s="0">
    <fb>0.23100000000000001</fb>
    <v>28</v>
  </rv>
  <rv s="0">
    <fb>6.7699998617172198E-3</fb>
    <v>35</v>
  </rv>
  <rv s="0">
    <fb>3924621</fb>
    <v>9</v>
  </rv>
  <rv s="31">
    <v>#VALUE!</v>
    <v>en-US</v>
    <v>bb8658d2-efc7-e40e-6397-05439c87cb30</v>
    <v>536870912</v>
    <v>1</v>
    <v>299</v>
    <v>300</v>
    <v>Cambodia</v>
    <v>5</v>
    <v>6</v>
    <v>Map</v>
    <v>7</v>
    <v>301</v>
    <v>KH</v>
    <v>1855</v>
    <v>1856</v>
    <v>1857</v>
    <v>1858</v>
    <v>1859</v>
    <v>1846</v>
    <v>1860</v>
    <v>1861</v>
    <v>1862</v>
    <v>KHR</v>
    <v>Cambodia, officially the Kingdom of Cambodia, is a country in Southeast Asia on the Indochinese Peninsula. It is bordered by Thailand to the northwest, Laos to the north, and Vietnam to the east, and has a coastline along the Gulf of Thailand in ...</v>
    <v>1863</v>
    <v>1864</v>
    <v>1865</v>
    <v>1866</v>
    <v>1867</v>
    <v>1868</v>
    <v>1869</v>
    <v>1870</v>
    <v>1871</v>
    <v>1872</v>
    <v>1846</v>
    <v>1875</v>
    <v>1876</v>
    <v>1877</v>
    <v>1878</v>
    <v>Cambodia</v>
    <v>Nokor Reach</v>
    <v>1879</v>
    <v>ព្រះរាជាណាចក្រកម្ពុជា</v>
    <v>1880</v>
    <v>1881</v>
    <v>1882</v>
    <v>1883</v>
    <v>1905</v>
    <v>1906</v>
    <v>1907</v>
    <v>1908</v>
    <v>1909</v>
    <v>Cambodia</v>
    <v>1910</v>
    <v>mdp/vdpid/40</v>
  </rv>
  <rv s="1">
    <v>536870912</v>
    <v>Yaoundé</v>
    <v>766b163a-0801-f2f1-c7e1-b1f176e69d79</v>
    <v>en-US</v>
    <v>Map</v>
  </rv>
  <rv s="1">
    <v>536870912</v>
    <v>Centre Region</v>
    <v>b8f30351-a99d-e04a-5eba-3ba1a8f67116</v>
    <v>en-US</v>
    <v>Map</v>
  </rv>
  <rv s="0">
    <fb>180</fb>
    <v>9</v>
  </rv>
  <rv s="1">
    <v>536870912</v>
    <v>Cameroon</v>
    <v>8c7709c5-96e8-cb85-73ee-07b20a405a80</v>
    <v>en-US</v>
    <v>Map</v>
  </rv>
  <rv s="2">
    <v>57</v>
    <v>7</v>
    <v>302</v>
    <v>7</v>
    <v>0</v>
    <v>Image of Yaoundé</v>
  </rv>
  <rv s="0">
    <fb>3.8577777777778</fb>
    <v>0</v>
  </rv>
  <rv s="4">
    <v>https://www.bing.com/search?q=yaound%c3%a9&amp;form=skydnc</v>
    <v>Learn more on Bing</v>
  </rv>
  <rv s="0">
    <fb>11.518055555556</fb>
    <v>0</v>
  </rv>
  <rv s="0">
    <fb>2765600</fb>
    <v>9</v>
  </rv>
  <rv s="17">
    <v>#VALUE!</v>
    <v>en-US</v>
    <v>766b163a-0801-f2f1-c7e1-b1f176e69d79</v>
    <v>536870912</v>
    <v>1</v>
    <v>303</v>
    <v>110</v>
    <v>Yaoundé</v>
    <v>5</v>
    <v>6</v>
    <v>Map</v>
    <v>7</v>
    <v>253</v>
    <v>1913</v>
    <v>1914</v>
    <v>1915</v>
    <v>Yaoundé is the capital city of Cameroon. It has a population of more than 2.8 million which makes it the second-largest city in the country after the port city Douala. It lies in the Centre Region of the nation at an elevation of about 750 ...</v>
    <v>1916</v>
    <v>1917</v>
    <v>1918</v>
    <v>1919</v>
    <v>Yaoundé</v>
    <v>1920</v>
    <v>141</v>
    <v>Yaoundé</v>
    <v>mdp/vdpid/7309632282363428865</v>
  </rv>
  <rv s="0">
    <fb>0.20625753633305799</fb>
    <v>28</v>
  </rv>
  <rv s="0">
    <fb>475442</fb>
    <v>9</v>
  </rv>
  <rv s="0">
    <fb>24000</fb>
    <v>9</v>
  </rv>
  <rv s="0">
    <fb>35.386000000000003</fb>
    <v>29</v>
  </rv>
  <rv s="0">
    <fb>237</fb>
    <v>30</v>
  </rv>
  <rv s="0">
    <fb>8291.0869999999995</fb>
    <v>9</v>
  </rv>
  <rv s="0">
    <fb>118.64858829001101</fb>
    <v>31</v>
  </rv>
  <rv s="0">
    <fb>2.45280214062733E-2</fb>
    <v>28</v>
  </rv>
  <rv s="0">
    <fb>275.19791368061601</fb>
    <v>9</v>
  </rv>
  <rv s="0">
    <fb>4.5720000000000001</fb>
    <v>29</v>
  </rv>
  <rv s="0">
    <fb>0.39339129698969799</fb>
    <v>28</v>
  </rv>
  <rv s="0">
    <fb>38.3178571912403</fb>
    <v>34</v>
  </rv>
  <rv s="0">
    <fb>1.03</fb>
    <v>32</v>
  </rv>
  <rv s="0">
    <fb>38760467033.389</fb>
    <v>33</v>
  </rv>
  <rv s="0">
    <fb>1.0340212</fb>
    <v>28</v>
  </rv>
  <rv s="0">
    <fb>0.12760249999999998</fb>
    <v>28</v>
  </rv>
  <rv s="2">
    <v>58</v>
    <v>7</v>
    <v>305</v>
    <v>7</v>
    <v>0</v>
    <v>Image of Cameroon</v>
  </rv>
  <rv s="0">
    <fb>50.6</fb>
    <v>34</v>
  </rv>
  <rv s="1">
    <v>536870912</v>
    <v>Douala</v>
    <v>4b02786c-b458-b1b8-6627-9e69c000333d</v>
    <v>en-US</v>
    <v>Map</v>
  </rv>
  <rv s="1">
    <v>805306368</v>
    <v>Paul Biya (President)</v>
    <v>90655664-7810-a5db-72d4-8802c712cff5</v>
    <v>en-US</v>
    <v>Generic</v>
  </rv>
  <rv s="1">
    <v>805306368</v>
    <v>Joseph Ngute (Prime minister)</v>
    <v>545a180c-3827-5581-6ff9-77bb3944de01</v>
    <v>en-US</v>
    <v>Generic</v>
  </rv>
  <rv s="3">
    <v>136</v>
  </rv>
  <rv s="4">
    <v>https://www.bing.com/search?q=cameroon+africa&amp;form=skydnc</v>
    <v>Learn more on Bing</v>
  </rv>
  <rv s="0">
    <fb>58.920999999999999</fb>
    <v>34</v>
  </rv>
  <rv s="0">
    <fb>529</fb>
    <v>34</v>
  </rv>
  <rv s="0">
    <fb>0.35</fb>
    <v>32</v>
  </rv>
  <rv s="3">
    <v>137</v>
  </rv>
  <rv s="0">
    <fb>0.69744124340000002</fb>
    <v>28</v>
  </rv>
  <rv s="0">
    <fb>8.8099999999999998E-2</fb>
    <v>29</v>
  </rv>
  <rv s="0">
    <fb>27914536</fb>
    <v>9</v>
  </rv>
  <rv s="0">
    <fb>0.35</fb>
    <v>28</v>
  </rv>
  <rv s="0">
    <fb>0.51700000000000002</fb>
    <v>28</v>
  </rv>
  <rv s="0">
    <fb>1.7000000000000001E-2</fb>
    <v>28</v>
  </rv>
  <rv s="0">
    <fb>4.4999999999999998E-2</fb>
    <v>28</v>
  </rv>
  <rv s="0">
    <fb>8.5000000000000006E-2</fb>
    <v>28</v>
  </rv>
  <rv s="0">
    <fb>0.76072998046874996</fb>
    <v>28</v>
  </rv>
  <rv s="1">
    <v>536870912</v>
    <v>Adamawa Region</v>
    <v>ea364202-9cbb-0bd1-f425-3dfbd4b853be</v>
    <v>en-US</v>
    <v>Map</v>
  </rv>
  <rv s="1">
    <v>536870912</v>
    <v>East Region</v>
    <v>75236def-8934-9120-e28c-13c0e7ef0f96</v>
    <v>en-US</v>
    <v>Map</v>
  </rv>
  <rv s="1">
    <v>536870912</v>
    <v>Far North Region</v>
    <v>4200cd79-d585-ac9f-bef8-e3a9db1d9e8d</v>
    <v>en-US</v>
    <v>Map</v>
  </rv>
  <rv s="1">
    <v>536870912</v>
    <v>Littoral Region</v>
    <v>46cf6575-2793-7c53-4df1-029690a6c3c2</v>
    <v>en-US</v>
    <v>Map</v>
  </rv>
  <rv s="1">
    <v>536870912</v>
    <v>North Region</v>
    <v>ff5986da-25f1-a034-f5e2-861db60caa3d</v>
    <v>en-US</v>
    <v>Map</v>
  </rv>
  <rv s="1">
    <v>536870912</v>
    <v>Northwest Region</v>
    <v>cffa6127-d862-9e4d-9c09-aae670da8103</v>
    <v>en-US</v>
    <v>Map</v>
  </rv>
  <rv s="1">
    <v>536870912</v>
    <v>South Region</v>
    <v>d4472d38-434b-3101-0f55-fe963d1b4f77</v>
    <v>en-US</v>
    <v>Map</v>
  </rv>
  <rv s="1">
    <v>536870912</v>
    <v>Southwest Region</v>
    <v>f751fac2-a399-3ce8-bb99-d8b873227bfe</v>
    <v>en-US</v>
    <v>Map</v>
  </rv>
  <rv s="1">
    <v>536870912</v>
    <v>West Region</v>
    <v>de1eb76f-3ea1-e0b5-c89c-6e2c4bdd12c9</v>
    <v>en-US</v>
    <v>Map</v>
  </rv>
  <rv s="3">
    <v>138</v>
  </rv>
  <rv s="0">
    <fb>0.12755300580402498</fb>
    <v>28</v>
  </rv>
  <rv s="3">
    <v>139</v>
  </rv>
  <rv s="0">
    <fb>3.3800001144409203E-2</fb>
    <v>35</v>
  </rv>
  <rv s="0">
    <fb>14741256</fb>
    <v>9</v>
  </rv>
  <rv s="8">
    <v>#VALUE!</v>
    <v>en-US</v>
    <v>8c7709c5-96e8-cb85-73ee-07b20a405a80</v>
    <v>536870912</v>
    <v>1</v>
    <v>308</v>
    <v>46</v>
    <v>Cameroon</v>
    <v>5</v>
    <v>6</v>
    <v>Map</v>
    <v>7</v>
    <v>309</v>
    <v>CM</v>
    <v>1922</v>
    <v>1923</v>
    <v>1924</v>
    <v>1925</v>
    <v>1926</v>
    <v>1912</v>
    <v>1927</v>
    <v>1928</v>
    <v>1929</v>
    <v>XAF</v>
    <v>Cameroon, officially the Republic of Cameroon, is a country in Central Africa. It shares boundaries with Nigeria to the west and north, Chad to the northeast, the Central African Republic to the east, and Equatorial Guinea, Gabon, and the ...</v>
    <v>1930</v>
    <v>1931</v>
    <v>1932</v>
    <v>1933</v>
    <v>1934</v>
    <v>1935</v>
    <v>1936</v>
    <v>1937</v>
    <v>1938</v>
    <v>1939</v>
    <v>1940</v>
    <v>1943</v>
    <v>1944</v>
    <v>1945</v>
    <v>1946</v>
    <v>1947</v>
    <v>Cameroon</v>
    <v>O Cameroon, Cradle of Our Forefathers</v>
    <v>1948</v>
    <v>Cameroun</v>
    <v>1949</v>
    <v>1950</v>
    <v>1951</v>
    <v>1816</v>
    <v>1952</v>
    <v>1953</v>
    <v>1954</v>
    <v>1955</v>
    <v>1956</v>
    <v>245</v>
    <v>1957</v>
    <v>1967</v>
    <v>1968</v>
    <v>1969</v>
    <v>1165</v>
    <v>1970</v>
    <v>Cameroon</v>
    <v>1971</v>
    <v>mdp/vdpid/49</v>
  </rv>
  <rv s="1">
    <v>536870912</v>
    <v>Ottawa</v>
    <v>3f2544d2-4937-9101-2f53-621199e253e5</v>
    <v>en-US</v>
    <v>Map</v>
  </rv>
  <rv s="1">
    <v>536870912</v>
    <v>Ontario</v>
    <v>070ad921-224a-9ed5-6fe1-8eab57b4b2e7</v>
    <v>en-US</v>
    <v>Map</v>
  </rv>
  <rv s="0">
    <fb>2778.64</fb>
    <v>9</v>
  </rv>
  <rv s="1">
    <v>536870912</v>
    <v>Canada</v>
    <v>370ed614-32e1-4326-a356-dc0a7dd56aaa</v>
    <v>en-US</v>
    <v>Map</v>
  </rv>
  <rv s="2">
    <v>59</v>
    <v>7</v>
    <v>310</v>
    <v>7</v>
    <v>0</v>
    <v>Image of Ottawa</v>
  </rv>
  <rv s="1">
    <v>805306368</v>
    <v>Mark Sutcliffe (Mayor)</v>
    <v>9e9a5f48-2c85-04d5-35ab-d417c74d4a61</v>
    <v>en-US</v>
    <v>Generic</v>
  </rv>
  <rv s="3">
    <v>140</v>
  </rv>
  <rv s="4">
    <v>https://www.bing.com/search?q=ottawa+canada&amp;form=skydnc</v>
    <v>Learn more on Bing</v>
  </rv>
  <rv s="0">
    <fb>1017449</fb>
    <v>9</v>
  </rv>
  <rv s="5">
    <v>#VALUE!</v>
    <v>en-US</v>
    <v>3f2544d2-4937-9101-2f53-621199e253e5</v>
    <v>536870912</v>
    <v>1</v>
    <v>311</v>
    <v>3</v>
    <v>Ottawa</v>
    <v>5</v>
    <v>6</v>
    <v>Map</v>
    <v>7</v>
    <v>216</v>
    <v>1974</v>
    <v>1974</v>
    <v>1975</v>
    <v>1976</v>
    <v>Ottawa is the capital city of Canada. It is located in the southern portion of the province of Ontario, at the confluence of the Ottawa River and the Rideau River. Ottawa borders Gatineau, Quebec, and forms the core of the Ottawa–Gatineau census ...</v>
    <v>1977</v>
    <v>6</v>
    <v>1979</v>
    <v>1980</v>
    <v>7</v>
    <v>Ottawa</v>
    <v>1981</v>
    <v>813</v>
    <v>Ottawa</v>
    <v>mdp/vdpid/5293778150210142211</v>
  </rv>
  <rv s="0">
    <fb>6.8918382450780802E-2</fb>
    <v>28</v>
  </rv>
  <rv s="0">
    <fb>9984670</fb>
    <v>9</v>
  </rv>
  <rv s="0">
    <fb>72000</fb>
    <v>9</v>
  </rv>
  <rv s="0">
    <fb>10.1</fb>
    <v>29</v>
  </rv>
  <rv s="0">
    <fb>1</fb>
    <v>30</v>
  </rv>
  <rv s="0">
    <fb>544894.19799999997</fb>
    <v>9</v>
  </rv>
  <rv s="0">
    <fb>116.75729822552999</fb>
    <v>31</v>
  </rv>
  <rv s="0">
    <fb>1.9492690241159599E-2</fb>
    <v>28</v>
  </rv>
  <rv s="0">
    <fb>15588.4871464315</fb>
    <v>9</v>
  </rv>
  <rv s="0">
    <fb>1.4987999999999999</fb>
    <v>29</v>
  </rv>
  <rv s="0">
    <fb>0.38161546668997998</fb>
    <v>28</v>
  </rv>
  <rv s="0">
    <fb>74.089062024805997</fb>
    <v>34</v>
  </rv>
  <rv s="0">
    <fb>0.81</fb>
    <v>32</v>
  </rv>
  <rv s="0">
    <fb>1736425629519.96</fb>
    <v>33</v>
  </rv>
  <rv s="0">
    <fb>1.0094368</fb>
    <v>28</v>
  </rv>
  <rv s="0">
    <fb>0.68922510000000003</fb>
    <v>28</v>
  </rv>
  <rv s="2">
    <v>60</v>
    <v>7</v>
    <v>313</v>
    <v>7</v>
    <v>0</v>
    <v>Image of Canada</v>
  </rv>
  <rv s="0">
    <fb>4.3</fb>
    <v>34</v>
  </rv>
  <rv s="1">
    <v>536870912</v>
    <v>Toronto</v>
    <v>e9c1d78f-effd-4cbf-af56-ce709763b200</v>
    <v>en-US</v>
    <v>Map</v>
  </rv>
  <rv s="1">
    <v>805306368</v>
    <v>Justin Trudeau (Prime minister)</v>
    <v>d37aba31-28d1-b943-f0c6-dbddeb460528</v>
    <v>en-US</v>
    <v>Generic</v>
  </rv>
  <rv s="3">
    <v>141</v>
  </rv>
  <rv s="4">
    <v>https://www.bing.com/search?q=canada+country&amp;form=skydnc</v>
    <v>Learn more on Bing</v>
  </rv>
  <rv s="0">
    <fb>81.948780487804896</fb>
    <v>34</v>
  </rv>
  <rv s="0">
    <fb>1937902710000</fb>
    <v>33</v>
  </rv>
  <rv s="0">
    <fb>9.51</fb>
    <v>32</v>
  </rv>
  <rv s="3">
    <v>142</v>
  </rv>
  <rv s="0">
    <fb>0.1458492763</fb>
    <v>28</v>
  </rv>
  <rv s="0">
    <fb>2.6101999999999999</fb>
    <v>29</v>
  </rv>
  <rv s="0">
    <fb>38929902</fb>
    <v>9</v>
  </rv>
  <rv s="0">
    <fb>0.40600000000000003</fb>
    <v>28</v>
  </rv>
  <rv s="0">
    <fb>2.4E-2</fb>
    <v>28</v>
  </rv>
  <rv s="0">
    <fb>0.17</fb>
    <v>28</v>
  </rv>
  <rv s="0">
    <fb>0.65070999145507802</fb>
    <v>28</v>
  </rv>
  <rv s="1">
    <v>536870912</v>
    <v>Quebec</v>
    <v>32da1fe8-6bb5-f40e-e008-82becf7ef390</v>
    <v>en-US</v>
    <v>Map</v>
  </rv>
  <rv s="1">
    <v>536870912</v>
    <v>Nova Scotia</v>
    <v>baa4aedd-bbb6-989e-cba4-ec2c9bdd906a</v>
    <v>en-US</v>
    <v>Map</v>
  </rv>
  <rv s="1">
    <v>536870912</v>
    <v>New Brunswick</v>
    <v>ed967bed-da27-9206-2407-d4e698015192</v>
    <v>en-US</v>
    <v>Map</v>
  </rv>
  <rv s="1">
    <v>536870912</v>
    <v>Manitoba</v>
    <v>21c9c883-dcc4-1490-a815-79c6eb525369</v>
    <v>en-US</v>
    <v>Map</v>
  </rv>
  <rv s="1">
    <v>536870912</v>
    <v>Newfoundland and Labrador</v>
    <v>895215e2-2c65-6494-fa6a-1f441a39ac4f</v>
    <v>en-US</v>
    <v>Map</v>
  </rv>
  <rv s="1">
    <v>536870912</v>
    <v>Prince Edward Island</v>
    <v>4e4aadcb-4928-0762-e307-bc01ba8f3dfb</v>
    <v>en-US</v>
    <v>Map</v>
  </rv>
  <rv s="1">
    <v>536870912</v>
    <v>Saskatchewan</v>
    <v>ec7108bb-bd34-c969-f3f2-2a9eed70102e</v>
    <v>en-US</v>
    <v>Map</v>
  </rv>
  <rv s="1">
    <v>536870912</v>
    <v>Alberta</v>
    <v>ac4b7d59-c4be-889f-9a45-7e7c524794ec</v>
    <v>en-US</v>
    <v>Map</v>
  </rv>
  <rv s="1">
    <v>536870912</v>
    <v>Yukon</v>
    <v>68d0a1b9-92a8-857c-53f4-9150cd050ece</v>
    <v>en-US</v>
    <v>Map</v>
  </rv>
  <rv s="1">
    <v>536870912</v>
    <v>Northwest Territories</v>
    <v>2e2284ce-2cc1-0b16-10e6-0783ada7c95b</v>
    <v>en-US</v>
    <v>Map</v>
  </rv>
  <rv s="1">
    <v>536870912</v>
    <v>Nunavut</v>
    <v>5220a5b2-1244-23fe-9851-d4b0373ac92e</v>
    <v>en-US</v>
    <v>Map</v>
  </rv>
  <rv s="1">
    <v>536870912</v>
    <v>British Columbia</v>
    <v>32a8fd1c-cd9d-0da9-35fb-f952ed824d4f</v>
    <v>en-US</v>
    <v>Map</v>
  </rv>
  <rv s="3">
    <v>143</v>
  </rv>
  <rv s="0">
    <fb>0.12844017475747799</fb>
    <v>28</v>
  </rv>
  <rv s="3">
    <v>144</v>
  </rv>
  <rv s="0">
    <fb>0.245</fb>
    <v>28</v>
  </rv>
  <rv s="0">
    <fb>5.5640001296997095E-2</fb>
    <v>35</v>
  </rv>
  <rv s="0">
    <fb>30628482</fb>
    <v>9</v>
  </rv>
  <rv s="9">
    <v>#VALUE!</v>
    <v>en-US</v>
    <v>370ed614-32e1-4326-a356-dc0a7dd56aaa</v>
    <v>536870912</v>
    <v>1</v>
    <v>316</v>
    <v>55</v>
    <v>Canada</v>
    <v>5</v>
    <v>6</v>
    <v>Map</v>
    <v>7</v>
    <v>317</v>
    <v>CA</v>
    <v>1983</v>
    <v>1984</v>
    <v>1985</v>
    <v>1986</v>
    <v>1987</v>
    <v>1973</v>
    <v>1988</v>
    <v>1989</v>
    <v>1990</v>
    <v>CAD</v>
    <v>Canada is a country in North America. Its ten provinces and three territories extend from the Atlantic Ocean to the Pacific Ocean and northward into the Arctic Ocean, making it the world's second-largest country by total area, with the world's ...</v>
    <v>1991</v>
    <v>1992</v>
    <v>1993</v>
    <v>1994</v>
    <v>1995</v>
    <v>1996</v>
    <v>1997</v>
    <v>1998</v>
    <v>1999</v>
    <v>2000</v>
    <v>2001</v>
    <v>2003</v>
    <v>2004</v>
    <v>2005</v>
    <v>2006</v>
    <v>1410</v>
    <v>2007</v>
    <v>Canada</v>
    <v>O Canada</v>
    <v>2008</v>
    <v>Canada</v>
    <v>2009</v>
    <v>2010</v>
    <v>2011</v>
    <v>172</v>
    <v>1416</v>
    <v>2012</v>
    <v>2013</v>
    <v>1288</v>
    <v>940</v>
    <v>2014</v>
    <v>2015</v>
    <v>2028</v>
    <v>2029</v>
    <v>2030</v>
    <v>2031</v>
    <v>2032</v>
    <v>Canada</v>
    <v>2033</v>
    <v>mdp/vdpid/39</v>
  </rv>
  <rv s="1">
    <v>536870912</v>
    <v>Bangui</v>
    <v>f4caf9e9-db41-048d-a9e3-ea4d9c7b0b4f</v>
    <v>en-US</v>
    <v>Map</v>
  </rv>
  <rv s="0">
    <fb>67.339690868700004</fb>
    <v>9</v>
  </rv>
  <rv s="1">
    <v>536870912</v>
    <v>Central African Republic</v>
    <v>420b9ef3-9637-3d01-90d0-c50484f595ee</v>
    <v>en-US</v>
    <v>Map</v>
  </rv>
  <rv s="2">
    <v>61</v>
    <v>7</v>
    <v>319</v>
    <v>7</v>
    <v>0</v>
    <v>Image of Bangui</v>
  </rv>
  <rv s="1">
    <v>805306368</v>
    <v>Émile Gros Raymond Nakombo (Mayor)</v>
    <v>d166c37b-c1d9-ebc5-69ff-608644a97baf</v>
    <v>en-US</v>
    <v>Generic</v>
  </rv>
  <rv s="3">
    <v>145</v>
  </rv>
  <rv s="4">
    <v>https://www.bing.com/search?q=bangui&amp;form=skydnc</v>
    <v>Learn more on Bing</v>
  </rv>
  <rv s="0">
    <fb>812407</fb>
    <v>9</v>
  </rv>
  <rv s="16">
    <v>#VALUE!</v>
    <v>en-US</v>
    <v>f4caf9e9-db41-048d-a9e3-ea4d9c7b0b4f</v>
    <v>536870912</v>
    <v>1</v>
    <v>320</v>
    <v>92</v>
    <v>Bangui</v>
    <v>5</v>
    <v>6</v>
    <v>Map</v>
    <v>7</v>
    <v>216</v>
    <v>CF-BGF</v>
    <v>2036</v>
    <v>2037</v>
    <v>Bangui is the capital and largest city of the Central African Republic. It was established as a French outpost in 1889 and named after its location on the northern bank of the Ubangi River ; the Ubangi itself was named from the Bobangi word for ...</v>
    <v>2038</v>
    <v>2040</v>
    <v>2041</v>
    <v>Bangui</v>
    <v>2042</v>
    <v>141</v>
    <v>Bangui</v>
    <v>mdp/vdpid/7311829971746422785</v>
  </rv>
  <rv s="0">
    <fb>8.1543548749558603E-2</fb>
    <v>28</v>
  </rv>
  <rv s="0">
    <fb>622984</fb>
    <v>9</v>
  </rv>
  <rv s="0">
    <fb>35.347999999999999</fb>
    <v>29</v>
  </rv>
  <rv s="0">
    <fb>236</fb>
    <v>30</v>
  </rv>
  <rv s="0">
    <fb>297.02699999999999</fb>
    <v>9</v>
  </rv>
  <rv s="0">
    <fb>186.86166666666699</fb>
    <v>31</v>
  </rv>
  <rv s="0">
    <fb>0.37142214808936502</fb>
    <v>28</v>
  </rv>
  <rv s="0">
    <fb>4.7210000000000001</fb>
    <v>29</v>
  </rv>
  <rv s="0">
    <fb>0.355619769344521</fb>
    <v>28</v>
  </rv>
  <rv s="0">
    <fb>1.41</fb>
    <v>32</v>
  </rv>
  <rv s="0">
    <fb>2220307368.69593</fb>
    <v>33</v>
  </rv>
  <rv s="0">
    <fb>1.020189</fb>
    <v>28</v>
  </rv>
  <rv s="0">
    <fb>2.9803000000000003E-2</fb>
    <v>28</v>
  </rv>
  <rv s="2">
    <v>62</v>
    <v>7</v>
    <v>322</v>
    <v>7</v>
    <v>0</v>
    <v>Image of Central African Republic</v>
  </rv>
  <rv s="0">
    <fb>84.5</fb>
    <v>34</v>
  </rv>
  <rv s="1">
    <v>805306368</v>
    <v>Faustin-Archange Touadéra (President)</v>
    <v>2d2e5254-ebc7-6a93-dac8-a978a245d686</v>
    <v>en-US</v>
    <v>Generic</v>
  </rv>
  <rv s="1">
    <v>805306368</v>
    <v>Félix Moloua (Prime minister)</v>
    <v>3e448327-d290-c5c8-68f9-4cdec6112c98</v>
    <v>en-US</v>
    <v>Generic</v>
  </rv>
  <rv s="3">
    <v>146</v>
  </rv>
  <rv s="4">
    <v>https://www.bing.com/search?q=central+african+republic&amp;form=skydnc</v>
    <v>Learn more on Bing</v>
  </rv>
  <rv s="0">
    <fb>52.805</fb>
    <v>34</v>
  </rv>
  <rv s="0">
    <fb>829</fb>
    <v>34</v>
  </rv>
  <rv s="0">
    <fb>0.39601532900000003</fb>
    <v>28</v>
  </rv>
  <rv s="0">
    <fb>6.2899999999999998E-2</fb>
    <v>29</v>
  </rv>
  <rv s="0">
    <fb>5579144</fb>
    <v>9</v>
  </rv>
  <rv s="0">
    <fb>0.17699999999999999</fb>
    <v>28</v>
  </rv>
  <rv s="0">
    <fb>0.46200000000000002</fb>
    <v>28</v>
  </rv>
  <rv s="0">
    <fb>0.60899999999999999</fb>
    <v>28</v>
  </rv>
  <rv s="0">
    <fb>1.2E-2</fb>
    <v>28</v>
  </rv>
  <rv s="0">
    <fb>0.71955001831054699</fb>
    <v>28</v>
  </rv>
  <rv s="1">
    <v>536870912</v>
    <v>Bamingui-Bangoran</v>
    <v>051db41e-4057-866c-8f0a-de198ef847ae</v>
    <v>en-US</v>
    <v>Map</v>
  </rv>
  <rv s="1">
    <v>536870912</v>
    <v>Basse-Kotto</v>
    <v>72a45a0b-7984-e6b2-a2cc-0c8ef1afb053</v>
    <v>en-US</v>
    <v>Map</v>
  </rv>
  <rv s="1">
    <v>536870912</v>
    <v>Haute-Kotto</v>
    <v>93f5f7ed-b7d9-6116-d12d-cfa4403c9818</v>
    <v>en-US</v>
    <v>Map</v>
  </rv>
  <rv s="1">
    <v>536870912</v>
    <v>Haut-Mbomou</v>
    <v>3b702db9-c1c0-ae2d-f1d6-f28499b64ef3</v>
    <v>en-US</v>
    <v>Map</v>
  </rv>
  <rv s="1">
    <v>536870912</v>
    <v>Kémo</v>
    <v>64879529-02b4-5ef7-2c6d-2fde5868fce6</v>
    <v>en-US</v>
    <v>Map</v>
  </rv>
  <rv s="1">
    <v>536870912</v>
    <v>Lobaye</v>
    <v>f0f7237f-b1ed-2453-b6de-b28e5722cc18</v>
    <v>en-US</v>
    <v>Map</v>
  </rv>
  <rv s="1">
    <v>536870912</v>
    <v>Mambéré-Kadéï</v>
    <v>e8b530a9-256c-039f-aa99-b189ca7bdc09</v>
    <v>en-US</v>
    <v>Map</v>
  </rv>
  <rv s="1">
    <v>536870912</v>
    <v>Mbomou River</v>
    <v>594684b4-34dd-42a2-af49-40c36ea5b23e</v>
    <v>en-US</v>
    <v>Map</v>
  </rv>
  <rv s="1">
    <v>536870912</v>
    <v>Nana-Mambéré</v>
    <v>f908632b-49ae-27aa-5e4e-b2af9440dea5</v>
    <v>en-US</v>
    <v>Map</v>
  </rv>
  <rv s="1">
    <v>536870912</v>
    <v>Ombella-M'Poko</v>
    <v>a50d59e2-1518-d158-af21-fe35f361b428</v>
    <v>en-US</v>
    <v>Map</v>
  </rv>
  <rv s="1">
    <v>536870912</v>
    <v>Ouaka</v>
    <v>82cd1f05-13be-5418-58ad-0ae8481c7720</v>
    <v>en-US</v>
    <v>Map</v>
  </rv>
  <rv s="1">
    <v>536870912</v>
    <v>Ouham-Pendé</v>
    <v>6cb5e24e-44a6-42dd-9d58-bfc1fdd7795b</v>
    <v>en-US</v>
    <v>Map</v>
  </rv>
  <rv s="1">
    <v>536870912</v>
    <v>Vakaga</v>
    <v>2a54753a-cb1c-4363-3d13-9921adec0715</v>
    <v>en-US</v>
    <v>Map</v>
  </rv>
  <rv s="1">
    <v>536870912</v>
    <v>Nana-Grébizi</v>
    <v>34d608ac-7273-069a-a429-92d6b1af7ee0</v>
    <v>en-US</v>
    <v>Map</v>
  </rv>
  <rv s="1">
    <v>536870912</v>
    <v>Sangha-Mbaéré</v>
    <v>45ad2a51-19a4-96d7-6830-cde206ace0c9</v>
    <v>en-US</v>
    <v>Map</v>
  </rv>
  <rv s="3">
    <v>147</v>
  </rv>
  <rv s="0">
    <fb>8.6398307197091503E-2</fb>
    <v>28</v>
  </rv>
  <rv s="3">
    <v>148</v>
  </rv>
  <rv s="0">
    <fb>0.73299999999999998</fb>
    <v>28</v>
  </rv>
  <rv s="0">
    <fb>3.6800000667571997E-2</fb>
    <v>35</v>
  </rv>
  <rv s="0">
    <fb>1982064</fb>
    <v>9</v>
  </rv>
  <rv s="32">
    <v>#VALUE!</v>
    <v>en-US</v>
    <v>420b9ef3-9637-3d01-90d0-c50484f595ee</v>
    <v>536870912</v>
    <v>1</v>
    <v>325</v>
    <v>326</v>
    <v>Central African Republic</v>
    <v>5</v>
    <v>6</v>
    <v>Map</v>
    <v>7</v>
    <v>327</v>
    <v>CF</v>
    <v>2044</v>
    <v>2045</v>
    <v>1580</v>
    <v>2046</v>
    <v>2047</v>
    <v>2035</v>
    <v>2048</v>
    <v>2049</v>
    <v>2050</v>
    <v>XAF</v>
    <v>The Central African Republic is a landlocked country in Central Africa. It is bordered by Chad to the north, Sudan to the northeast, South Sudan to the east, the Democratic Republic of the Congo to the south, the Republic of the Congo to the ...</v>
    <v>2051</v>
    <v>2052</v>
    <v>2053</v>
    <v>2054</v>
    <v>2055</v>
    <v>2056</v>
    <v>2057</v>
    <v>2058</v>
    <v>2035</v>
    <v>2061</v>
    <v>2062</v>
    <v>2063</v>
    <v>2064</v>
    <v>1590</v>
    <v>Central African Republic</v>
    <v>La Renaissance</v>
    <v>1220</v>
    <v>Ködörösêse tî Bêafrîka</v>
    <v>2065</v>
    <v>2066</v>
    <v>2067</v>
    <v>2068</v>
    <v>2069</v>
    <v>2070</v>
    <v>2071</v>
    <v>587</v>
    <v>1473</v>
    <v>1474</v>
    <v>2072</v>
    <v>2088</v>
    <v>2089</v>
    <v>2090</v>
    <v>2091</v>
    <v>2092</v>
    <v>Central African Republic</v>
    <v>2093</v>
    <v>mdp/vdpid/55</v>
  </rv>
  <rv s="1">
    <v>536870912</v>
    <v>N'Djamena</v>
    <v>06606f25-1802-ff78-84e6-3456b810b99c</v>
    <v>en-US</v>
    <v>Map</v>
  </rv>
  <rv s="0">
    <fb>100</fb>
    <v>9</v>
  </rv>
  <rv s="1">
    <v>536870912</v>
    <v>Chad</v>
    <v>a4c8e535-adcc-f306-7c43-af497dc59c6f</v>
    <v>en-US</v>
    <v>Map</v>
  </rv>
  <rv s="2">
    <v>63</v>
    <v>7</v>
    <v>328</v>
    <v>7</v>
    <v>0</v>
    <v>Image of N'Djamena</v>
  </rv>
  <rv s="4">
    <v>https://www.bing.com/search?q=n%27djamena&amp;form=skydnc</v>
    <v>Learn more on Bing</v>
  </rv>
  <rv s="0">
    <fb>807000</fb>
    <v>9</v>
  </rv>
  <rv s="10">
    <v>#VALUE!</v>
    <v>en-US</v>
    <v>06606f25-1802-ff78-84e6-3456b810b99c</v>
    <v>536870912</v>
    <v>1</v>
    <v>330</v>
    <v>60</v>
    <v>N'Djamena</v>
    <v>5</v>
    <v>6</v>
    <v>Map</v>
    <v>7</v>
    <v>331</v>
    <v>TD-ND</v>
    <v>2096</v>
    <v>2097</v>
    <v>N'Djamena is the capital and largest city of Chad. It is also a special statute region, divided into 10 districts or arrondissements, similar to the city of Paris. The city serves as the centre of economic activity in Chad. Meat, fish and cotton ...</v>
    <v>2098</v>
    <v>2099</v>
    <v>N'Djamena</v>
    <v>2100</v>
    <v>141</v>
    <v>N'Djamena</v>
    <v>mdp/vdpid/7293355042684272641</v>
  </rv>
  <rv s="0">
    <fb>0.39656130876747098</fb>
    <v>28</v>
  </rv>
  <rv s="0">
    <fb>1284000</fb>
    <v>9</v>
  </rv>
  <rv s="0">
    <fb>35000</fb>
    <v>9</v>
  </rv>
  <rv s="0">
    <fb>42.171999999999997</fb>
    <v>29</v>
  </rv>
  <rv s="0">
    <fb>235</fb>
    <v>30</v>
  </rv>
  <rv s="0">
    <fb>1015.759</fb>
    <v>9</v>
  </rv>
  <rv s="0">
    <fb>117.698204738763</fb>
    <v>31</v>
  </rv>
  <rv s="0">
    <fb>-9.7193917541935296E-3</fb>
    <v>28</v>
  </rv>
  <rv s="0">
    <fb>5.7469999999999999</fb>
    <v>29</v>
  </rv>
  <rv s="0">
    <fb>3.7709656149489804E-2</fb>
    <v>28</v>
  </rv>
  <rv s="0">
    <fb>0.78</fb>
    <v>32</v>
  </rv>
  <rv s="0">
    <fb>11314951342.780701</fb>
    <v>33</v>
  </rv>
  <rv s="0">
    <fb>0.86846869999999998</fb>
    <v>28</v>
  </rv>
  <rv s="0">
    <fb>3.2513E-2</fb>
    <v>28</v>
  </rv>
  <rv s="2">
    <v>64</v>
    <v>7</v>
    <v>333</v>
    <v>7</v>
    <v>0</v>
    <v>Image of Chad</v>
  </rv>
  <rv s="0">
    <fb>71.400000000000006</fb>
    <v>34</v>
  </rv>
  <rv s="1">
    <v>805306368</v>
    <v>Mahamat Déby (President)</v>
    <v>a06a5bd4-7fc1-4985-9e80-f8907d331bec</v>
    <v>en-US</v>
    <v>Generic</v>
  </rv>
  <rv s="1">
    <v>805306368</v>
    <v>Allamaye Halina (Prime minister)</v>
    <v>d3e3b5b3-2204-cba9-09d4-662375c49aa1</v>
    <v>en-US</v>
    <v>Generic</v>
  </rv>
  <rv s="3">
    <v>149</v>
  </rv>
  <rv s="4">
    <v>https://www.bing.com/search?q=chad+africa&amp;form=skydnc</v>
    <v>Learn more on Bing</v>
  </rv>
  <rv s="0">
    <fb>53.976999999999997</fb>
    <v>34</v>
  </rv>
  <rv s="0">
    <fb>1140</fb>
    <v>34</v>
  </rv>
  <rv s="3">
    <v>150</v>
  </rv>
  <rv s="0">
    <fb>0.56370720140000008</fb>
    <v>28</v>
  </rv>
  <rv s="0">
    <fb>4.3400000000000001E-2</fb>
    <v>29</v>
  </rv>
  <rv s="0">
    <fb>17723315</fb>
    <v>9</v>
  </rv>
  <rv s="0">
    <fb>0.218</fb>
    <v>28</v>
  </rv>
  <rv s="0">
    <fb>0.32400000000000001</fb>
    <v>28</v>
  </rv>
  <rv s="0">
    <fb>0.48799999999999999</fb>
    <v>28</v>
  </rv>
  <rv s="0">
    <fb>4.9000000000000002E-2</fb>
    <v>28</v>
  </rv>
  <rv s="0">
    <fb>0.14800000000000002</fb>
    <v>28</v>
  </rv>
  <rv s="0">
    <fb>0.70698997497558591</fb>
    <v>28</v>
  </rv>
  <rv s="1">
    <v>536870912</v>
    <v>Bahr el Gazel</v>
    <v>ada188e6-c1d6-234c-f3e9-410684a06098</v>
    <v>en-US</v>
    <v>Map</v>
  </rv>
  <rv s="1">
    <v>536870912</v>
    <v>Borkou</v>
    <v>f86c8cf2-08cf-7815-fd2e-e6485a18dd47</v>
    <v>en-US</v>
    <v>Map</v>
  </rv>
  <rv s="1">
    <v>536870912</v>
    <v>Hadjer-Lamis</v>
    <v>378465be-2395-3e3f-037f-0e7082811a02</v>
    <v>en-US</v>
    <v>Map</v>
  </rv>
  <rv s="1">
    <v>536870912</v>
    <v>Mandoul Region</v>
    <v>6794b3cf-b957-021b-545d-1e7aab62eb4f</v>
    <v>en-US</v>
    <v>Map</v>
  </rv>
  <rv s="1">
    <v>536870912</v>
    <v>Mayo-Kebbi Est</v>
    <v>3f3106a7-794b-b14d-4aa5-344f5adce053</v>
    <v>en-US</v>
    <v>Map</v>
  </rv>
  <rv s="1">
    <v>536870912</v>
    <v>Mayo-Kebbi Ouest Region</v>
    <v>de5ece5a-15e4-b3a8-d402-c55923be0ab4</v>
    <v>en-US</v>
    <v>Map</v>
  </rv>
  <rv s="1">
    <v>536870912</v>
    <v>Sila Region</v>
    <v>5e9628ee-3726-aa8c-e0d3-172690643190</v>
    <v>en-US</v>
    <v>Map</v>
  </rv>
  <rv s="1">
    <v>536870912</v>
    <v>Tibesti Region</v>
    <v>7dd5c08d-c7ea-4ac3-a932-90ba6b6a7e9d</v>
    <v>en-US</v>
    <v>Map</v>
  </rv>
  <rv s="1">
    <v>536870912</v>
    <v>Wadi Fira</v>
    <v>778ea24d-1890-92f3-a707-3ecbcae5a150</v>
    <v>en-US</v>
    <v>Map</v>
  </rv>
  <rv s="3">
    <v>151</v>
  </rv>
  <rv s="3">
    <v>152</v>
  </rv>
  <rv s="0">
    <fb>0.63500000000000001</fb>
    <v>28</v>
  </rv>
  <rv s="0">
    <fb>1.8910000324249301E-2</fb>
    <v>35</v>
  </rv>
  <rv s="0">
    <fb>3712273</fb>
    <v>9</v>
  </rv>
  <rv s="33">
    <v>#VALUE!</v>
    <v>en-US</v>
    <v>a4c8e535-adcc-f306-7c43-af497dc59c6f</v>
    <v>536870912</v>
    <v>1</v>
    <v>336</v>
    <v>337</v>
    <v>Chad</v>
    <v>5</v>
    <v>6</v>
    <v>Map</v>
    <v>7</v>
    <v>338</v>
    <v>TD</v>
    <v>2102</v>
    <v>2103</v>
    <v>2104</v>
    <v>2105</v>
    <v>2106</v>
    <v>2095</v>
    <v>2107</v>
    <v>2108</v>
    <v>2109</v>
    <v>XAF</v>
    <v>Chad, officially the Republic of Chad, is a landlocked country located at the crossroads of North and Central Africa. It is bordered by Libya to the north, Sudan to the east, the Central African Republic to the south, Cameroon to the southwest, ...</v>
    <v>2110</v>
    <v>2111</v>
    <v>2112</v>
    <v>2113</v>
    <v>2114</v>
    <v>2115</v>
    <v>2116</v>
    <v>2117</v>
    <v>2095</v>
    <v>2120</v>
    <v>2121</v>
    <v>2122</v>
    <v>2123</v>
    <v>1033</v>
    <v>Chad</v>
    <v>La Tchadienne</v>
    <v>2124</v>
    <v>Tchad</v>
    <v>2125</v>
    <v>2126</v>
    <v>2127</v>
    <v>2128</v>
    <v>2129</v>
    <v>2130</v>
    <v>511</v>
    <v>2131</v>
    <v>1820</v>
    <v>2132</v>
    <v>2133</v>
    <v>2143</v>
    <v>2144</v>
    <v>2145</v>
    <v>2146</v>
    <v>Chad</v>
    <v>2147</v>
    <v>mdp/vdpid/41</v>
  </rv>
  <rv s="1">
    <v>536870912</v>
    <v>Santiago</v>
    <v>190dd277-52dd-5feb-5523-200c59886f8e</v>
    <v>en-US</v>
    <v>Map</v>
  </rv>
  <rv s="1">
    <v>536870912</v>
    <v>Santiago Metropolitan Region</v>
    <v>593b7d08-69b9-06ed-9b5c-adea6868ff88</v>
    <v>en-US</v>
    <v>Map</v>
  </rv>
  <rv s="0">
    <fb>837.89</fb>
    <v>9</v>
  </rv>
  <rv s="1">
    <v>536870912</v>
    <v>Chile</v>
    <v>604665af-d1f4-5c64-9b93-1ef5f0471308</v>
    <v>en-US</v>
    <v>Map</v>
  </rv>
  <rv s="2">
    <v>65</v>
    <v>7</v>
    <v>339</v>
    <v>7</v>
    <v>0</v>
    <v>Image of Santiago</v>
  </rv>
  <rv s="0">
    <fb>-33.4375</fb>
    <v>0</v>
  </rv>
  <rv s="1">
    <v>805306368</v>
    <v>Claudio Orrego (Governor)</v>
    <v>8d69da3a-7203-a1bd-c4ba-cdb5b8619732</v>
    <v>en-US</v>
    <v>Generic</v>
  </rv>
  <rv s="3">
    <v>153</v>
  </rv>
  <rv s="4">
    <v>https://www.bing.com/search?q=santiago+chile&amp;form=skydnc</v>
    <v>Learn more on Bing</v>
  </rv>
  <rv s="0">
    <fb>-70.650000000000006</fb>
    <v>0</v>
  </rv>
  <rv s="0">
    <fb>6257516</fb>
    <v>9</v>
  </rv>
  <rv s="23">
    <v>#VALUE!</v>
    <v>en-US</v>
    <v>190dd277-52dd-5feb-5523-200c59886f8e</v>
    <v>536870912</v>
    <v>1</v>
    <v>340</v>
    <v>179</v>
    <v>Santiago</v>
    <v>5</v>
    <v>6</v>
    <v>Map</v>
    <v>7</v>
    <v>148</v>
    <v>2150</v>
    <v>2150</v>
    <v>2151</v>
    <v>2152</v>
    <v>Santiago, also known as Santiago de Chile, is the capital and largest city of Chile and one of the largest cities in the Americas. It is located in the country's central valley and is the center of the Santiago Metropolitan Region, which has a ...</v>
    <v>2153</v>
    <v>2154</v>
    <v>2156</v>
    <v>2157</v>
    <v>2158</v>
    <v>Santiago</v>
    <v>2159</v>
    <v>Santiago</v>
    <v>mdp/vdpid/6430568610371993606</v>
  </rv>
  <rv s="0">
    <fb>0.21171649832251302</fb>
    <v>28</v>
  </rv>
  <rv s="0">
    <fb>756102</fb>
    <v>9</v>
  </rv>
  <rv s="0">
    <fb>122000</fb>
    <v>9</v>
  </rv>
  <rv s="0">
    <fb>12.428000000000001</fb>
    <v>29</v>
  </rv>
  <rv s="0">
    <fb>56</fb>
    <v>30</v>
  </rv>
  <rv s="0">
    <fb>85822.467999999993</fb>
    <v>9</v>
  </rv>
  <rv s="0">
    <fb>131.913566974844</fb>
    <v>31</v>
  </rv>
  <rv s="0">
    <fb>2.55754475703323E-2</fb>
    <v>28</v>
  </rv>
  <rv s="0">
    <fb>3879.6756048594998</fb>
    <v>9</v>
  </rv>
  <rv s="0">
    <fb>1.649</fb>
    <v>29</v>
  </rv>
  <rv s="0">
    <fb>0.24256925086238501</fb>
    <v>28</v>
  </rv>
  <rv s="0">
    <fb>74.647212262567805</fb>
    <v>34</v>
  </rv>
  <rv s="0">
    <fb>282318159744.65002</fb>
    <v>33</v>
  </rv>
  <rv s="0">
    <fb>1.0143016</fb>
    <v>28</v>
  </rv>
  <rv s="0">
    <fb>0.88464419999999999</fb>
    <v>28</v>
  </rv>
  <rv s="2">
    <v>66</v>
    <v>7</v>
    <v>342</v>
    <v>7</v>
    <v>0</v>
    <v>Image of Chile</v>
  </rv>
  <rv s="0">
    <fb>6.2</fb>
    <v>34</v>
  </rv>
  <rv s="1">
    <v>805306368</v>
    <v>Gabriel Boric (President)</v>
    <v>a5b9649e-0dda-ce69-dd77-b90d92799948</v>
    <v>en-US</v>
    <v>Generic</v>
  </rv>
  <rv s="3">
    <v>154</v>
  </rv>
  <rv s="4">
    <v>https://www.bing.com/search?q=chile&amp;form=skydnc</v>
    <v>Learn more on Bing</v>
  </rv>
  <rv s="0">
    <fb>80.042000000000002</fb>
    <v>34</v>
  </rv>
  <rv s="0">
    <fb>203791650000</fb>
    <v>33</v>
  </rv>
  <rv s="0">
    <fb>13</fb>
    <v>34</v>
  </rv>
  <rv s="0">
    <fb>2</fb>
    <v>32</v>
  </rv>
  <rv s="3">
    <v>155</v>
  </rv>
  <rv s="0">
    <fb>0.32240714050000002</fb>
    <v>28</v>
  </rv>
  <rv s="0">
    <fb>2.5912000000000002</fb>
    <v>29</v>
  </rv>
  <rv s="0">
    <fb>19603733</fb>
    <v>9</v>
  </rv>
  <rv s="0">
    <fb>0.19699999999999998</fb>
    <v>28</v>
  </rv>
  <rv s="0">
    <fb>0.51300000000000001</fb>
    <v>28</v>
  </rv>
  <rv s="0">
    <fb>2.3E-2</fb>
    <v>28</v>
  </rv>
  <rv s="0">
    <fb>5.7999999999999996E-2</fb>
    <v>28</v>
  </rv>
  <rv s="0">
    <fb>0.13600000000000001</fb>
    <v>28</v>
  </rv>
  <rv s="0">
    <fb>0.62644001007080097</fb>
    <v>28</v>
  </rv>
  <rv s="1">
    <v>536870912</v>
    <v>Arica y Parinacota Region</v>
    <v>e82edc74-d7d4-52a9-63c9-da07aa4c8d07</v>
    <v>en-US</v>
    <v>Map</v>
  </rv>
  <rv s="1">
    <v>536870912</v>
    <v>Tarapacá Region</v>
    <v>f71529e3-ca1d-662b-2695-7619691fe930</v>
    <v>en-US</v>
    <v>Map</v>
  </rv>
  <rv s="1">
    <v>536870912</v>
    <v>Antofagasta Region</v>
    <v>0e94e649-e291-382e-a367-acb53290d201</v>
    <v>en-US</v>
    <v>Map</v>
  </rv>
  <rv s="1">
    <v>536870912</v>
    <v>Atacama Region</v>
    <v>f345e54e-574a-13c9-92e8-8aee46fdab13</v>
    <v>en-US</v>
    <v>Map</v>
  </rv>
  <rv s="1">
    <v>536870912</v>
    <v>Coquimbo Region</v>
    <v>76048cc3-d603-9c38-a167-a7ca5b8cbbc2</v>
    <v>en-US</v>
    <v>Map</v>
  </rv>
  <rv s="1">
    <v>536870912</v>
    <v>Valparaíso Region</v>
    <v>16db3fa8-cd1b-2e46-c8fd-319a483e9f74</v>
    <v>en-US</v>
    <v>Map</v>
  </rv>
  <rv s="1">
    <v>536870912</v>
    <v>O'Higgins Region</v>
    <v>a69b3fd5-459d-0124-d048-5d97d3c59ccc</v>
    <v>en-US</v>
    <v>Map</v>
  </rv>
  <rv s="1">
    <v>536870912</v>
    <v>Maule Region</v>
    <v>1e2324a1-9cb4-35ae-b663-73c3f67a17d5</v>
    <v>en-US</v>
    <v>Map</v>
  </rv>
  <rv s="1">
    <v>536870912</v>
    <v>Biobío Region</v>
    <v>e7f0592f-2534-c4f2-c1d3-fdea2c39f853</v>
    <v>en-US</v>
    <v>Map</v>
  </rv>
  <rv s="1">
    <v>536870912</v>
    <v>Araucanía Region</v>
    <v>2d02ef0b-dd81-faa4-520b-0ec94f6d1f8e</v>
    <v>en-US</v>
    <v>Map</v>
  </rv>
  <rv s="1">
    <v>536870912</v>
    <v>Los Ríos Region</v>
    <v>d63a8dc4-6856-1b2f-c860-14be52df0d59</v>
    <v>en-US</v>
    <v>Map</v>
  </rv>
  <rv s="1">
    <v>536870912</v>
    <v>Los Lagos Region</v>
    <v>e02e6fdd-6c61-e5bb-60a2-e02511b76154</v>
    <v>en-US</v>
    <v>Map</v>
  </rv>
  <rv s="1">
    <v>536870912</v>
    <v>Aysén Region</v>
    <v>f1dfad18-7a71-c02b-6499-9d48079ad086</v>
    <v>en-US</v>
    <v>Map</v>
  </rv>
  <rv s="1">
    <v>536870912</v>
    <v>Magallanes Region</v>
    <v>bae16453-cc13-6536-3ecf-d010cdfe7779</v>
    <v>en-US</v>
    <v>Map</v>
  </rv>
  <rv s="3">
    <v>156</v>
  </rv>
  <rv s="0">
    <fb>0.182194149378896</fb>
    <v>28</v>
  </rv>
  <rv s="3">
    <v>157</v>
  </rv>
  <rv s="0">
    <fb>0.34</fb>
    <v>28</v>
  </rv>
  <rv s="0">
    <fb>7.09000015258789E-2</fb>
    <v>35</v>
  </rv>
  <rv s="0">
    <fb>16610135</fb>
    <v>9</v>
  </rv>
  <rv s="9">
    <v>#VALUE!</v>
    <v>en-US</v>
    <v>604665af-d1f4-5c64-9b93-1ef5f0471308</v>
    <v>536870912</v>
    <v>1</v>
    <v>345</v>
    <v>55</v>
    <v>Chile</v>
    <v>5</v>
    <v>6</v>
    <v>Map</v>
    <v>7</v>
    <v>346</v>
    <v>CL</v>
    <v>2161</v>
    <v>2162</v>
    <v>2163</v>
    <v>2164</v>
    <v>2165</v>
    <v>2149</v>
    <v>2166</v>
    <v>2167</v>
    <v>2168</v>
    <v>CLF</v>
    <v>Chile, officially the Republic of Chile, is a country in western South America. It is the southernmost country in the world and the closest to Antarctica, stretching along a narrow strip of land between the Andes Mountains and the Pacific Ocean. ...</v>
    <v>2169</v>
    <v>2170</v>
    <v>2171</v>
    <v>2172</v>
    <v>1934</v>
    <v>2173</v>
    <v>2174</v>
    <v>2175</v>
    <v>2176</v>
    <v>2177</v>
    <v>2149</v>
    <v>2179</v>
    <v>2180</v>
    <v>2181</v>
    <v>2182</v>
    <v>2183</v>
    <v>2184</v>
    <v>Chile</v>
    <v>National Anthem of Chile</v>
    <v>2185</v>
    <v>Chile</v>
    <v>2186</v>
    <v>2187</v>
    <v>2188</v>
    <v>2189</v>
    <v>1110</v>
    <v>2190</v>
    <v>2191</v>
    <v>2192</v>
    <v>1820</v>
    <v>2193</v>
    <v>2194</v>
    <v>2209</v>
    <v>2210</v>
    <v>2211</v>
    <v>2212</v>
    <v>2213</v>
    <v>Chile</v>
    <v>2214</v>
    <v>mdp/vdpid/46</v>
  </rv>
  <rv s="1">
    <v>536870912</v>
    <v>Beijing</v>
    <v>e43bc499-902a-5deb-aced-aa4a247e6822</v>
    <v>en-US</v>
    <v>Map</v>
  </rv>
  <rv s="0">
    <fb>16410.54</fb>
    <v>9</v>
  </rv>
  <rv s="1">
    <v>536870912</v>
    <v>Tongzhou District</v>
    <v>cc963155-329a-83ce-d8a5-83b72f1c8800</v>
    <v>en-US</v>
    <v>Map</v>
  </rv>
  <rv s="1">
    <v>536870912</v>
    <v>China</v>
    <v>5fcc3d97-0cf2-94e5-6dad-cd70e387bd69</v>
    <v>en-US</v>
    <v>Map</v>
  </rv>
  <rv s="2">
    <v>67</v>
    <v>7</v>
    <v>347</v>
    <v>7</v>
    <v>0</v>
    <v>Image of Beijing</v>
  </rv>
  <rv s="1">
    <v>805306368</v>
    <v>Yin Li (Chinese Communist Party Committee Secretary)</v>
    <v>6a3ab6db-f434-ee02-d44c-9e95372451ed</v>
    <v>en-US</v>
    <v>Generic</v>
  </rv>
  <rv s="1">
    <v>805306368</v>
    <v>Yin Yong (Mayor)</v>
    <v>d37035ee-bd6d-01bf-9e95-d8d081fb2021</v>
    <v>en-US</v>
    <v>Generic</v>
  </rv>
  <rv s="1">
    <v>805306368</v>
    <v>Wei Xiaodong (Chairman)</v>
    <v>a6040d47-9aea-507c-9ee4-41eb78178ac0</v>
    <v>en-US</v>
    <v>Generic</v>
  </rv>
  <rv s="3">
    <v>158</v>
  </rv>
  <rv s="4">
    <v>https://www.bing.com/search?q=beijing&amp;form=skydnc</v>
    <v>Learn more on Bing</v>
  </rv>
  <rv s="0">
    <fb>21893095</fb>
    <v>9</v>
  </rv>
  <rv s="34">
    <v>#VALUE!</v>
    <v>en-US</v>
    <v>e43bc499-902a-5deb-aced-aa4a247e6822</v>
    <v>536870912</v>
    <v>1</v>
    <v>349</v>
    <v>350</v>
    <v>Beijing</v>
    <v>5</v>
    <v>6</v>
    <v>Map</v>
    <v>7</v>
    <v>8</v>
    <v>CN-11</v>
    <v>2217</v>
    <v>2218</v>
    <v>2219</v>
    <v>Beijing, alternatively romanized as Peking, is the capital of the People's Republic of China. With about 22 million residents, Beijing is the world's most populous national capital city as well as China's second largest city after Shanghai. It ...</v>
    <v>2220</v>
    <v>2224</v>
    <v>2225</v>
    <v>Beijing</v>
    <v>2226</v>
    <v>Beijing</v>
    <v>mdp/vdpid/10067302</v>
  </rv>
  <rv s="0">
    <fb>0.56212313103349798</fb>
    <v>28</v>
  </rv>
  <rv s="0">
    <fb>9596961</fb>
    <v>9</v>
  </rv>
  <rv s="0">
    <fb>2695000</fb>
    <v>9</v>
  </rv>
  <rv s="0">
    <fb>10.9</fb>
    <v>29</v>
  </rv>
  <rv s="0">
    <fb>86</fb>
    <v>30</v>
  </rv>
  <rv s="0">
    <fb>9893037.9519999996</fb>
    <v>9</v>
  </rv>
  <rv s="0">
    <fb>125.083155733959</fb>
    <v>31</v>
  </rv>
  <rv s="0">
    <fb>2.8992357992594101E-2</fb>
    <v>28</v>
  </rv>
  <rv s="0">
    <fb>3927.0444999890101</fb>
    <v>9</v>
  </rv>
  <rv s="0">
    <fb>1.69</fb>
    <v>29</v>
  </rv>
  <rv s="0">
    <fb>0.22353941805732902</fb>
    <v>28</v>
  </rv>
  <rv s="0">
    <fb>87.670430768185398</fb>
    <v>34</v>
  </rv>
  <rv s="0">
    <fb>0.96</fb>
    <v>32</v>
  </rv>
  <rv s="0">
    <fb>19910000000000</fb>
    <v>33</v>
  </rv>
  <rv s="0">
    <fb>1.0022275</fb>
    <v>28</v>
  </rv>
  <rv s="0">
    <fb>0.50604439999999995</fb>
    <v>28</v>
  </rv>
  <rv s="2">
    <v>68</v>
    <v>7</v>
    <v>352</v>
    <v>7</v>
    <v>0</v>
    <v>Image of China</v>
  </rv>
  <rv s="0">
    <fb>7.4</fb>
    <v>34</v>
  </rv>
  <rv s="1">
    <v>536870912</v>
    <v>Chongqing</v>
    <v>69bf0da4-4c0f-d795-e3d4-f2087fc9101e</v>
    <v>en-US</v>
    <v>Map</v>
  </rv>
  <rv s="1">
    <v>805306368</v>
    <v>Xi Jinping (Secretary)</v>
    <v>cd954b68-481c-b388-8b3d-6c0081dc9adf</v>
    <v>en-US</v>
    <v>Generic</v>
  </rv>
  <rv s="1">
    <v>805306368</v>
    <v>Xi Jinping (President)</v>
    <v>cd954b68-481c-b388-8b3d-6c0081dc9adf</v>
    <v>en-US</v>
    <v>Generic</v>
  </rv>
  <rv s="1">
    <v>805306368</v>
    <v>Li Qiang (Premier)</v>
    <v>f0d727f0-3735-908f-e9a5-a6e2264d2e8e</v>
    <v>en-US</v>
    <v>Generic</v>
  </rv>
  <rv s="1">
    <v>805306368</v>
    <v>Han Zheng (Vice president)</v>
    <v>e9aab0c7-cc9c-fc04-646c-f65aabe8bd9a</v>
    <v>en-US</v>
    <v>Generic</v>
  </rv>
  <rv s="3">
    <v>159</v>
  </rv>
  <rv s="4">
    <v>https://www.bing.com/search?q=china&amp;form=skydnc</v>
    <v>Learn more on Bing</v>
  </rv>
  <rv s="0">
    <fb>76.959999999999994</fb>
    <v>34</v>
  </rv>
  <rv s="0">
    <fb>8515504380000</fb>
    <v>33</v>
  </rv>
  <rv s="0">
    <fb>29</fb>
    <v>34</v>
  </rv>
  <rv s="0">
    <fb>0.87</fb>
    <v>32</v>
  </rv>
  <rv s="3">
    <v>160</v>
  </rv>
  <rv s="0">
    <fb>0.32386296240000001</fb>
    <v>28</v>
  </rv>
  <rv s="0">
    <fb>1.9798</fb>
    <v>29</v>
  </rv>
  <rv s="0">
    <fb>1412175000</fb>
    <v>9</v>
  </rv>
  <rv s="0">
    <fb>0.222</fb>
    <v>28</v>
  </rv>
  <rv s="0">
    <fb>0.29299999999999998</fb>
    <v>28</v>
  </rv>
  <rv s="0">
    <fb>0.45299999999999996</fb>
    <v>28</v>
  </rv>
  <rv s="0">
    <fb>6.5000000000000002E-2</fb>
    <v>28</v>
  </rv>
  <rv s="0">
    <fb>0.107</fb>
    <v>28</v>
  </rv>
  <rv s="0">
    <fb>0.67986999511718804</fb>
    <v>28</v>
  </rv>
  <rv s="1">
    <v>536870912</v>
    <v>Tianjin</v>
    <v>45fdbb85-8f7d-7f8b-dc59-7cb26189ef7d</v>
    <v>en-US</v>
    <v>Map</v>
  </rv>
  <rv s="1">
    <v>536870912</v>
    <v>Hebei</v>
    <v>268021ac-4731-f143-328a-f385a6b2f343</v>
    <v>en-US</v>
    <v>Map</v>
  </rv>
  <rv s="1">
    <v>536870912</v>
    <v>Shanxi</v>
    <v>075dd860-13e3-fb9e-dab0-6f2a22a59c5d</v>
    <v>en-US</v>
    <v>Map</v>
  </rv>
  <rv s="1">
    <v>536870912</v>
    <v>Inner Mongolia</v>
    <v>2c74fdb2-19bf-0f2d-f20d-13b21d6103e6</v>
    <v>en-US</v>
    <v>Map</v>
  </rv>
  <rv s="1">
    <v>536870912</v>
    <v>Liaoning</v>
    <v>50b9b45b-7555-8f4e-500a-81f90d66f392</v>
    <v>en-US</v>
    <v>Map</v>
  </rv>
  <rv s="1">
    <v>536870912</v>
    <v>Jilin</v>
    <v>20bba38c-89a4-7448-c64a-9ec85a4ba341</v>
    <v>en-US</v>
    <v>Map</v>
  </rv>
  <rv s="1">
    <v>536870912</v>
    <v>Heilongjiang</v>
    <v>a7c2e681-f80e-cae6-2ae7-fccb47f12008</v>
    <v>en-US</v>
    <v>Map</v>
  </rv>
  <rv s="1">
    <v>536870912</v>
    <v>Shanghai</v>
    <v>29ece984-463e-6074-60e1-83f8c012ef70</v>
    <v>en-US</v>
    <v>Map</v>
  </rv>
  <rv s="1">
    <v>536870912</v>
    <v>Jiangsu</v>
    <v>c979b1db-2e4e-7b88-511f-1cd5a525053c</v>
    <v>en-US</v>
    <v>Map</v>
  </rv>
  <rv s="1">
    <v>536870912</v>
    <v>Zhejiang</v>
    <v>5464490d-3361-4945-967e-d8879b9c8415</v>
    <v>en-US</v>
    <v>Map</v>
  </rv>
  <rv s="1">
    <v>536870912</v>
    <v>Anhui</v>
    <v>7a26b7d2-0ec9-86cd-351a-a9f347c4b9cd</v>
    <v>en-US</v>
    <v>Map</v>
  </rv>
  <rv s="1">
    <v>536870912</v>
    <v>Fujian</v>
    <v>f7e228b4-20f3-6c06-f9d2-0e381cb472db</v>
    <v>en-US</v>
    <v>Map</v>
  </rv>
  <rv s="1">
    <v>536870912</v>
    <v>Jiangxi</v>
    <v>60bbd587-912f-cf97-4a3b-4e9236f59153</v>
    <v>en-US</v>
    <v>Map</v>
  </rv>
  <rv s="1">
    <v>536870912</v>
    <v>Shandong</v>
    <v>311c787d-5f0d-3960-4647-a0b3ee6bb863</v>
    <v>en-US</v>
    <v>Map</v>
  </rv>
  <rv s="1">
    <v>536870912</v>
    <v>Henan</v>
    <v>e1b3708c-e5d8-671a-5b9c-e74cf7d11971</v>
    <v>en-US</v>
    <v>Map</v>
  </rv>
  <rv s="1">
    <v>536870912</v>
    <v>Hubei</v>
    <v>03c5c53c-6c11-7737-b58a-31b9b73bce20</v>
    <v>en-US</v>
    <v>Map</v>
  </rv>
  <rv s="1">
    <v>536870912</v>
    <v>Hunan</v>
    <v>84852e67-826c-7232-5aec-3bd5a776c21b</v>
    <v>en-US</v>
    <v>Map</v>
  </rv>
  <rv s="1">
    <v>536870912</v>
    <v>Guangdong</v>
    <v>533d187e-5296-4200-eed8-55f3257c948f</v>
    <v>en-US</v>
    <v>Map</v>
  </rv>
  <rv s="1">
    <v>536870912</v>
    <v>Guangxi</v>
    <v>b2e2f034-494c-f814-7555-fa5d56071d6f</v>
    <v>en-US</v>
    <v>Map</v>
  </rv>
  <rv s="1">
    <v>536870912</v>
    <v>Hainan</v>
    <v>85cb11dd-f8f0-f5e0-35d3-42ce64c34e9e</v>
    <v>en-US</v>
    <v>Map</v>
  </rv>
  <rv s="1">
    <v>536870912</v>
    <v>Sichuan</v>
    <v>49bf1471-e0d6-011f-bb5b-edd67fea0a6f</v>
    <v>en-US</v>
    <v>Map</v>
  </rv>
  <rv s="1">
    <v>536870912</v>
    <v>Guizhou</v>
    <v>3025ec8b-299d-6131-4293-401f8dd1701e</v>
    <v>en-US</v>
    <v>Map</v>
  </rv>
  <rv s="1">
    <v>536870912</v>
    <v>Yunnan</v>
    <v>62345ab8-b0e6-d4c5-87b4-0e7a5b39c7dc</v>
    <v>en-US</v>
    <v>Map</v>
  </rv>
  <rv s="1">
    <v>536870912</v>
    <v>Hong Kong</v>
    <v>304df1d5-38ee-e835-eb2a-554caba5c30e</v>
    <v>en-US</v>
    <v>Map</v>
  </rv>
  <rv s="1">
    <v>536870912</v>
    <v>Tibet Autonomous Region</v>
    <v>47172d29-ddc9-3139-5851-4a08c8219822</v>
    <v>en-US</v>
    <v>Map</v>
  </rv>
  <rv s="1">
    <v>536870912</v>
    <v>Shaanxi</v>
    <v>2c52cd90-c486-5a30-6fdf-b777d9331efd</v>
    <v>en-US</v>
    <v>Map</v>
  </rv>
  <rv s="1">
    <v>536870912</v>
    <v>Gansu</v>
    <v>2bf7e5b1-3ba4-5943-77aa-7ac1cb9a0535</v>
    <v>en-US</v>
    <v>Map</v>
  </rv>
  <rv s="1">
    <v>536870912</v>
    <v>Qinghai</v>
    <v>c8ddeac2-af7f-8ee9-dbac-33f9f697d88c</v>
    <v>en-US</v>
    <v>Map</v>
  </rv>
  <rv s="1">
    <v>536870912</v>
    <v>Ningxia</v>
    <v>b9d307c1-70f4-a27f-6800-d624b3030236</v>
    <v>en-US</v>
    <v>Map</v>
  </rv>
  <rv s="1">
    <v>536870912</v>
    <v>Xinjiang</v>
    <v>8e7874f1-5a52-a168-5737-ced81488dfca</v>
    <v>en-US</v>
    <v>Map</v>
  </rv>
  <rv s="1">
    <v>536870912</v>
    <v>Macau</v>
    <v>d7203e23-120a-c7fd-485a-3fbcf88a3288</v>
    <v>en-US</v>
    <v>Map</v>
  </rv>
  <rv s="3">
    <v>161</v>
  </rv>
  <rv s="0">
    <fb>9.4193182022714303E-2</fb>
    <v>28</v>
  </rv>
  <rv s="3">
    <v>162</v>
  </rv>
  <rv s="0">
    <fb>0.59200000000000008</fb>
    <v>28</v>
  </rv>
  <rv s="0">
    <fb>4.3200001716613798E-2</fb>
    <v>35</v>
  </rv>
  <rv s="0">
    <fb>842933962</fb>
    <v>9</v>
  </rv>
  <rv s="9">
    <v>#VALUE!</v>
    <v>en-US</v>
    <v>5fcc3d97-0cf2-94e5-6dad-cd70e387bd69</v>
    <v>536870912</v>
    <v>1</v>
    <v>356</v>
    <v>55</v>
    <v>China</v>
    <v>5</v>
    <v>6</v>
    <v>Map</v>
    <v>7</v>
    <v>357</v>
    <v>CN</v>
    <v>2228</v>
    <v>2229</v>
    <v>2230</v>
    <v>2231</v>
    <v>2232</v>
    <v>2216</v>
    <v>2233</v>
    <v>2234</v>
    <v>2235</v>
    <v>CNY</v>
    <v>China, officially the People's Republic of China, is a country in East Asia. With a population exceeding 1.4 billion, it is the second-most populous country after India, representing 17.4% of the world population. China spans the equivalent of ...</v>
    <v>2236</v>
    <v>2237</v>
    <v>2238</v>
    <v>2239</v>
    <v>2240</v>
    <v>2241</v>
    <v>2242</v>
    <v>2243</v>
    <v>2244</v>
    <v>2245</v>
    <v>2246</v>
    <v>2251</v>
    <v>2252</v>
    <v>2253</v>
    <v>2254</v>
    <v>2255</v>
    <v>2256</v>
    <v>China</v>
    <v>March of the Volunteers</v>
    <v>2257</v>
    <v>中华人民共和国</v>
    <v>2258</v>
    <v>2259</v>
    <v>2260</v>
    <v>2261</v>
    <v>2262</v>
    <v>2263</v>
    <v>1287</v>
    <v>2264</v>
    <v>2265</v>
    <v>1360</v>
    <v>2266</v>
    <v>2298</v>
    <v>2299</v>
    <v>2300</v>
    <v>2301</v>
    <v>2302</v>
    <v>China</v>
    <v>2303</v>
    <v>mdp/vdpid/45</v>
  </rv>
  <rv s="1">
    <v>536870912</v>
    <v>Bogotá</v>
    <v>66b24d5c-468c-2dd6-e6ce-34504b6f6cb4</v>
    <v>en-US</v>
    <v>Map</v>
  </rv>
  <rv s="0">
    <fb>1578</fb>
    <v>9</v>
  </rv>
  <rv s="1">
    <v>536870912</v>
    <v>Colombia</v>
    <v>c396e3d8-2a85-d230-f691-7850536d840e</v>
    <v>en-US</v>
    <v>Map</v>
  </rv>
  <rv s="0">
    <fb>1762685</fb>
    <v>9</v>
  </rv>
  <rv s="2">
    <v>69</v>
    <v>7</v>
    <v>358</v>
    <v>7</v>
    <v>0</v>
    <v>Image of Bogotá</v>
  </rv>
  <rv s="1">
    <v>805306368</v>
    <v>Carlos Fernando Galán (Mayor)</v>
    <v>3d912021-b29b-42b8-aeb9-0d8974463060</v>
    <v>en-US</v>
    <v>Generic</v>
  </rv>
  <rv s="3">
    <v>163</v>
  </rv>
  <rv s="4">
    <v>https://www.bing.com/search?q=bogot%c3%a1+colombia&amp;form=skydnc</v>
    <v>Learn more on Bing</v>
  </rv>
  <rv s="0">
    <fb>8034649</fb>
    <v>9</v>
  </rv>
  <rv s="35">
    <v>#VALUE!</v>
    <v>en-US</v>
    <v>66b24d5c-468c-2dd6-e6ce-34504b6f6cb4</v>
    <v>536870912</v>
    <v>1</v>
    <v>361</v>
    <v>362</v>
    <v>Bogotá</v>
    <v>5</v>
    <v>6</v>
    <v>Map</v>
    <v>7</v>
    <v>363</v>
    <v>CO-DC</v>
    <v>2306</v>
    <v>2307</v>
    <v>Bogotá, officially Bogotá, Distrito Capital, abbreviated Bogotá, D.C., and formerly known as Santa Fe de Bogotá during the Spanish Colonial period and between 1991 and 2000, is the capital and largest city of Colombia, and one of the largest ...</v>
    <v>2308</v>
    <v>2309</v>
    <v>2311</v>
    <v>2312</v>
    <v>Bogotá</v>
    <v>2185</v>
    <v>2313</v>
    <v>876</v>
    <v>Bogotá</v>
    <v>mdp/vdpid/5580743703691001857</v>
  </rv>
  <rv s="0">
    <fb>0.40257414657503404</fb>
    <v>28</v>
  </rv>
  <rv s="0">
    <fb>1141748</fb>
    <v>9</v>
  </rv>
  <rv s="0">
    <fb>481000</fb>
    <v>9</v>
  </rv>
  <rv s="0">
    <fb>14.882</fb>
    <v>29</v>
  </rv>
  <rv s="0">
    <fb>57</fb>
    <v>30</v>
  </rv>
  <rv s="0">
    <fb>97813.558000000005</fb>
    <v>9</v>
  </rv>
  <rv s="0">
    <fb>140.95037394202501</fb>
    <v>31</v>
  </rv>
  <rv s="0">
    <fb>3.52549273618952E-2</fb>
    <v>28</v>
  </rv>
  <rv s="0">
    <fb>1312.1575030143699</fb>
    <v>9</v>
  </rv>
  <rv s="0">
    <fb>1.8069999999999999</fb>
    <v>29</v>
  </rv>
  <rv s="0">
    <fb>0.52703938288643504</fb>
    <v>28</v>
  </rv>
  <rv s="0">
    <fb>76.685692626893996</fb>
    <v>34</v>
  </rv>
  <rv s="0">
    <fb>323802808108.24597</fb>
    <v>33</v>
  </rv>
  <rv s="0">
    <fb>1.1452666</fb>
    <v>28</v>
  </rv>
  <rv s="0">
    <fb>0.55327490000000001</fb>
    <v>28</v>
  </rv>
  <rv s="2">
    <v>70</v>
    <v>7</v>
    <v>365</v>
    <v>7</v>
    <v>0</v>
    <v>Image of Colombia</v>
  </rv>
  <rv s="0">
    <fb>12.2</fb>
    <v>34</v>
  </rv>
  <rv s="1">
    <v>805306368</v>
    <v>Gustavo Petro (President)</v>
    <v>6d82a058-5246-ec8e-cc68-4ec9b7022623</v>
    <v>en-US</v>
    <v>Generic</v>
  </rv>
  <rv s="1">
    <v>805306368</v>
    <v>Francia Márquez (Vice president)</v>
    <v>31dbe672-1593-31cc-dd43-199002188cba</v>
    <v>en-US</v>
    <v>Generic</v>
  </rv>
  <rv s="3">
    <v>164</v>
  </rv>
  <rv s="4">
    <v>https://www.bing.com/search?q=colombia&amp;form=skydnc</v>
    <v>Learn more on Bing</v>
  </rv>
  <rv s="0">
    <fb>77.108999999999995</fb>
    <v>34</v>
  </rv>
  <rv s="0">
    <fb>132040280000</fb>
    <v>33</v>
  </rv>
  <rv s="0">
    <fb>83</fb>
    <v>34</v>
  </rv>
  <rv s="0">
    <fb>1.23</fb>
    <v>32</v>
  </rv>
  <rv s="3">
    <v>165</v>
  </rv>
  <rv s="0">
    <fb>0.1829434999</fb>
    <v>28</v>
  </rv>
  <rv s="0">
    <fb>2.1848000000000001</fb>
    <v>29</v>
  </rv>
  <rv s="0">
    <fb>51874024</fb>
    <v>9</v>
  </rv>
  <rv s="0">
    <fb>0.19899999999999998</fb>
    <v>28</v>
  </rv>
  <rv s="0">
    <fb>0.39700000000000002</fb>
    <v>28</v>
  </rv>
  <rv s="0">
    <fb>1.3999999999999999E-2</fb>
    <v>28</v>
  </rv>
  <rv s="0">
    <fb>0.68771003723144508</fb>
    <v>28</v>
  </rv>
  <rv s="1">
    <v>536870912</v>
    <v>Amazonas</v>
    <v>b1142dfe-c0da-0b16-7b5b-40e1812fc5b5</v>
    <v>en-US</v>
    <v>Map</v>
  </rv>
  <rv s="1">
    <v>536870912</v>
    <v>Antioquia Department</v>
    <v>d3614470-a93c-5d64-a636-9da2dff33c3d</v>
    <v>en-US</v>
    <v>Map</v>
  </rv>
  <rv s="1">
    <v>536870912</v>
    <v>Arauca Department</v>
    <v>39038b52-0399-9385-24de-5d0c69b46eba</v>
    <v>en-US</v>
    <v>Map</v>
  </rv>
  <rv s="1">
    <v>536870912</v>
    <v>Atlántico Department</v>
    <v>060406d2-f65b-ee44-bba7-291bad263612</v>
    <v>en-US</v>
    <v>Map</v>
  </rv>
  <rv s="1">
    <v>536870912</v>
    <v>Bolívar Department</v>
    <v>38fa99f2-3e47-af72-2f25-81f620fe1128</v>
    <v>en-US</v>
    <v>Map</v>
  </rv>
  <rv s="1">
    <v>536870912</v>
    <v>Boyacá Department</v>
    <v>951b3076-f33d-486b-9b35-d6d83aad8b98</v>
    <v>en-US</v>
    <v>Map</v>
  </rv>
  <rv s="1">
    <v>536870912</v>
    <v>Caldas Department</v>
    <v>85871477-49bf-4c76-2b8d-3f2500f444d8</v>
    <v>en-US</v>
    <v>Map</v>
  </rv>
  <rv s="1">
    <v>536870912</v>
    <v>Caquetá Department</v>
    <v>52c6ce36-10f4-7316-b10a-41d0eb67ac75</v>
    <v>en-US</v>
    <v>Map</v>
  </rv>
  <rv s="1">
    <v>536870912</v>
    <v>Casanare Department</v>
    <v>e7b3ed4f-03e8-7516-f976-b525e8a0b565</v>
    <v>en-US</v>
    <v>Map</v>
  </rv>
  <rv s="1">
    <v>536870912</v>
    <v>Cauca Department</v>
    <v>7b3864e4-af68-447f-d9bc-075dd9085ef8</v>
    <v>en-US</v>
    <v>Map</v>
  </rv>
  <rv s="1">
    <v>536870912</v>
    <v>Cesar Department</v>
    <v>acf0353b-c9e7-bf27-fe4d-0e199bc80085</v>
    <v>en-US</v>
    <v>Map</v>
  </rv>
  <rv s="1">
    <v>536870912</v>
    <v>Chocó Department</v>
    <v>a03f5bb0-fdf4-7ba6-1aa2-98634d5ec680</v>
    <v>en-US</v>
    <v>Map</v>
  </rv>
  <rv s="1">
    <v>536870912</v>
    <v>Córdoba Department</v>
    <v>351fe87f-ca62-b128-b52c-3edd6fa6b80f</v>
    <v>en-US</v>
    <v>Map</v>
  </rv>
  <rv s="1">
    <v>536870912</v>
    <v>Cundinamarca Department</v>
    <v>26fc374f-923b-d32c-4651-e3e8c06fc3ed</v>
    <v>en-US</v>
    <v>Map</v>
  </rv>
  <rv s="1">
    <v>536870912</v>
    <v>Guainía Department</v>
    <v>8651c982-77dc-b5af-4197-627d13648685</v>
    <v>en-US</v>
    <v>Map</v>
  </rv>
  <rv s="1">
    <v>536870912</v>
    <v>Guaviare Department</v>
    <v>fe72a3d7-3b52-1552-6e5d-28dca99e051b</v>
    <v>en-US</v>
    <v>Map</v>
  </rv>
  <rv s="1">
    <v>536870912</v>
    <v>Huila Department</v>
    <v>2752ef70-1772-e264-2348-e4146224c108</v>
    <v>en-US</v>
    <v>Map</v>
  </rv>
  <rv s="1">
    <v>536870912</v>
    <v>La Guajira Department</v>
    <v>5dadb66e-c4f1-8556-c08f-671a606edf84</v>
    <v>en-US</v>
    <v>Map</v>
  </rv>
  <rv s="1">
    <v>536870912</v>
    <v>Magdalena Department</v>
    <v>dcdd93f1-b99c-7653-25fe-53654ad52fa2</v>
    <v>en-US</v>
    <v>Map</v>
  </rv>
  <rv s="1">
    <v>536870912</v>
    <v>Meta Department</v>
    <v>30c3c263-a281-f2d2-6787-511d37d41ddf</v>
    <v>en-US</v>
    <v>Map</v>
  </rv>
  <rv s="1">
    <v>536870912</v>
    <v>Nariño Department</v>
    <v>1b9faaa5-ba49-9e9a-6edd-39ceed297f8f</v>
    <v>en-US</v>
    <v>Map</v>
  </rv>
  <rv s="1">
    <v>536870912</v>
    <v>Norte de Santander Department</v>
    <v>d44c8def-e6be-c3f1-ab4e-e27af99a2e0b</v>
    <v>en-US</v>
    <v>Map</v>
  </rv>
  <rv s="1">
    <v>536870912</v>
    <v>Putumayo Department</v>
    <v>45f7bd51-6a99-6e2e-3095-604393add4b0</v>
    <v>en-US</v>
    <v>Map</v>
  </rv>
  <rv s="1">
    <v>536870912</v>
    <v>Quindío Department</v>
    <v>0bb62acd-b714-a5dd-dc49-6f69ddaba02c</v>
    <v>en-US</v>
    <v>Map</v>
  </rv>
  <rv s="1">
    <v>536870912</v>
    <v>Risaralda Department</v>
    <v>12859881-10e7-a44f-aa52-ed6ecbc80e7c</v>
    <v>en-US</v>
    <v>Map</v>
  </rv>
  <rv s="1">
    <v>536870912</v>
    <v>Archipelago of San Andrés, Providencia and Santa Catalina</v>
    <v>188ba911-2335-579f-505a-e6bde1ce992c</v>
    <v>en-US</v>
    <v>Map</v>
  </rv>
  <rv s="1">
    <v>536870912</v>
    <v>Santander Department</v>
    <v>98fbfaa3-063d-4261-a806-2b84a0339e05</v>
    <v>en-US</v>
    <v>Map</v>
  </rv>
  <rv s="1">
    <v>536870912</v>
    <v>Sucre Department</v>
    <v>771a5a65-ef7a-6112-a7e0-0a670038add2</v>
    <v>en-US</v>
    <v>Map</v>
  </rv>
  <rv s="1">
    <v>536870912</v>
    <v>Tolima Department</v>
    <v>9f5d3f6f-e4de-1042-2cb7-b84911d028d4</v>
    <v>en-US</v>
    <v>Map</v>
  </rv>
  <rv s="1">
    <v>536870912</v>
    <v>Valle del Cauca Department</v>
    <v>ce6e3742-88ee-970c-b7e9-de685afbebe8</v>
    <v>en-US</v>
    <v>Map</v>
  </rv>
  <rv s="1">
    <v>536870912</v>
    <v>Vaupés Department</v>
    <v>54afacd5-8118-0ece-5ab8-dbab67c52f56</v>
    <v>en-US</v>
    <v>Map</v>
  </rv>
  <rv s="1">
    <v>536870912</v>
    <v>Vichada Department</v>
    <v>17e2497e-dacc-256d-298c-9eb5d2977e40</v>
    <v>en-US</v>
    <v>Map</v>
  </rv>
  <rv s="3">
    <v>166</v>
  </rv>
  <rv s="0">
    <fb>0.144026436439844</fb>
    <v>28</v>
  </rv>
  <rv s="0">
    <fb>0.71200000000000008</fb>
    <v>28</v>
  </rv>
  <rv s="0">
    <fb>9.7069997787475604E-2</fb>
    <v>35</v>
  </rv>
  <rv s="0">
    <fb>40827302</fb>
    <v>9</v>
  </rv>
  <rv s="9">
    <v>#VALUE!</v>
    <v>en-US</v>
    <v>c396e3d8-2a85-d230-f691-7850536d840e</v>
    <v>536870912</v>
    <v>1</v>
    <v>368</v>
    <v>55</v>
    <v>Colombia</v>
    <v>5</v>
    <v>6</v>
    <v>Map</v>
    <v>7</v>
    <v>369</v>
    <v>CO</v>
    <v>2315</v>
    <v>2316</v>
    <v>2317</v>
    <v>2318</v>
    <v>2319</v>
    <v>2305</v>
    <v>2320</v>
    <v>2321</v>
    <v>2322</v>
    <v>COP</v>
    <v>Colombia, officially the Republic of Colombia, is a country primarily located in South America with insular regions in North America. The Colombian mainland is bordered by the Caribbean Sea to the north, Venezuela to the east and northeast, ...</v>
    <v>2323</v>
    <v>2324</v>
    <v>2325</v>
    <v>2326</v>
    <v>1811</v>
    <v>2327</v>
    <v>2328</v>
    <v>2329</v>
    <v>2330</v>
    <v>2331</v>
    <v>2305</v>
    <v>2334</v>
    <v>2335</v>
    <v>2336</v>
    <v>2337</v>
    <v>2338</v>
    <v>2339</v>
    <v>Colombia</v>
    <v>National Anthem of Colombia</v>
    <v>2340</v>
    <v>República de Colombia</v>
    <v>2341</v>
    <v>2342</v>
    <v>2343</v>
    <v>2344</v>
    <v>2345</v>
    <v>1120</v>
    <v>2346</v>
    <v>243</v>
    <v>588</v>
    <v>388</v>
    <v>2347</v>
    <v>2380</v>
    <v>2381</v>
    <v>876</v>
    <v>2382</v>
    <v>2383</v>
    <v>Colombia</v>
    <v>2384</v>
    <v>mdp/vdpid/51</v>
  </rv>
  <rv s="1">
    <v>536870912</v>
    <v>Moroni, Comoros</v>
    <v>0be23b6b-ca84-8c80-f0e1-19990199cbb7</v>
    <v>en-US</v>
    <v>Map</v>
  </rv>
  <rv s="1">
    <v>536870912</v>
    <v>Grande Comore</v>
    <v>47a59938-1c0a-4e50-faa4-aab1417a1650</v>
    <v>en-US</v>
    <v>Map</v>
  </rv>
  <rv s="1">
    <v>536870912</v>
    <v>Comoros</v>
    <v>6af22449-1737-0f15-f74c-840d9437bb6c</v>
    <v>en-US</v>
    <v>Map</v>
  </rv>
  <rv s="2">
    <v>71</v>
    <v>7</v>
    <v>370</v>
    <v>7</v>
    <v>0</v>
    <v>Image of Moroni, Comoros</v>
  </rv>
  <rv s="0">
    <fb>-11.703611111111</fb>
    <v>0</v>
  </rv>
  <rv s="4">
    <v>https://www.bing.com/search?q=moroni+comoros&amp;form=skydnc</v>
    <v>Learn more on Bing</v>
  </rv>
  <rv s="0">
    <fb>43.253611111110999</fb>
    <v>0</v>
  </rv>
  <rv s="0">
    <fb>111326</fb>
    <v>9</v>
  </rv>
  <rv s="17">
    <v>#VALUE!</v>
    <v>en-US</v>
    <v>0be23b6b-ca84-8c80-f0e1-19990199cbb7</v>
    <v>536870912</v>
    <v>1</v>
    <v>371</v>
    <v>110</v>
    <v>Moroni, Comoros</v>
    <v>5</v>
    <v>6</v>
    <v>Map</v>
    <v>7</v>
    <v>372</v>
    <v>2387</v>
    <v>303</v>
    <v>2388</v>
    <v>Moroni is the largest city, national capital, and seat of the government of the Union of the Comoros, a sovereign archipelago nation in the Indian Ocean. Moroni means "at the river". Moroni is the capital of the semi-autonomous island of ...</v>
    <v>2389</v>
    <v>2390</v>
    <v>2391</v>
    <v>2392</v>
    <v>Moroni, Comoros</v>
    <v>2393</v>
    <v>1020</v>
    <v>Moroni, Comoros</v>
    <v>mdp/vdpid/8136378438031245313</v>
  </rv>
  <rv s="0">
    <fb>0.71466950907040994</fb>
    <v>28</v>
  </rv>
  <rv s="0">
    <fb>2034</fb>
    <v>9</v>
  </rv>
  <rv s="0">
    <fb>31.881</fb>
    <v>29</v>
  </rv>
  <rv s="0">
    <fb>269</fb>
    <v>30</v>
  </rv>
  <rv s="0">
    <fb>201.685</fb>
    <v>9</v>
  </rv>
  <rv s="0">
    <fb>103.623545846485</fb>
    <v>31</v>
  </rv>
  <rv s="0">
    <fb>-4.2948733153675304E-2</fb>
    <v>28</v>
  </rv>
  <rv s="0">
    <fb>4.2050000000000001</fb>
    <v>29</v>
  </rv>
  <rv s="0">
    <fb>0.196668443169007</fb>
    <v>28</v>
  </rv>
  <rv s="0">
    <fb>1185728676.6511199</fb>
    <v>33</v>
  </rv>
  <rv s="0">
    <fb>0.99506629999999996</fb>
    <v>28</v>
  </rv>
  <rv s="0">
    <fb>8.9947800000000008E-2</fb>
    <v>28</v>
  </rv>
  <rv s="2">
    <v>72</v>
    <v>7</v>
    <v>374</v>
    <v>7</v>
    <v>0</v>
    <v>Image of Comoros</v>
  </rv>
  <rv s="0">
    <fb>51.3</fb>
    <v>34</v>
  </rv>
  <rv s="1">
    <v>805306368</v>
    <v>Azali Assoumani (President)</v>
    <v>a156117a-43da-0dfb-7082-a8286be01ed3</v>
    <v>en-US</v>
    <v>Generic</v>
  </rv>
  <rv s="3">
    <v>167</v>
  </rv>
  <rv s="4">
    <v>https://www.bing.com/search?q=comoros&amp;form=skydnc</v>
    <v>Learn more on Bing</v>
  </rv>
  <rv s="0">
    <fb>64.117999999999995</fb>
    <v>34</v>
  </rv>
  <rv s="0">
    <fb>273</fb>
    <v>34</v>
  </rv>
  <rv s="3">
    <v>168</v>
  </rv>
  <rv s="0">
    <fb>0.74814352889999991</fb>
    <v>28</v>
  </rv>
  <rv s="0">
    <fb>0.27150000000000002</fb>
    <v>29</v>
  </rv>
  <rv s="0">
    <fb>836774</fb>
    <v>9</v>
  </rv>
  <rv s="0">
    <fb>0.33700000000000002</fb>
    <v>28</v>
  </rv>
  <rv s="0">
    <fb>0.504</fb>
    <v>28</v>
  </rv>
  <rv s="0">
    <fb>1.6E-2</fb>
    <v>28</v>
  </rv>
  <rv s="0">
    <fb>9.0999999999999998E-2</fb>
    <v>28</v>
  </rv>
  <rv s="0">
    <fb>0.432809982299805</fb>
    <v>28</v>
  </rv>
  <rv s="1">
    <v>536870912</v>
    <v>Anjouan</v>
    <v>e144d307-ad75-56bf-1d9e-9527a0d4079b</v>
    <v>en-US</v>
    <v>Map</v>
  </rv>
  <rv s="1">
    <v>536870912</v>
    <v>Mohéli</v>
    <v>48102dc4-2758-1cda-635f-211ab8855530</v>
    <v>en-US</v>
    <v>Map</v>
  </rv>
  <rv s="3">
    <v>169</v>
  </rv>
  <rv s="0">
    <fb>2.1959999999999997</fb>
    <v>28</v>
  </rv>
  <rv s="0">
    <fb>4.3359999656677202E-2</fb>
    <v>35</v>
  </rv>
  <rv s="0">
    <fb>248152</fb>
    <v>9</v>
  </rv>
  <rv s="36">
    <v>#VALUE!</v>
    <v>en-US</v>
    <v>6af22449-1737-0f15-f74c-840d9437bb6c</v>
    <v>536870912</v>
    <v>1</v>
    <v>377</v>
    <v>378</v>
    <v>Comoros</v>
    <v>5</v>
    <v>6</v>
    <v>Map</v>
    <v>7</v>
    <v>379</v>
    <v>KM</v>
    <v>2395</v>
    <v>2396</v>
    <v>2397</v>
    <v>2398</v>
    <v>2386</v>
    <v>2399</v>
    <v>2400</v>
    <v>2401</v>
    <v>KMF</v>
    <v>The Comoros, officially the Union of the Comoros, is an archipelagic country made up of three islands in Southeastern Africa, located at the northern end of the Mozambique Channel in the Indian Ocean. Its capital and largest city is Moroni. The ...</v>
    <v>2402</v>
    <v>2403</v>
    <v>434</v>
    <v>2404</v>
    <v>2405</v>
    <v>2406</v>
    <v>2407</v>
    <v>2408</v>
    <v>2386</v>
    <v>2410</v>
    <v>2411</v>
    <v>2412</v>
    <v>2413</v>
    <v>377</v>
    <v>Comoros</v>
    <v>Udzima wa ya Masiwa</v>
    <v>2414</v>
    <v>Comores</v>
    <v>2415</v>
    <v>2416</v>
    <v>2417</v>
    <v>2261</v>
    <v>2418</v>
    <v>2419</v>
    <v>2420</v>
    <v>1955</v>
    <v>2421</v>
    <v>729</v>
    <v>2422</v>
    <v>2425</v>
    <v>1020</v>
    <v>2426</v>
    <v>2427</v>
    <v>Comoros</v>
    <v>2428</v>
    <v>mdp/vdpid/50</v>
  </rv>
  <rv s="1">
    <v>536870912</v>
    <v>Brazzaville</v>
    <v>63e3986d-f939-bd73-7be2-8bfd765b3a3e</v>
    <v>en-US</v>
    <v>Map</v>
  </rv>
  <rv s="0">
    <fb>263.89999999999998</fb>
    <v>9</v>
  </rv>
  <rv s="1">
    <v>536870912</v>
    <v>Brazzaville</v>
    <v>a4d96d6e-c689-c285-ddd5-ae639f4df14e</v>
    <v>en-US</v>
    <v>Map</v>
  </rv>
  <rv s="1">
    <v>536870912</v>
    <v>Republic of the Congo</v>
    <v>d348daf0-6f72-4058-aa09-8c7ed5e322ca</v>
    <v>en-US</v>
    <v>Map</v>
  </rv>
  <rv s="2">
    <v>73</v>
    <v>7</v>
    <v>380</v>
    <v>7</v>
    <v>0</v>
    <v>Image of Brazzaville</v>
  </rv>
  <rv s="1">
    <v>805306368</v>
    <v>Dieudonné Bantsimba (Mayor)</v>
    <v>bee3efde-0c27-f09e-0a66-2a552dcb3948</v>
    <v>en-US</v>
    <v>Generic</v>
  </rv>
  <rv s="3">
    <v>170</v>
  </rv>
  <rv s="4">
    <v>https://www.bing.com/search?q=brazzaville&amp;form=skydnc</v>
    <v>Learn more on Bing</v>
  </rv>
  <rv s="0">
    <fb>1783520</fb>
    <v>9</v>
  </rv>
  <rv s="34">
    <v>#VALUE!</v>
    <v>en-US</v>
    <v>63e3986d-f939-bd73-7be2-8bfd765b3a3e</v>
    <v>536870912</v>
    <v>1</v>
    <v>382</v>
    <v>350</v>
    <v>Brazzaville</v>
    <v>5</v>
    <v>6</v>
    <v>Map</v>
    <v>7</v>
    <v>253</v>
    <v>CG-BZV</v>
    <v>2431</v>
    <v>2432</v>
    <v>2433</v>
    <v>Brazzaville is the capital and largest city of the Republic of the Congo. Administratively, it is a department and a commune. Constituting the financial and administrative centre of the country, it is located on the north side of the Congo ...</v>
    <v>2434</v>
    <v>2436</v>
    <v>2437</v>
    <v>Brazzaville</v>
    <v>2438</v>
    <v>Brazzaville</v>
    <v>mdp/vdpid/8081471723288920065</v>
  </rv>
  <rv s="0">
    <fb>0.31118594436310398</fb>
    <v>28</v>
  </rv>
  <rv s="0">
    <fb>342000</fb>
    <v>9</v>
  </rv>
  <rv s="0">
    <fb>32.862000000000002</fb>
    <v>29</v>
  </rv>
  <rv s="0">
    <fb>242</fb>
    <v>30</v>
  </rv>
  <rv s="0">
    <fb>3281.9650000000001</fb>
    <v>9</v>
  </rv>
  <rv s="0">
    <fb>124.740496075729</fb>
    <v>31</v>
  </rv>
  <rv s="0">
    <fb>2.20607305781522E-2</fb>
    <v>28</v>
  </rv>
  <rv s="0">
    <fb>202.872128916055</fb>
    <v>9</v>
  </rv>
  <rv s="0">
    <fb>4.4279999999999999</fb>
    <v>29</v>
  </rv>
  <rv s="0">
    <fb>0.65354610862005902</fb>
    <v>28</v>
  </rv>
  <rv s="0">
    <fb>40.480603383492301</fb>
    <v>34</v>
  </rv>
  <rv s="0">
    <fb>10820591130.7349</fb>
    <v>33</v>
  </rv>
  <rv s="0">
    <fb>1.0664006000000001</fb>
    <v>28</v>
  </rv>
  <rv s="0">
    <fb>0.1266688</fb>
    <v>28</v>
  </rv>
  <rv s="2">
    <v>74</v>
    <v>7</v>
    <v>384</v>
    <v>7</v>
    <v>0</v>
    <v>Image of Republic of the Congo</v>
  </rv>
  <rv s="0">
    <fb>36.200000000000003</fb>
    <v>34</v>
  </rv>
  <rv s="1">
    <v>805306368</v>
    <v>Denis Sassou Nguesso (President)</v>
    <v>ba213a5c-a251-a613-593e-094d8c346678</v>
    <v>en-US</v>
    <v>Generic</v>
  </rv>
  <rv s="1">
    <v>805306368</v>
    <v>Anatole Collinet Makosso (Prime minister)</v>
    <v>d4504222-bb94-91a5-a0db-8c6709c4967b</v>
    <v>en-US</v>
    <v>Generic</v>
  </rv>
  <rv s="3">
    <v>171</v>
  </rv>
  <rv s="4">
    <v>https://www.bing.com/search?q=republic+of+the+congo&amp;form=skydnc</v>
    <v>Learn more on Bing</v>
  </rv>
  <rv s="0">
    <fb>64.290000000000006</fb>
    <v>34</v>
  </rv>
  <rv s="0">
    <fb>378</fb>
    <v>34</v>
  </rv>
  <rv s="0">
    <fb>0.88</fb>
    <v>32</v>
  </rv>
  <rv s="0">
    <fb>0.43843710930000002</fb>
    <v>28</v>
  </rv>
  <rv s="0">
    <fb>0.1159</fb>
    <v>29</v>
  </rv>
  <rv s="0">
    <fb>5970424</fb>
    <v>9</v>
  </rv>
  <rv s="0">
    <fb>0.20699999999999999</fb>
    <v>28</v>
  </rv>
  <rv s="0">
    <fb>0.379</fb>
    <v>28</v>
  </rv>
  <rv s="0">
    <fb>0.53700000000000003</fb>
    <v>28</v>
  </rv>
  <rv s="0">
    <fb>4.2000000000000003E-2</fb>
    <v>28</v>
  </rv>
  <rv s="0">
    <fb>8.199999999999999E-2</fb>
    <v>28</v>
  </rv>
  <rv s="0">
    <fb>0.13200000000000001</fb>
    <v>28</v>
  </rv>
  <rv s="0">
    <fb>0.69447998046875004</fb>
    <v>28</v>
  </rv>
  <rv s="1">
    <v>536870912</v>
    <v>Bouenza Department</v>
    <v>d0582ea1-c222-f030-bfb3-b157dc51b466</v>
    <v>en-US</v>
    <v>Map</v>
  </rv>
  <rv s="1">
    <v>536870912</v>
    <v>Cuvette Department</v>
    <v>64377e94-f9d7-8f1e-6f02-a4f1872c966f</v>
    <v>en-US</v>
    <v>Map</v>
  </rv>
  <rv s="1">
    <v>536870912</v>
    <v>Cuvette-Ouest Department</v>
    <v>d249651c-02d0-a5f9-a845-3257cb92d63b</v>
    <v>en-US</v>
    <v>Map</v>
  </rv>
  <rv s="1">
    <v>536870912</v>
    <v>Kouilou Department</v>
    <v>e987f5e2-9949-6e83-3850-109b34c31025</v>
    <v>en-US</v>
    <v>Map</v>
  </rv>
  <rv s="1">
    <v>536870912</v>
    <v>Lékoumou Department</v>
    <v>b11a45c9-b4eb-7a1a-4f39-f6df1e83e4ff</v>
    <v>en-US</v>
    <v>Map</v>
  </rv>
  <rv s="1">
    <v>536870912</v>
    <v>Likouala Department</v>
    <v>aac5ca14-d404-d58d-d40e-83890f392d25</v>
    <v>en-US</v>
    <v>Map</v>
  </rv>
  <rv s="1">
    <v>536870912</v>
    <v>Niari Department</v>
    <v>874ced78-f2b8-4b4e-8b13-c630c613775e</v>
    <v>en-US</v>
    <v>Map</v>
  </rv>
  <rv s="1">
    <v>536870912</v>
    <v>Plateaux Department</v>
    <v>d5a4aaba-493e-3db5-a45a-1735438770a8</v>
    <v>en-US</v>
    <v>Map</v>
  </rv>
  <rv s="1">
    <v>536870912</v>
    <v>Pointe-Noire</v>
    <v>73c569d0-bb14-0000-b351-0b810f5e414e</v>
    <v>en-US</v>
    <v>Map</v>
  </rv>
  <rv s="1">
    <v>536870912</v>
    <v>Pool Department</v>
    <v>180c85ab-76f6-64a9-4dad-4e0f56c0e7cd</v>
    <v>en-US</v>
    <v>Map</v>
  </rv>
  <rv s="1">
    <v>536870912</v>
    <v>Sangha Department</v>
    <v>592836ed-6822-d700-36c7-3b3dc9382351</v>
    <v>en-US</v>
    <v>Map</v>
  </rv>
  <rv s="3">
    <v>172</v>
  </rv>
  <rv s="0">
    <fb>8.9637438631416988E-2</fb>
    <v>28</v>
  </rv>
  <rv s="3">
    <v>173</v>
  </rv>
  <rv s="0">
    <fb>0.54299999999999993</fb>
    <v>28</v>
  </rv>
  <rv s="0">
    <fb>9.4720001220703107E-2</fb>
    <v>35</v>
  </rv>
  <rv s="0">
    <fb>3625010</fb>
    <v>9</v>
  </rv>
  <rv s="37">
    <v>#VALUE!</v>
    <v>en-US</v>
    <v>d348daf0-6f72-4058-aa09-8c7ed5e322ca</v>
    <v>536870912</v>
    <v>1</v>
    <v>387</v>
    <v>388</v>
    <v>Republic of the Congo</v>
    <v>5</v>
    <v>6</v>
    <v>Map</v>
    <v>7</v>
    <v>389</v>
    <v>2440</v>
    <v>2441</v>
    <v>1196</v>
    <v>2442</v>
    <v>2443</v>
    <v>2430</v>
    <v>2444</v>
    <v>2445</v>
    <v>2446</v>
    <v>XAF</v>
    <v>The Republic of the Congo, also known as Congo-Brazzaville, the Congo Republic or simply the Congo, is a country located on the western coast of Central Africa to the west of the Congo River. It is bordered to the west by Gabon, to the northwest ...</v>
    <v>2447</v>
    <v>2448</v>
    <v>2449</v>
    <v>2450</v>
    <v>365</v>
    <v>2451</v>
    <v>2452</v>
    <v>2453</v>
    <v>2454</v>
    <v>2455</v>
    <v>2430</v>
    <v>2458</v>
    <v>2459</v>
    <v>2460</v>
    <v>2461</v>
    <v>2462</v>
    <v>Republic of the Congo</v>
    <v>La Congolaise</v>
    <v>1220</v>
    <v>Repubilika ya Kongo</v>
    <v>2463</v>
    <v>2464</v>
    <v>2465</v>
    <v>2466</v>
    <v>2467</v>
    <v>2468</v>
    <v>2420</v>
    <v>2469</v>
    <v>2470</v>
    <v>2471</v>
    <v>2472</v>
    <v>2484</v>
    <v>2485</v>
    <v>2486</v>
    <v>2487</v>
    <v>2488</v>
    <v>Republic of the Congo</v>
    <v>2489</v>
    <v>mdp/vdpid/43</v>
  </rv>
  <rv s="1">
    <v>536870912</v>
    <v>San José, Costa Rica</v>
    <v>b2b18307-dcfe-e3ce-b41f-986fcc0a9689</v>
    <v>en-US</v>
    <v>Map</v>
  </rv>
  <rv s="1">
    <v>536870912</v>
    <v>San José Province</v>
    <v>8042d242-4799-87de-29ba-5051712f3715</v>
    <v>en-US</v>
    <v>Map</v>
  </rv>
  <rv s="0">
    <fb>44.62</fb>
    <v>9</v>
  </rv>
  <rv s="1">
    <v>536870912</v>
    <v>Costa Rica</v>
    <v>f5e3b04e-cbe6-130c-d1c8-899095cd5757</v>
    <v>en-US</v>
    <v>Map</v>
  </rv>
  <rv s="2">
    <v>75</v>
    <v>7</v>
    <v>390</v>
    <v>7</v>
    <v>0</v>
    <v>Image of San José, Costa Rica</v>
  </rv>
  <rv s="0">
    <fb>9.9325111111111095</fb>
    <v>0</v>
  </rv>
  <rv s="1">
    <v>805306368</v>
    <v>Luis Diego Miranda Méndez (Mayor)</v>
    <v>759e42ef-0346-dedf-c75e-0f361b34e3f8</v>
    <v>en-US</v>
    <v>Generic</v>
  </rv>
  <rv s="3">
    <v>174</v>
  </rv>
  <rv s="4">
    <v>https://www.bing.com/search?q=san+jose+costa+rica&amp;form=skydnc</v>
    <v>Learn more on Bing</v>
  </rv>
  <rv s="0">
    <fb>-84.079580555555594</fb>
    <v>0</v>
  </rv>
  <rv s="0">
    <fb>352381</fb>
    <v>9</v>
  </rv>
  <rv s="7">
    <v>#VALUE!</v>
    <v>en-US</v>
    <v>b2b18307-dcfe-e3ce-b41f-986fcc0a9689</v>
    <v>536870912</v>
    <v>1</v>
    <v>391</v>
    <v>38</v>
    <v>San José, Costa Rica</v>
    <v>5</v>
    <v>6</v>
    <v>Map</v>
    <v>7</v>
    <v>61</v>
    <v>2492</v>
    <v>2493</v>
    <v>2494</v>
    <v>San José is the capital and largest city of Costa Rica, and the capital of San José Province. It is in the center of the country, in the mid-west of the Central Valley, within San José Canton. San José is Costa Rica's seat of national ...</v>
    <v>2495</v>
    <v>2496</v>
    <v>2498</v>
    <v>2499</v>
    <v>2500</v>
    <v>San José, Costa Rica</v>
    <v>2501</v>
    <v>1176</v>
    <v>San José, Costa Rica</v>
    <v>mdp/vdpid/5568797212697165827</v>
  </rv>
  <rv s="0">
    <fb>0.34459459459459502</fb>
    <v>28</v>
  </rv>
  <rv s="0">
    <fb>51179.92</fb>
    <v>9</v>
  </rv>
  <rv s="0">
    <fb>10000</fb>
    <v>9</v>
  </rv>
  <rv s="0">
    <fb>13.971</fb>
    <v>29</v>
  </rv>
  <rv s="0">
    <fb>506</fb>
    <v>30</v>
  </rv>
  <rv s="0">
    <fb>8023.3959999999997</fb>
    <v>9</v>
  </rv>
  <rv s="0">
    <fb>128.845869400021</fb>
    <v>31</v>
  </rv>
  <rv s="0">
    <fb>2.0962025659294899E-2</fb>
    <v>28</v>
  </rv>
  <rv s="0">
    <fb>1942.48816990297</fb>
    <v>9</v>
  </rv>
  <rv s="0">
    <fb>1.754</fb>
    <v>29</v>
  </rv>
  <rv s="0">
    <fb>0.54567174915234606</fb>
    <v>28</v>
  </rv>
  <rv s="0">
    <fb>49.880272733962499</fb>
    <v>34</v>
  </rv>
  <rv s="0">
    <fb>61773944173.673599</fb>
    <v>33</v>
  </rv>
  <rv s="0">
    <fb>1.1329429</fb>
    <v>28</v>
  </rv>
  <rv s="0">
    <fb>0.5520794</fb>
    <v>28</v>
  </rv>
  <rv s="2">
    <v>76</v>
    <v>7</v>
    <v>393</v>
    <v>7</v>
    <v>0</v>
    <v>Image of Costa Rica</v>
  </rv>
  <rv s="0">
    <fb>7.6</fb>
    <v>34</v>
  </rv>
  <rv s="1">
    <v>805306368</v>
    <v>Rodrigo Chaves Robles (President)</v>
    <v>8dc4dae4-6642-4b4c-d583-b69f5f91f608</v>
    <v>en-US</v>
    <v>Generic</v>
  </rv>
  <rv s="3">
    <v>175</v>
  </rv>
  <rv s="4">
    <v>https://www.bing.com/search?q=costa+rica&amp;form=skydnc</v>
    <v>Learn more on Bing</v>
  </rv>
  <rv s="0">
    <fb>80.094999999999999</fb>
    <v>34</v>
  </rv>
  <rv s="0">
    <fb>2217350000</fb>
    <v>33</v>
  </rv>
  <rv s="0">
    <fb>1.84</fb>
    <v>32</v>
  </rv>
  <rv s="3">
    <v>176</v>
  </rv>
  <rv s="0">
    <fb>0.21485754409999999</fb>
    <v>28</v>
  </rv>
  <rv s="0">
    <fb>2.8938999999999999</fb>
    <v>29</v>
  </rv>
  <rv s="0">
    <fb>5180829</fb>
    <v>9</v>
  </rv>
  <rv s="0">
    <fb>0.13</fb>
    <v>28</v>
  </rv>
  <rv s="0">
    <fb>0.62098999023437496</fb>
    <v>28</v>
  </rv>
  <rv s="1">
    <v>536870912</v>
    <v>Alajuela Province</v>
    <v>d852ccc7-833e-944a-ddce-9ca14d5ffd13</v>
    <v>en-US</v>
    <v>Map</v>
  </rv>
  <rv s="1">
    <v>536870912</v>
    <v>Cartago Province</v>
    <v>e0d48e76-9fcf-d96c-dade-3a266652cce4</v>
    <v>en-US</v>
    <v>Map</v>
  </rv>
  <rv s="1">
    <v>536870912</v>
    <v>Guanacaste Province</v>
    <v>4d846351-04ca-1740-4d47-7258f4be3d9f</v>
    <v>en-US</v>
    <v>Map</v>
  </rv>
  <rv s="1">
    <v>536870912</v>
    <v>Heredia Province</v>
    <v>6dcef63a-cb12-0db8-3877-58ca68806818</v>
    <v>en-US</v>
    <v>Map</v>
  </rv>
  <rv s="1">
    <v>536870912</v>
    <v>Limón Province</v>
    <v>703154f4-49e4-ccb0-f9c6-d52a73875ac7</v>
    <v>en-US</v>
    <v>Map</v>
  </rv>
  <rv s="1">
    <v>536870912</v>
    <v>Puntarenas Province</v>
    <v>31e6881a-b4f6-8725-2fb1-825ad41306ef</v>
    <v>en-US</v>
    <v>Map</v>
  </rv>
  <rv s="3">
    <v>177</v>
  </rv>
  <rv s="0">
    <fb>0.13588420861398298</fb>
    <v>28</v>
  </rv>
  <rv s="0">
    <fb>0.58299999999999996</fb>
    <v>28</v>
  </rv>
  <rv s="0">
    <fb>0.11854000091552701</fb>
    <v>35</v>
  </rv>
  <rv s="0">
    <fb>4041885</fb>
    <v>9</v>
  </rv>
  <rv s="9">
    <v>#VALUE!</v>
    <v>en-US</v>
    <v>f5e3b04e-cbe6-130c-d1c8-899095cd5757</v>
    <v>536870912</v>
    <v>1</v>
    <v>396</v>
    <v>55</v>
    <v>Costa Rica</v>
    <v>5</v>
    <v>6</v>
    <v>Map</v>
    <v>7</v>
    <v>369</v>
    <v>CR</v>
    <v>2503</v>
    <v>2504</v>
    <v>2505</v>
    <v>2506</v>
    <v>2507</v>
    <v>2491</v>
    <v>2508</v>
    <v>2509</v>
    <v>2510</v>
    <v>CRC</v>
    <v>Costa Rica, officially the Republic of Costa Rica, is a country in the Central American region of North America. It borders Nicaragua to the north, the Caribbean Sea to the northeast, Panama to the southeast, and the Pacific Ocean to the ...</v>
    <v>2511</v>
    <v>2512</v>
    <v>2513</v>
    <v>2514</v>
    <v>1269</v>
    <v>2515</v>
    <v>2516</v>
    <v>2517</v>
    <v>2518</v>
    <v>2519</v>
    <v>2491</v>
    <v>2521</v>
    <v>2522</v>
    <v>2523</v>
    <v>2524</v>
    <v>987</v>
    <v>2525</v>
    <v>Costa Rica</v>
    <v>National anthem of Costa Rica</v>
    <v>2526</v>
    <v>Costa Rica</v>
    <v>2527</v>
    <v>2528</v>
    <v>2529</v>
    <v>724</v>
    <v>1110</v>
    <v>1064</v>
    <v>1358</v>
    <v>1051</v>
    <v>1956</v>
    <v>2530</v>
    <v>2531</v>
    <v>2538</v>
    <v>2539</v>
    <v>1176</v>
    <v>2540</v>
    <v>2541</v>
    <v>Costa Rica</v>
    <v>2542</v>
    <v>mdp/vdpid/54</v>
  </rv>
  <rv s="1">
    <v>536870912</v>
    <v>Yamoussoukro</v>
    <v>02c823fb-5756-be31-294a-008c4953446f</v>
    <v>en-US</v>
    <v>Map</v>
  </rv>
  <rv s="0">
    <fb>3500</fb>
    <v>9</v>
  </rv>
  <rv s="1">
    <v>536870912</v>
    <v>Ivory Coast</v>
    <v>9beaacca-5861-af12-0c41-daf208b175a9</v>
    <v>en-US</v>
    <v>Map</v>
  </rv>
  <rv s="2">
    <v>77</v>
    <v>7</v>
    <v>397</v>
    <v>7</v>
    <v>0</v>
    <v>Image of Yamoussoukro</v>
  </rv>
  <rv s="1">
    <v>805306368</v>
    <v>Augustin Thiam (Governor)</v>
    <v>e9125f7e-a201-7369-5fce-085debf6e8eb</v>
    <v>en-US</v>
    <v>Generic</v>
  </rv>
  <rv s="1">
    <v>805306368</v>
    <v>Gnrangbe Kouakou Kouadio Jean (Mayor)</v>
    <v>97c3b80a-6cc1-a854-d899-74801e3ed131</v>
    <v>en-US</v>
    <v>Generic</v>
  </rv>
  <rv s="3">
    <v>178</v>
  </rv>
  <rv s="4">
    <v>https://www.bing.com/search?q=yamoussoukro&amp;form=skydnc</v>
    <v>Learn more on Bing</v>
  </rv>
  <rv s="0">
    <fb>422072</fb>
    <v>9</v>
  </rv>
  <rv s="30">
    <v>#VALUE!</v>
    <v>en-US</v>
    <v>02c823fb-5756-be31-294a-008c4953446f</v>
    <v>536870912</v>
    <v>1</v>
    <v>399</v>
    <v>294</v>
    <v>Yamoussoukro</v>
    <v>5</v>
    <v>6</v>
    <v>Map</v>
    <v>7</v>
    <v>216</v>
    <v>CI-YM</v>
    <v>2545</v>
    <v>2546</v>
    <v>Yamoussoukro is the de jure capital of Ivory Coast and an autonomous district. As of the 2014 census, Yamoussoukro is the fifth most populous city in Ivory Coast with a population of 212,670. Located 240 kilometers north-west of Abidjan, the ...</v>
    <v>2547</v>
    <v>2550</v>
    <v>2551</v>
    <v>Yamoussoukro</v>
    <v>2552</v>
    <v>Yamoussoukro</v>
    <v>mdp/vdpid/5759267939211542529</v>
  </rv>
  <rv s="0">
    <fb>0.64779874213836497</fb>
    <v>28</v>
  </rv>
  <rv s="0">
    <fb>322463</fb>
    <v>9</v>
  </rv>
  <rv s="0">
    <fb>27000</fb>
    <v>9</v>
  </rv>
  <rv s="0">
    <fb>35.74</fb>
    <v>29</v>
  </rv>
  <rv s="0">
    <fb>225</fb>
    <v>30</v>
  </rv>
  <rv s="0">
    <fb>9673.5460000000003</fb>
    <v>9</v>
  </rv>
  <rv s="0">
    <fb>111.606977877028</fb>
    <v>31</v>
  </rv>
  <rv s="0">
    <fb>-8.8393011042388302E-3</fb>
    <v>28</v>
  </rv>
  <rv s="0">
    <fb>274.73009049093503</fb>
    <v>9</v>
  </rv>
  <rv s="0">
    <fb>4.649</fb>
    <v>29</v>
  </rv>
  <rv s="0">
    <fb>0.32706288079795598</fb>
    <v>28</v>
  </rv>
  <rv s="0">
    <fb>26.492330023755201</fb>
    <v>34</v>
  </rv>
  <rv s="0">
    <fb>58792205642.153801</fb>
    <v>33</v>
  </rv>
  <rv s="0">
    <fb>0.99799749999999998</fb>
    <v>28</v>
  </rv>
  <rv s="0">
    <fb>9.3413699999999988E-2</fb>
    <v>28</v>
  </rv>
  <rv s="2">
    <v>78</v>
    <v>7</v>
    <v>401</v>
    <v>7</v>
    <v>0</v>
    <v>Image of Ivory Coast</v>
  </rv>
  <rv s="0">
    <fb>59.4</fb>
    <v>34</v>
  </rv>
  <rv s="1">
    <v>536870912</v>
    <v>Abidjan</v>
    <v>fa433474-0308-38c4-de72-2309d36ebf52</v>
    <v>en-US</v>
    <v>Map</v>
  </rv>
  <rv s="1">
    <v>805306368</v>
    <v>Alassane Ouattara (President)</v>
    <v>47641b2c-d4e8-8f4f-7217-795d56fa472c</v>
    <v>en-US</v>
    <v>Generic</v>
  </rv>
  <rv s="1">
    <v>805306368</v>
    <v>Tiémoko Meyliet Koné (Vice president)</v>
    <v>d8a7e235-663c-4062-8441-f4c3feed4c5b</v>
    <v>en-US</v>
    <v>Generic</v>
  </rv>
  <rv s="1">
    <v>805306368</v>
    <v>Robert Beugré Mambé (Prime minister)</v>
    <v>7d8593e7-020a-871c-03ee-d236bf8b3a8a</v>
    <v>en-US</v>
    <v>Generic</v>
  </rv>
  <rv s="3">
    <v>179</v>
  </rv>
  <rv s="4">
    <v>https://www.bing.com/search?q=ivory+coast&amp;form=skydnc</v>
    <v>Learn more on Bing</v>
  </rv>
  <rv s="0">
    <fb>57.421999999999997</fb>
    <v>34</v>
  </rv>
  <rv s="0">
    <fb>617</fb>
    <v>34</v>
  </rv>
  <rv s="0">
    <fb>0.36</fb>
    <v>32</v>
  </rv>
  <rv s="3">
    <v>180</v>
  </rv>
  <rv s="0">
    <fb>0.36018680349999999</fb>
    <v>28</v>
  </rv>
  <rv s="0">
    <fb>0.23139999999999999</fb>
    <v>29</v>
  </rv>
  <rv s="0">
    <fb>28160542</fb>
    <v>9</v>
  </rv>
  <rv s="0">
    <fb>0.47799999999999998</fb>
    <v>28</v>
  </rv>
  <rv s="0">
    <fb>2.1000000000000001E-2</fb>
    <v>28</v>
  </rv>
  <rv s="0">
    <fb>0.10199999999999999</fb>
    <v>28</v>
  </rv>
  <rv s="0">
    <fb>0.14599999999999999</fb>
    <v>28</v>
  </rv>
  <rv s="0">
    <fb>0.56952999114990199</fb>
    <v>28</v>
  </rv>
  <rv s="0">
    <fb>0.11827213979258699</fb>
    <v>28</v>
  </rv>
  <rv s="3">
    <v>181</v>
  </rv>
  <rv s="0">
    <fb>0.501</fb>
    <v>28</v>
  </rv>
  <rv s="0">
    <fb>3.3169999122619601E-2</fb>
    <v>35</v>
  </rv>
  <rv s="0">
    <fb>13176900</fb>
    <v>9</v>
  </rv>
  <rv s="38">
    <v>#VALUE!</v>
    <v>en-US</v>
    <v>9beaacca-5861-af12-0c41-daf208b175a9</v>
    <v>536870912</v>
    <v>1</v>
    <v>404</v>
    <v>405</v>
    <v>Ivory Coast</v>
    <v>5</v>
    <v>6</v>
    <v>Map</v>
    <v>7</v>
    <v>406</v>
    <v>CI</v>
    <v>2554</v>
    <v>2555</v>
    <v>2556</v>
    <v>2557</v>
    <v>2558</v>
    <v>2544</v>
    <v>2559</v>
    <v>2560</v>
    <v>2561</v>
    <v>XOF</v>
    <v>Ivory Coast, also known as Côte d'Ivoire and officially the Republic of Côte d'Ivoire, is a country on the southern coast of West Africa. Its capital city of Yamoussoukro is located in the centre of the country, while its largest city and ...</v>
    <v>2562</v>
    <v>2563</v>
    <v>2564</v>
    <v>2565</v>
    <v>630</v>
    <v>2566</v>
    <v>2567</v>
    <v>2568</v>
    <v>2569</v>
    <v>2570</v>
    <v>2571</v>
    <v>2575</v>
    <v>2576</v>
    <v>2577</v>
    <v>2578</v>
    <v>2579</v>
    <v>Ivory Coast</v>
    <v>L'Abidjanaise</v>
    <v>2580</v>
    <v>Repubblica della Costa d'Avorio</v>
    <v>2581</v>
    <v>2582</v>
    <v>2583</v>
    <v>1816</v>
    <v>1660</v>
    <v>2584</v>
    <v>2585</v>
    <v>1663</v>
    <v>2586</v>
    <v>2587</v>
    <v>2588</v>
    <v>2589</v>
    <v>2590</v>
    <v>2591</v>
    <v>2592</v>
    <v>Ivory Coast</v>
    <v>2593</v>
    <v>mdp/vdpid/119</v>
  </rv>
  <rv s="1">
    <v>536870912</v>
    <v>Zagreb</v>
    <v>f11a69f0-4ff4-d971-a3ab-ae1c1274eccc</v>
    <v>en-US</v>
    <v>Map</v>
  </rv>
  <rv s="0">
    <fb>641.20000000000005</fb>
    <v>9</v>
  </rv>
  <rv s="1">
    <v>536870912</v>
    <v>Croatia</v>
    <v>98d53c1a-2e70-ba44-c85e-1e3d4c505723</v>
    <v>en-US</v>
    <v>Map</v>
  </rv>
  <rv s="2">
    <v>79</v>
    <v>7</v>
    <v>407</v>
    <v>7</v>
    <v>0</v>
    <v>Image of Zagreb</v>
  </rv>
  <rv s="1">
    <v>805306368</v>
    <v>Tomislav Tomašević (Mayor)</v>
    <v>529c4261-ab5c-1238-21bd-7706a6a1841d</v>
    <v>en-US</v>
    <v>Generic</v>
  </rv>
  <rv s="3">
    <v>182</v>
  </rv>
  <rv s="4">
    <v>https://www.bing.com/search?q=zagreb&amp;form=skydnc</v>
    <v>Learn more on Bing</v>
  </rv>
  <rv s="0">
    <fb>767131</fb>
    <v>9</v>
  </rv>
  <rv s="30">
    <v>#VALUE!</v>
    <v>en-US</v>
    <v>f11a69f0-4ff4-d971-a3ab-ae1c1274eccc</v>
    <v>536870912</v>
    <v>1</v>
    <v>409</v>
    <v>294</v>
    <v>Zagreb</v>
    <v>5</v>
    <v>6</v>
    <v>Map</v>
    <v>7</v>
    <v>216</v>
    <v>HR-21</v>
    <v>2596</v>
    <v>2597</v>
    <v>Zagreb is the capital and largest city of Croatia. It is in the north of the country, along the Sava river, at the southern slopes of the Medvednica mountain. Zagreb stands near the international border between Croatia and Slovenia at an ...</v>
    <v>2598</v>
    <v>2600</v>
    <v>2601</v>
    <v>Zagreb</v>
    <v>2602</v>
    <v>Zagreb</v>
    <v>mdp/vdpid/7023253006816641026</v>
  </rv>
  <rv s="0">
    <fb>0.27591136526090099</fb>
    <v>28</v>
  </rv>
  <rv s="0">
    <fb>56594</fb>
    <v>9</v>
  </rv>
  <rv s="0">
    <fb>18000</fb>
    <v>9</v>
  </rv>
  <rv s="0">
    <fb>9</fb>
    <v>29</v>
  </rv>
  <rv s="0">
    <fb>385</fb>
    <v>30</v>
  </rv>
  <rv s="0">
    <fb>17487.922999999999</fb>
    <v>9</v>
  </rv>
  <rv s="0">
    <fb>109.815676449535</fb>
    <v>31</v>
  </rv>
  <rv s="0">
    <fb>7.7182034649808298E-3</fb>
    <v>28</v>
  </rv>
  <rv s="0">
    <fb>3714.3829884420702</fb>
    <v>9</v>
  </rv>
  <rv s="0">
    <fb>1.47</fb>
    <v>29</v>
  </rv>
  <rv s="0">
    <fb>0.343531098001083</fb>
    <v>28</v>
  </rv>
  <rv s="0">
    <fb>70.703662342128197</fb>
    <v>34</v>
  </rv>
  <rv s="0">
    <fb>1.26</fb>
    <v>32</v>
  </rv>
  <rv s="0">
    <fb>60415553038.882599</fb>
    <v>33</v>
  </rv>
  <rv s="0">
    <fb>0.96471030000000002</fb>
    <v>28</v>
  </rv>
  <rv s="0">
    <fb>0.67865560000000003</fb>
    <v>28</v>
  </rv>
  <rv s="2">
    <v>80</v>
    <v>7</v>
    <v>411</v>
    <v>7</v>
    <v>0</v>
    <v>Image of Croatia</v>
  </rv>
  <rv s="0">
    <fb>4</fb>
    <v>34</v>
  </rv>
  <rv s="1">
    <v>805306368</v>
    <v>Zoran Milanović (President)</v>
    <v>0772d8e3-22ab-2c3b-e566-9239bc8d53e6</v>
    <v>en-US</v>
    <v>Generic</v>
  </rv>
  <rv s="1">
    <v>805306368</v>
    <v>Andrej Plenković (Prime minister)</v>
    <v>8636709a-30b6-46b4-8744-abc8c9fe5ff9</v>
    <v>en-US</v>
    <v>Generic</v>
  </rv>
  <rv s="3">
    <v>183</v>
  </rv>
  <rv s="4">
    <v>https://www.bing.com/search?q=croatia&amp;form=skydnc</v>
    <v>Learn more on Bing</v>
  </rv>
  <rv s="0">
    <fb>78.070731707317094</fb>
    <v>34</v>
  </rv>
  <rv s="0">
    <fb>22458260000</fb>
    <v>33</v>
  </rv>
  <rv s="0">
    <fb>8</fb>
    <v>34</v>
  </rv>
  <rv s="0">
    <fb>2.92</fb>
    <v>32</v>
  </rv>
  <rv s="3">
    <v>184</v>
  </rv>
  <rv s="0">
    <fb>0.15156174140000001</fb>
    <v>28</v>
  </rv>
  <rv s="0">
    <fb>2.9962</fb>
    <v>29</v>
  </rv>
  <rv s="0">
    <fb>3854000</fb>
    <v>9</v>
  </rv>
  <rv s="0">
    <fb>0.13300000000000001</fb>
    <v>28</v>
  </rv>
  <rv s="0">
    <fb>0.18</fb>
    <v>28</v>
  </rv>
  <rv s="0">
    <fb>0.51181999206542994</fb>
    <v>28</v>
  </rv>
  <rv s="1">
    <v>536870912</v>
    <v>Međimurje County</v>
    <v>dc345ff5-f374-076d-1d0f-e1a24cfbb252</v>
    <v>en-US</v>
    <v>Map</v>
  </rv>
  <rv s="1">
    <v>536870912</v>
    <v>Dubrovnik-Neretva County</v>
    <v>aeed8c4c-de39-d37d-b0d9-e37523f91c47</v>
    <v>en-US</v>
    <v>Map</v>
  </rv>
  <rv s="1">
    <v>536870912</v>
    <v>Istria County</v>
    <v>0ab1de7c-4cb1-cbce-c3eb-ca81244e251f</v>
    <v>en-US</v>
    <v>Map</v>
  </rv>
  <rv s="1">
    <v>536870912</v>
    <v>Split-Dalmatia County</v>
    <v>a5c9fc4a-ec53-dc2d-a2db-50aa40fdd54c</v>
    <v>en-US</v>
    <v>Map</v>
  </rv>
  <rv s="1">
    <v>536870912</v>
    <v>Vukovar-Srijem County</v>
    <v>d2ffeec2-0360-aaa1-c264-281c332c65d7</v>
    <v>en-US</v>
    <v>Map</v>
  </rv>
  <rv s="1">
    <v>536870912</v>
    <v>Šibenik-Knin County</v>
    <v>9d9e65ec-ec8b-f187-0936-6d654c8cee4e</v>
    <v>en-US</v>
    <v>Map</v>
  </rv>
  <rv s="1">
    <v>536870912</v>
    <v>Osijek-Baranja County</v>
    <v>14807793-d9c8-613d-6c09-c3a09da2ecd1</v>
    <v>en-US</v>
    <v>Map</v>
  </rv>
  <rv s="1">
    <v>536870912</v>
    <v>Zadar County</v>
    <v>e66a5144-723b-6aba-3445-b2648a0f3632</v>
    <v>en-US</v>
    <v>Map</v>
  </rv>
  <rv s="1">
    <v>536870912</v>
    <v>Brod-Posavina County</v>
    <v>77ccafb9-c361-4f38-878e-cdb50de4ac20</v>
    <v>en-US</v>
    <v>Map</v>
  </rv>
  <rv s="1">
    <v>536870912</v>
    <v>Požega-Slavonia County</v>
    <v>1b9351b8-c66c-5f85-1249-197ef8f9ace2</v>
    <v>en-US</v>
    <v>Map</v>
  </rv>
  <rv s="1">
    <v>536870912</v>
    <v>Virovitica-Podravina County</v>
    <v>b2e508fb-3c10-113a-db7c-34fd3ec7d5a8</v>
    <v>en-US</v>
    <v>Map</v>
  </rv>
  <rv s="1">
    <v>536870912</v>
    <v>Lika-Senj County</v>
    <v>e1daeacd-77f1-8d6c-3d6d-b18f1cc43793</v>
    <v>en-US</v>
    <v>Map</v>
  </rv>
  <rv s="1">
    <v>536870912</v>
    <v>Primorje-Gorski Kotar County</v>
    <v>c270a103-7c7f-57ff-7129-a8b9864b8e93</v>
    <v>en-US</v>
    <v>Map</v>
  </rv>
  <rv s="1">
    <v>536870912</v>
    <v>Bjelovar-Bilogora County</v>
    <v>9e3fda25-b013-9d58-a13e-b26cc2c11736</v>
    <v>en-US</v>
    <v>Map</v>
  </rv>
  <rv s="1">
    <v>536870912</v>
    <v>Koprivnica-Križevci County</v>
    <v>24629268-134b-6a42-31c3-7b995167933b</v>
    <v>en-US</v>
    <v>Map</v>
  </rv>
  <rv s="1">
    <v>536870912</v>
    <v>Varaždin County</v>
    <v>e8b53325-1309-05f5-baf1-5d4648cd44d3</v>
    <v>en-US</v>
    <v>Map</v>
  </rv>
  <rv s="1">
    <v>536870912</v>
    <v>Karlovac County</v>
    <v>7e360e54-9dea-ca70-625f-dd73fa48da82</v>
    <v>en-US</v>
    <v>Map</v>
  </rv>
  <rv s="1">
    <v>536870912</v>
    <v>Sisak-Moslavina County</v>
    <v>8dbfcf55-9464-3038-5db3-06d00c62ed50</v>
    <v>en-US</v>
    <v>Map</v>
  </rv>
  <rv s="1">
    <v>536870912</v>
    <v>Krapina-Zagorje County</v>
    <v>09dfd6fa-edab-6236-5d76-c848770f2467</v>
    <v>en-US</v>
    <v>Map</v>
  </rv>
  <rv s="1">
    <v>536870912</v>
    <v>Zagreb County</v>
    <v>f17cd992-a68c-3c4e-3365-1058251b4842</v>
    <v>en-US</v>
    <v>Map</v>
  </rv>
  <rv s="3">
    <v>185</v>
  </rv>
  <rv s="0">
    <fb>0.21963282023161401</fb>
    <v>28</v>
  </rv>
  <rv s="0">
    <fb>0.20499999999999999</fb>
    <v>28</v>
  </rv>
  <rv s="0">
    <fb>6.9349999427795406E-2</fb>
    <v>35</v>
  </rv>
  <rv s="0">
    <fb>2328318</fb>
    <v>9</v>
  </rv>
  <rv s="9">
    <v>#VALUE!</v>
    <v>en-US</v>
    <v>98d53c1a-2e70-ba44-c85e-1e3d4c505723</v>
    <v>536870912</v>
    <v>1</v>
    <v>414</v>
    <v>55</v>
    <v>Croatia</v>
    <v>5</v>
    <v>6</v>
    <v>Map</v>
    <v>7</v>
    <v>415</v>
    <v>HR</v>
    <v>2604</v>
    <v>2605</v>
    <v>2606</v>
    <v>2607</v>
    <v>2608</v>
    <v>2595</v>
    <v>2609</v>
    <v>2610</v>
    <v>2611</v>
    <v>EUR</v>
    <v>Croatia, officially the Republic of Croatia, is a country in Central and Southeast Europe, on the coast of the Adriatic Sea. It borders Slovenia to the northwest, Hungary to the northeast, Serbia to the east, Bosnia and Herzegovina and ...</v>
    <v>2612</v>
    <v>2613</v>
    <v>2614</v>
    <v>2615</v>
    <v>2616</v>
    <v>2617</v>
    <v>2618</v>
    <v>2619</v>
    <v>2620</v>
    <v>2621</v>
    <v>2595</v>
    <v>2624</v>
    <v>2625</v>
    <v>2626</v>
    <v>2627</v>
    <v>2628</v>
    <v>2629</v>
    <v>Croatia</v>
    <v>Lijepa naša domovino</v>
    <v>2630</v>
    <v>Republica Croația</v>
    <v>2631</v>
    <v>2632</v>
    <v>2633</v>
    <v>172</v>
    <v>241</v>
    <v>2467</v>
    <v>1287</v>
    <v>652</v>
    <v>2634</v>
    <v>2635</v>
    <v>2636</v>
    <v>2657</v>
    <v>2658</v>
    <v>1425</v>
    <v>2659</v>
    <v>2660</v>
    <v>Croatia</v>
    <v>2661</v>
    <v>mdp/vdpid/108</v>
  </rv>
  <rv s="1">
    <v>536870912</v>
    <v>Havana</v>
    <v>3ca5066a-a331-c1b3-135f-1fde36da55db</v>
    <v>en-US</v>
    <v>Map</v>
  </rv>
  <rv s="0">
    <fb>728.26</fb>
    <v>9</v>
  </rv>
  <rv s="1">
    <v>536870912</v>
    <v>Cuba</v>
    <v>bd1112ec-a711-52b0-92b0-a57a633f397e</v>
    <v>en-US</v>
    <v>Map</v>
  </rv>
  <rv s="2">
    <v>81</v>
    <v>7</v>
    <v>416</v>
    <v>7</v>
    <v>0</v>
    <v>Image of Havana</v>
  </rv>
  <rv s="1">
    <v>805306368</v>
    <v>Reinaldo García Zapata (Governor)</v>
    <v>64139538-cd9f-5774-f235-2eacdfcb7ccc</v>
    <v>en-US</v>
    <v>Generic</v>
  </rv>
  <rv s="3">
    <v>186</v>
  </rv>
  <rv s="4">
    <v>https://www.bing.com/search?q=havana&amp;form=skydnc</v>
    <v>Learn more on Bing</v>
  </rv>
  <rv s="0">
    <fb>2142939</fb>
    <v>9</v>
  </rv>
  <rv s="16">
    <v>#VALUE!</v>
    <v>en-US</v>
    <v>3ca5066a-a331-c1b3-135f-1fde36da55db</v>
    <v>536870912</v>
    <v>1</v>
    <v>418</v>
    <v>92</v>
    <v>Havana</v>
    <v>5</v>
    <v>6</v>
    <v>Map</v>
    <v>7</v>
    <v>216</v>
    <v>CU-03</v>
    <v>2664</v>
    <v>2665</v>
    <v>Havana is the capital and largest city of Cuba. The heart of the La Habana Province, Havana is the country's main port and commercial center. It is the most populous city, the largest by area, and the second largest metropolitan area in the ...</v>
    <v>2666</v>
    <v>2668</v>
    <v>2669</v>
    <v>Havana</v>
    <v>2670</v>
    <v>876</v>
    <v>Havana</v>
    <v>mdp/vdpid/5502803104740933633</v>
  </rv>
  <rv s="0">
    <fb>0.59860605607695594</fb>
    <v>28</v>
  </rv>
  <rv s="0">
    <fb>109884</fb>
    <v>9</v>
  </rv>
  <rv s="0">
    <fb>76000</fb>
    <v>9</v>
  </rv>
  <rv s="0">
    <fb>10.166</fb>
    <v>29</v>
  </rv>
  <rv s="0">
    <fb>53</fb>
    <v>30</v>
  </rv>
  <rv s="0">
    <fb>28283.571</fb>
    <v>9</v>
  </rv>
  <rv s="0">
    <fb>1450.88371686603</fb>
    <v>9</v>
  </rv>
  <rv s="0">
    <fb>1.6180000000000001</fb>
    <v>29</v>
  </rv>
  <rv s="0">
    <fb>0.312786012080009</fb>
    <v>28</v>
  </rv>
  <rv s="0">
    <fb>85.596414559965098</fb>
    <v>34</v>
  </rv>
  <rv s="0">
    <fb>1.4</fb>
    <v>32</v>
  </rv>
  <rv s="0">
    <fb>100023000000</fb>
    <v>33</v>
  </rv>
  <rv s="0">
    <fb>1.0190455</fb>
    <v>28</v>
  </rv>
  <rv s="0">
    <fb>0.4137902</fb>
    <v>28</v>
  </rv>
  <rv s="2">
    <v>82</v>
    <v>7</v>
    <v>420</v>
    <v>7</v>
    <v>0</v>
    <v>Image of Cuba</v>
  </rv>
  <rv s="0">
    <fb>3.7</fb>
    <v>34</v>
  </rv>
  <rv s="1">
    <v>805306368</v>
    <v>Miguel Díaz-Canel (President)</v>
    <v>a343998d-02b9-457f-90b1-ff09f5f0f3c4</v>
    <v>en-US</v>
    <v>Generic</v>
  </rv>
  <rv s="1">
    <v>805306368</v>
    <v>Miguel Díaz-Canel (Secretary)</v>
    <v>a343998d-02b9-457f-90b1-ff09f5f0f3c4</v>
    <v>en-US</v>
    <v>Generic</v>
  </rv>
  <rv s="1">
    <v>805306368</v>
    <v>Salvador Valdés Mesa (Vice president)</v>
    <v>a4152e40-efbd-9843-7910-13c12aa93dda</v>
    <v>en-US</v>
    <v>Generic</v>
  </rv>
  <rv s="1">
    <v>805306368</v>
    <v>Manuel Marrero Cruz (Prime minister)</v>
    <v>0939753c-2d31-2645-67d6-55d4e2007c5b</v>
    <v>en-US</v>
    <v>Generic</v>
  </rv>
  <rv s="3">
    <v>187</v>
  </rv>
  <rv s="4">
    <v>https://www.bing.com/search?q=cuba&amp;form=skydnc</v>
    <v>Learn more on Bing</v>
  </rv>
  <rv s="0">
    <fb>78.725999999999999</fb>
    <v>34</v>
  </rv>
  <rv s="0">
    <fb>0.05</fb>
    <v>32</v>
  </rv>
  <rv s="3">
    <v>188</v>
  </rv>
  <rv s="0">
    <fb>8.4217999999999993</fb>
    <v>29</v>
  </rv>
  <rv s="0">
    <fb>11212191</fb>
    <v>9</v>
  </rv>
  <rv s="0">
    <fb>0.53581001281738305</fb>
    <v>28</v>
  </rv>
  <rv s="1">
    <v>536870912</v>
    <v>Pinar del Río Province</v>
    <v>af0e83e0-10a8-ea8e-53c1-ef92e1484db8</v>
    <v>en-US</v>
    <v>Map</v>
  </rv>
  <rv s="1">
    <v>536870912</v>
    <v>Artemisa Province</v>
    <v>0514e6c9-4833-ad2d-150a-9ff4fe53cebd</v>
    <v>en-US</v>
    <v>Map</v>
  </rv>
  <rv s="1">
    <v>536870912</v>
    <v>La Habana Province</v>
    <v>cc68ebb5-a2d4-9bc7-8bca-19b6dd179636</v>
    <v>en-US</v>
    <v>Map</v>
  </rv>
  <rv s="1">
    <v>536870912</v>
    <v>Mayabeque Province</v>
    <v>9d3eeaae-7dd4-6be6-d0e0-d4db591ff4a3</v>
    <v>en-US</v>
    <v>Map</v>
  </rv>
  <rv s="1">
    <v>536870912</v>
    <v>Matanzas Province</v>
    <v>33867909-315d-1b7e-8d07-4935a2f6a8a1</v>
    <v>en-US</v>
    <v>Map</v>
  </rv>
  <rv s="1">
    <v>536870912</v>
    <v>Cienfuegos Province</v>
    <v>8e6c8002-cb2c-f188-b2d7-047cf5ba3bea</v>
    <v>en-US</v>
    <v>Map</v>
  </rv>
  <rv s="1">
    <v>536870912</v>
    <v>Villa Clara Province</v>
    <v>1d74d5aa-2c0a-e595-af41-3f558f2a760a</v>
    <v>en-US</v>
    <v>Map</v>
  </rv>
  <rv s="1">
    <v>536870912</v>
    <v>Sancti Spíritus Province</v>
    <v>97a06c64-c0db-5024-ee8c-93ce5c92fb52</v>
    <v>en-US</v>
    <v>Map</v>
  </rv>
  <rv s="1">
    <v>536870912</v>
    <v>Ciego de Ávila Province</v>
    <v>1a8e0d6e-3ac8-220e-ae2d-9345753a2798</v>
    <v>en-US</v>
    <v>Map</v>
  </rv>
  <rv s="1">
    <v>536870912</v>
    <v>Camagüey Province</v>
    <v>1f7ae4ce-edfa-101b-682a-4d849d8cf81f</v>
    <v>en-US</v>
    <v>Map</v>
  </rv>
  <rv s="1">
    <v>536870912</v>
    <v>Las Tunas Province</v>
    <v>c9cbe9a0-18c0-dd0e-4677-354434019359</v>
    <v>en-US</v>
    <v>Map</v>
  </rv>
  <rv s="1">
    <v>536870912</v>
    <v>Granma Province</v>
    <v>8c4d07b3-988f-9273-f503-c0c45167e863</v>
    <v>en-US</v>
    <v>Map</v>
  </rv>
  <rv s="1">
    <v>536870912</v>
    <v>Holguín Province</v>
    <v>deafc364-e3d4-c849-b824-f43865085e12</v>
    <v>en-US</v>
    <v>Map</v>
  </rv>
  <rv s="1">
    <v>536870912</v>
    <v>Santiago de Cuba Province</v>
    <v>d86f112e-91da-b147-09c8-3e2d54e1b175</v>
    <v>en-US</v>
    <v>Map</v>
  </rv>
  <rv s="1">
    <v>536870912</v>
    <v>Guantánamo Province</v>
    <v>8985674b-e8e0-c12b-34fb-50cf8dea8707</v>
    <v>en-US</v>
    <v>Map</v>
  </rv>
  <rv s="1">
    <v>536870912</v>
    <v>Isla de la Juventud</v>
    <v>ef55265f-bebe-1314-db71-0872c9069410</v>
    <v>en-US</v>
    <v>Map</v>
  </rv>
  <rv s="3">
    <v>189</v>
  </rv>
  <rv s="0">
    <fb>1.63800001144409E-2</fb>
    <v>35</v>
  </rv>
  <rv s="0">
    <fb>8739135</fb>
    <v>9</v>
  </rv>
  <rv s="39">
    <v>#VALUE!</v>
    <v>en-US</v>
    <v>bd1112ec-a711-52b0-92b0-a57a633f397e</v>
    <v>536870912</v>
    <v>1</v>
    <v>423</v>
    <v>424</v>
    <v>Cuba</v>
    <v>5</v>
    <v>6</v>
    <v>Map</v>
    <v>7</v>
    <v>425</v>
    <v>CU</v>
    <v>2672</v>
    <v>2673</v>
    <v>2674</v>
    <v>2675</v>
    <v>2676</v>
    <v>2663</v>
    <v>2677</v>
    <v>CUP</v>
    <v>Cuba, officially the Republic of Cuba, is an island country, comprising the island of Cuba, Isla de la Juventud, and 4,195 islands, islets and cays surrounding the main island. It is located where the northern Caribbean Sea, Gulf of Mexico, and ...</v>
    <v>2678</v>
    <v>2679</v>
    <v>2680</v>
    <v>2681</v>
    <v>2682</v>
    <v>2683</v>
    <v>2684</v>
    <v>2685</v>
    <v>2686</v>
    <v>2687</v>
    <v>2663</v>
    <v>2692</v>
    <v>2693</v>
    <v>2694</v>
    <v>1157</v>
    <v>2695</v>
    <v>Cuba</v>
    <v>La Bayamesa</v>
    <v>2696</v>
    <v>República de Cuba</v>
    <v>2697</v>
    <v>2698</v>
    <v>2699</v>
    <v>2716</v>
    <v>876</v>
    <v>2717</v>
    <v>Cuba</v>
    <v>2718</v>
    <v>mdp/vdpid/56</v>
  </rv>
  <rv s="1">
    <v>536870912</v>
    <v>Nicosia</v>
    <v>61465f46-935f-6345-e2b2-faf594f2eb3f</v>
    <v>en-US</v>
    <v>Map</v>
  </rv>
  <rv s="1">
    <v>536870912</v>
    <v>Nicosia District</v>
    <v>b8e80404-6981-51e6-04bc-3ea15f66c9d4</v>
    <v>en-US</v>
    <v>Map</v>
  </rv>
  <rv s="0">
    <fb>51.06</fb>
    <v>9</v>
  </rv>
  <rv s="1">
    <v>536870912</v>
    <v>Cyprus</v>
    <v>c0c5ce3c-49b0-5b79-47f3-75ec546e77a5</v>
    <v>en-US</v>
    <v>Map</v>
  </rv>
  <rv s="2">
    <v>83</v>
    <v>7</v>
    <v>426</v>
    <v>7</v>
    <v>0</v>
    <v>Image of Nicosia</v>
  </rv>
  <rv s="0">
    <fb>35.172499999999999</fb>
    <v>0</v>
  </rv>
  <rv s="3">
    <v>190</v>
  </rv>
  <rv s="4">
    <v>https://www.bing.com/search?q=nicosia&amp;form=skydnc</v>
    <v>Learn more on Bing</v>
  </rv>
  <rv s="0">
    <fb>33.365000000000002</fb>
    <v>0</v>
  </rv>
  <rv s="0">
    <fb>56848</fb>
    <v>9</v>
  </rv>
  <rv s="3">
    <v>191</v>
  </rv>
  <rv s="7">
    <v>#VALUE!</v>
    <v>en-US</v>
    <v>61465f46-935f-6345-e2b2-faf594f2eb3f</v>
    <v>536870912</v>
    <v>1</v>
    <v>427</v>
    <v>38</v>
    <v>Nicosia</v>
    <v>5</v>
    <v>6</v>
    <v>Map</v>
    <v>7</v>
    <v>216</v>
    <v>2721</v>
    <v>2722</v>
    <v>2723</v>
    <v>Nicosia, also known as Lefkosia and Lefkoşa, is the capital and largest city of Cyprus. It is the southeasternmost of all EU member states' capital cities. Nicosia has been continuously inhabited for over 4,500 years and has been the capital of ...</v>
    <v>2724</v>
    <v>2725</v>
    <v>2726</v>
    <v>2727</v>
    <v>2728</v>
    <v>Nicosia</v>
    <v>2729</v>
    <v>2730</v>
    <v>Nicosia</v>
    <v>mdp/vdpid/7250698806788882433</v>
  </rv>
  <rv s="0">
    <fb>0.121569266050925</fb>
    <v>28</v>
  </rv>
  <rv s="0">
    <fb>9242.4500000000007</fb>
    <v>9</v>
  </rv>
  <rv s="0">
    <fb>16000</fb>
    <v>9</v>
  </rv>
  <rv s="0">
    <fb>10.462</fb>
    <v>29</v>
  </rv>
  <rv s="0">
    <fb>357</fb>
    <v>30</v>
  </rv>
  <rv s="0">
    <fb>6626.2690000000002</fb>
    <v>9</v>
  </rv>
  <rv s="0">
    <fb>102.51099191728299</fb>
    <v>31</v>
  </rv>
  <rv s="0">
    <fb>2.5037099675845596E-3</fb>
    <v>28</v>
  </rv>
  <rv s="0">
    <fb>3624.9712527716702</fb>
    <v>9</v>
  </rv>
  <rv s="0">
    <fb>1.329</fb>
    <v>29</v>
  </rv>
  <rv s="0">
    <fb>0.18687229239063299</fb>
    <v>28</v>
  </rv>
  <rv s="0">
    <fb>92.906215026032797</fb>
    <v>34</v>
  </rv>
  <rv s="0">
    <fb>24564647934.624401</fb>
    <v>33</v>
  </rv>
  <rv s="0">
    <fb>0.99306690000000009</fb>
    <v>28</v>
  </rv>
  <rv s="0">
    <fb>0.75940810000000003</fb>
    <v>28</v>
  </rv>
  <rv s="2">
    <v>84</v>
    <v>7</v>
    <v>429</v>
    <v>7</v>
    <v>0</v>
    <v>Image of Cyprus</v>
  </rv>
  <rv s="0">
    <fb>1.9</fb>
    <v>34</v>
  </rv>
  <rv s="1">
    <v>805306368</v>
    <v>Nikos Christodoulides (President)</v>
    <v>dcc57869-eb45-8766-d14f-1e2e824914b7</v>
    <v>en-US</v>
    <v>Generic</v>
  </rv>
  <rv s="3">
    <v>192</v>
  </rv>
  <rv s="4">
    <v>https://www.bing.com/search?q=cyprus&amp;form=skydnc</v>
    <v>Learn more on Bing</v>
  </rv>
  <rv s="0">
    <fb>80.828000000000003</fb>
    <v>34</v>
  </rv>
  <rv s="0">
    <fb>4284870000</fb>
    <v>33</v>
  </rv>
  <rv s="3">
    <v>193</v>
  </rv>
  <rv s="0">
    <fb>0.43886795519999999</fb>
    <v>28</v>
  </rv>
  <rv s="0">
    <fb>1.9509000000000001</fb>
    <v>29</v>
  </rv>
  <rv s="0">
    <fb>1251488</fb>
    <v>9</v>
  </rv>
  <rv s="0">
    <fb>0.255</fb>
    <v>28</v>
  </rv>
  <rv s="0">
    <fb>0.40200000000000002</fb>
    <v>28</v>
  </rv>
  <rv s="0">
    <fb>3.4000000000000002E-2</fb>
    <v>28</v>
  </rv>
  <rv s="0">
    <fb>8.4000000000000005E-2</fb>
    <v>28</v>
  </rv>
  <rv s="0">
    <fb>0.129</fb>
    <v>28</v>
  </rv>
  <rv s="0">
    <fb>0.63058998107910202</fb>
    <v>28</v>
  </rv>
  <rv s="1">
    <v>536870912</v>
    <v>Famagusta District</v>
    <v>fa2bfc84-87f2-72de-997e-21b14b8b160c</v>
    <v>en-US</v>
    <v>Map</v>
  </rv>
  <rv s="1">
    <v>536870912</v>
    <v>Kyrenia District</v>
    <v>e8b8a1c2-16a7-5f3c-2602-a1185d56c861</v>
    <v>en-US</v>
    <v>Map</v>
  </rv>
  <rv s="1">
    <v>536870912</v>
    <v>Larnaca District</v>
    <v>7f5d1488-4f34-efb3-2f5e-2bfda6d7ff73</v>
    <v>en-US</v>
    <v>Map</v>
  </rv>
  <rv s="1">
    <v>536870912</v>
    <v>Limassol District</v>
    <v>1e4f6fc0-ec2d-5e17-d500-ea3e15018cec</v>
    <v>en-US</v>
    <v>Map</v>
  </rv>
  <rv s="1">
    <v>536870912</v>
    <v>Paphos District</v>
    <v>cb1e4e34-f579-017b-139b-938e8ef8d979</v>
    <v>en-US</v>
    <v>Map</v>
  </rv>
  <rv s="3">
    <v>194</v>
  </rv>
  <rv s="0">
    <fb>0.24496028871097303</fb>
    <v>28</v>
  </rv>
  <rv s="0">
    <fb>0.22399999999999998</fb>
    <v>28</v>
  </rv>
  <rv s="0">
    <fb>7.2740001678466795E-2</fb>
    <v>35</v>
  </rv>
  <rv s="0">
    <fb>800708</fb>
    <v>9</v>
  </rv>
  <rv s="40">
    <v>#VALUE!</v>
    <v>en-US</v>
    <v>c0c5ce3c-49b0-5b79-47f3-75ec546e77a5</v>
    <v>536870912</v>
    <v>1</v>
    <v>432</v>
    <v>433</v>
    <v>Cyprus</v>
    <v>5</v>
    <v>6</v>
    <v>Map</v>
    <v>7</v>
    <v>415</v>
    <v>CY</v>
    <v>2732</v>
    <v>2733</v>
    <v>2734</v>
    <v>2735</v>
    <v>2736</v>
    <v>2720</v>
    <v>2737</v>
    <v>2738</v>
    <v>2739</v>
    <v>EUR</v>
    <v>Cyprus, officially the Republic of Cyprus, is an island country in the eastern Mediterranean Sea. Although it is geographically located in West Asia, its cultural identity and geopolitical make-up are overwhelmingly Southeast European. It is the ...</v>
    <v>2740</v>
    <v>2741</v>
    <v>2742</v>
    <v>2743</v>
    <v>2339</v>
    <v>2744</v>
    <v>2745</v>
    <v>2746</v>
    <v>2747</v>
    <v>2748</v>
    <v>2720</v>
    <v>2750</v>
    <v>2751</v>
    <v>2752</v>
    <v>2753</v>
    <v>642</v>
    <v>Cyprus</v>
    <v>Hymn to Liberty</v>
    <v>2754</v>
    <v>Kıbrıs Cumhuriyeti</v>
    <v>2755</v>
    <v>2756</v>
    <v>2757</v>
    <v>1109</v>
    <v>2758</v>
    <v>2759</v>
    <v>2760</v>
    <v>2761</v>
    <v>2762</v>
    <v>1419</v>
    <v>2763</v>
    <v>2769</v>
    <v>2770</v>
    <v>1695</v>
    <v>2771</v>
    <v>2772</v>
    <v>Cyprus</v>
    <v>2773</v>
    <v>mdp/vdpid/59</v>
  </rv>
  <rv s="1">
    <v>536870912</v>
    <v>Prague</v>
    <v>a3446df9-1e81-03b1-d08c-0593eead811a</v>
    <v>en-US</v>
    <v>Map</v>
  </rv>
  <rv s="0">
    <fb>496.21</fb>
    <v>9</v>
  </rv>
  <rv s="1">
    <v>536870912</v>
    <v>Austria-Hungary</v>
    <v>09b8630d-3ac1-93e8-a27e-b8a55de26a17</v>
    <v>en-US</v>
    <v>Map</v>
  </rv>
  <rv s="2">
    <v>85</v>
    <v>7</v>
    <v>434</v>
    <v>7</v>
    <v>0</v>
    <v>Image of Prague</v>
  </rv>
  <rv s="1">
    <v>805306368</v>
    <v>Bohuslav Svoboda (Mayor)</v>
    <v>d22dc65d-617c-120b-8290-4e1215938b85</v>
    <v>en-US</v>
    <v>Generic</v>
  </rv>
  <rv s="3">
    <v>195</v>
  </rv>
  <rv s="4">
    <v>https://www.bing.com/search?q=prague+czech+republic&amp;form=skydnc</v>
    <v>Learn more on Bing</v>
  </rv>
  <rv s="0">
    <fb>1357326</fb>
    <v>9</v>
  </rv>
  <rv s="16">
    <v>#VALUE!</v>
    <v>en-US</v>
    <v>a3446df9-1e81-03b1-d08c-0593eead811a</v>
    <v>536870912</v>
    <v>1</v>
    <v>436</v>
    <v>92</v>
    <v>Prague</v>
    <v>5</v>
    <v>6</v>
    <v>Map</v>
    <v>7</v>
    <v>111</v>
    <v>CZ-10</v>
    <v>2776</v>
    <v>2777</v>
    <v>Prague is the capital and largest city of the Czech Republic and the historical capital of Bohemia. Situated on the Vltava river, Prague is home to about 1.4 million people. Prague is a political, cultural, and economic hub of Central Europe, ...</v>
    <v>2778</v>
    <v>2780</v>
    <v>2781</v>
    <v>Prague</v>
    <v>2782</v>
    <v>308</v>
    <v>Prague</v>
    <v>mdp/vdpid/9446826</v>
  </rv>
  <rv s="1">
    <v>536870912</v>
    <v>Copenhagen</v>
    <v>8052664d-a70c-e1fa-c761-489d8c924b80</v>
    <v>en-US</v>
    <v>Map</v>
  </rv>
  <rv s="1">
    <v>536870912</v>
    <v>Capital Region of Denmark</v>
    <v>d04715be-1fef-ff73-393d-f12a6f24b6b4</v>
    <v>en-US</v>
    <v>Map</v>
  </rv>
  <rv s="0">
    <fb>86.2</fb>
    <v>9</v>
  </rv>
  <rv s="1">
    <v>536870912</v>
    <v>Danish Realm</v>
    <v>010bf6ac-49c7-4a26-acc9-65d73fde8ec0</v>
    <v>en-US</v>
    <v>Map</v>
  </rv>
  <rv s="2">
    <v>86</v>
    <v>7</v>
    <v>437</v>
    <v>7</v>
    <v>0</v>
    <v>Image of Copenhagen</v>
  </rv>
  <rv s="4">
    <v>https://www.bing.com/search?q=copenhagen&amp;form=skydnc</v>
    <v>Learn more on Bing</v>
  </rv>
  <rv s="0">
    <fb>644431</fb>
    <v>9</v>
  </rv>
  <rv s="13">
    <v>#VALUE!</v>
    <v>en-US</v>
    <v>8052664d-a70c-e1fa-c761-489d8c924b80</v>
    <v>536870912</v>
    <v>1</v>
    <v>438</v>
    <v>72</v>
    <v>Copenhagen</v>
    <v>5</v>
    <v>6</v>
    <v>Map</v>
    <v>7</v>
    <v>61</v>
    <v>2785</v>
    <v>2785</v>
    <v>2786</v>
    <v>2787</v>
    <v>Copenhagen is the capital and most populous city of Denmark, with a population of around 660,000 in the municipality and 1.4 million in the urban area. The city is on the islands of Zealand and Amager, separated from Malmö, Sweden, by the ...</v>
    <v>2788</v>
    <v>8</v>
    <v>2789</v>
    <v>9</v>
    <v>Copenhagen</v>
    <v>2790</v>
    <v>193</v>
    <v>Copenhagen</v>
    <v>mdp/vdpid/7016673626309001217</v>
  </rv>
  <rv s="1">
    <v>536870912</v>
    <v>Djibouti City</v>
    <v>2293ba88-a9b9-248b-7603-f5fca838722c</v>
    <v>en-US</v>
    <v>Map</v>
  </rv>
  <rv s="0">
    <fb>26</fb>
    <v>9</v>
  </rv>
  <rv s="1">
    <v>536870912</v>
    <v>Djibouti</v>
    <v>c3bcd5f9-dbe9-0bb5-cf37-46eecd436609</v>
    <v>en-US</v>
    <v>Map</v>
  </rv>
  <rv s="2">
    <v>87</v>
    <v>7</v>
    <v>440</v>
    <v>7</v>
    <v>0</v>
    <v>Image of Djibouti City</v>
  </rv>
  <rv s="3">
    <v>196</v>
  </rv>
  <rv s="4">
    <v>https://www.bing.com/search?q=djibouti+city&amp;form=skydnc</v>
    <v>Learn more on Bing</v>
  </rv>
  <rv s="0">
    <fb>603900</fb>
    <v>9</v>
  </rv>
  <rv s="30">
    <v>#VALUE!</v>
    <v>en-US</v>
    <v>2293ba88-a9b9-248b-7603-f5fca838722c</v>
    <v>536870912</v>
    <v>1</v>
    <v>441</v>
    <v>294</v>
    <v>Djibouti City</v>
    <v>5</v>
    <v>6</v>
    <v>Map</v>
    <v>7</v>
    <v>442</v>
    <v>DJ-DJ</v>
    <v>2793</v>
    <v>2794</v>
    <v>Djibouti is the eponymous capital of Djibouti. It is located in the coastal Djibouti Region on the Gulf of Tadjoura. Djibouti has a population of around 600,000 inhabitants, which counts for 54% of the country's population. The settlement was ...</v>
    <v>2795</v>
    <v>2796</v>
    <v>2797</v>
    <v>Djibouti City</v>
    <v>2798</v>
    <v>Djibouti City</v>
    <v>mdp/vdpid/7331691857937694721</v>
  </rv>
  <rv s="0">
    <fb>0.73425366695427097</fb>
    <v>28</v>
  </rv>
  <rv s="0">
    <fb>23200</fb>
    <v>9</v>
  </rv>
  <rv s="0">
    <fb>13000</fb>
    <v>9</v>
  </rv>
  <rv s="0">
    <fb>21.466000000000001</fb>
    <v>29</v>
  </rv>
  <rv s="0">
    <fb>253</fb>
    <v>30</v>
  </rv>
  <rv s="0">
    <fb>619.72299999999996</fb>
    <v>9</v>
  </rv>
  <rv s="0">
    <fb>120.25092237337201</fb>
    <v>31</v>
  </rv>
  <rv s="0">
    <fb>3.31925372703833E-2</fb>
    <v>28</v>
  </rv>
  <rv s="0">
    <fb>2.7280000000000002</fb>
    <v>29</v>
  </rv>
  <rv s="0">
    <fb>2.4158757138190599E-3</fb>
    <v>28</v>
  </rv>
  <rv s="0">
    <fb>1.32</fb>
    <v>32</v>
  </rv>
  <rv s="0">
    <fb>3318716359.4418201</fb>
    <v>33</v>
  </rv>
  <rv s="0">
    <fb>0.75287940000000009</fb>
    <v>28</v>
  </rv>
  <rv s="0">
    <fb>5.3453199999999999E-2</fb>
    <v>28</v>
  </rv>
  <rv s="2">
    <v>88</v>
    <v>7</v>
    <v>444</v>
    <v>7</v>
    <v>0</v>
    <v>Image of Djibouti</v>
  </rv>
  <rv s="0">
    <fb>49.8</fb>
    <v>34</v>
  </rv>
  <rv s="1">
    <v>805306368</v>
    <v>Ismaïl Omar Guelleh (President)</v>
    <v>f08012fd-8a8b-37cb-84e7-8d481ac91839</v>
    <v>en-US</v>
    <v>Generic</v>
  </rv>
  <rv s="1">
    <v>805306368</v>
    <v>Abdoulkader Kamil Mohamed (Prime minister)</v>
    <v>eecfaecc-6195-450b-a9a4-39f7b331557c</v>
    <v>en-US</v>
    <v>Generic</v>
  </rv>
  <rv s="3">
    <v>197</v>
  </rv>
  <rv s="4">
    <v>https://www.bing.com/search?q=djibouti+africa&amp;form=skydnc</v>
    <v>Learn more on Bing</v>
  </rv>
  <rv s="0">
    <fb>66.581999999999994</fb>
    <v>34</v>
  </rv>
  <rv s="0">
    <fb>248</fb>
    <v>34</v>
  </rv>
  <rv s="0">
    <fb>0.20384189350000001</fb>
    <v>28</v>
  </rv>
  <rv s="0">
    <fb>0.2203</fb>
    <v>29</v>
  </rv>
  <rv s="0">
    <fb>1120849</fb>
    <v>9</v>
  </rv>
  <rv s="0">
    <fb>0.215</fb>
    <v>28</v>
  </rv>
  <rv s="0">
    <fb>0.47600000000000003</fb>
    <v>28</v>
  </rv>
  <rv s="0">
    <fb>5.4000000000000006E-2</fb>
    <v>28</v>
  </rv>
  <rv s="0">
    <fb>0.10400000000000001</fb>
    <v>28</v>
  </rv>
  <rv s="0">
    <fb>0.151</fb>
    <v>28</v>
  </rv>
  <rv s="0">
    <fb>0.60243000030517602</fb>
    <v>28</v>
  </rv>
  <rv s="1">
    <v>536870912</v>
    <v>Ali Sabieh Region</v>
    <v>9d5d06b0-c622-144e-5af9-83ffc51ecd0a</v>
    <v>en-US</v>
    <v>Map</v>
  </rv>
  <rv s="1">
    <v>536870912</v>
    <v>Arta Region</v>
    <v>882309d4-bcf9-2c8a-1a3e-de67cd78f268</v>
    <v>en-US</v>
    <v>Map</v>
  </rv>
  <rv s="1">
    <v>536870912</v>
    <v>Dikhil Region</v>
    <v>54c78f1a-0fa9-972f-8c06-6fb99ceb0497</v>
    <v>en-US</v>
    <v>Map</v>
  </rv>
  <rv s="1">
    <v>536870912</v>
    <v>Obock Region</v>
    <v>6a9a68e0-93b3-daa2-828c-dfa85b3d629c</v>
    <v>en-US</v>
    <v>Map</v>
  </rv>
  <rv s="1">
    <v>536870912</v>
    <v>Tadjourah Region</v>
    <v>bb483c55-ebaf-35c2-e31c-a1c5f6a6c17a</v>
    <v>en-US</v>
    <v>Map</v>
  </rv>
  <rv s="3">
    <v>198</v>
  </rv>
  <rv s="3">
    <v>199</v>
  </rv>
  <rv s="0">
    <fb>0.10295000076293899</fb>
    <v>35</v>
  </rv>
  <rv s="0">
    <fb>758549</fb>
    <v>9</v>
  </rv>
  <rv s="41">
    <v>#VALUE!</v>
    <v>en-US</v>
    <v>c3bcd5f9-dbe9-0bb5-cf37-46eecd436609</v>
    <v>536870912</v>
    <v>1</v>
    <v>447</v>
    <v>448</v>
    <v>Djibouti</v>
    <v>5</v>
    <v>6</v>
    <v>Map</v>
    <v>7</v>
    <v>449</v>
    <v>DJ</v>
    <v>2800</v>
    <v>2801</v>
    <v>2802</v>
    <v>2803</v>
    <v>2804</v>
    <v>2792</v>
    <v>2805</v>
    <v>2806</v>
    <v>2807</v>
    <v>DJF</v>
    <v>Djibouti, officially the Republic of Djibouti, is a country in the Horn of Africa, bordered by Somalia to the south, Ethiopia to the southwest, Eritrea in the north, and the Red Sea and the Gulf of Aden to the east. The country has an area of ...</v>
    <v>2808</v>
    <v>2809</v>
    <v>434</v>
    <v>2810</v>
    <v>2811</v>
    <v>2812</v>
    <v>2813</v>
    <v>2814</v>
    <v>2815</v>
    <v>2792</v>
    <v>2818</v>
    <v>2819</v>
    <v>2820</v>
    <v>2821</v>
    <v>Djibouti</v>
    <v>Djibouti</v>
    <v>2124</v>
    <v>جمهورية جيبوتي</v>
    <v>2822</v>
    <v>2823</v>
    <v>2824</v>
    <v>2825</v>
    <v>1817</v>
    <v>2826</v>
    <v>1662</v>
    <v>2827</v>
    <v>2828</v>
    <v>2829</v>
    <v>2830</v>
    <v>2836</v>
    <v>2837</v>
    <v>2467</v>
    <v>2838</v>
    <v>Djibouti</v>
    <v>2839</v>
    <v>mdp/vdpid/62</v>
  </rv>
  <rv s="1">
    <v>536870912</v>
    <v>Roseau</v>
    <v>7cff5932-9eb1-e489-310a-57efc40118c9</v>
    <v>en-US</v>
    <v>Map</v>
  </rv>
  <rv s="1">
    <v>536870912</v>
    <v>Saint George Parish</v>
    <v>e3ed5a26-99cb-f48b-5193-de36af09f4c1</v>
    <v>en-US</v>
    <v>Map</v>
  </rv>
  <rv s="1">
    <v>536870912</v>
    <v>Dominica</v>
    <v>30068667-d62b-60a9-6915-62e6b9885687</v>
    <v>en-US</v>
    <v>Map</v>
  </rv>
  <rv s="2">
    <v>89</v>
    <v>7</v>
    <v>450</v>
    <v>7</v>
    <v>0</v>
    <v>Image of Roseau</v>
  </rv>
  <rv s="0">
    <fb>15.3</fb>
    <v>0</v>
  </rv>
  <rv s="4">
    <v>https://www.bing.com/search?q=roseau+dominica&amp;form=skydnc</v>
    <v>Learn more on Bing</v>
  </rv>
  <rv s="0">
    <fb>-61.383333333332999</fb>
    <v>0</v>
  </rv>
  <rv s="0">
    <fb>14725</fb>
    <v>9</v>
  </rv>
  <rv s="42">
    <v>#VALUE!</v>
    <v>en-US</v>
    <v>7cff5932-9eb1-e489-310a-57efc40118c9</v>
    <v>536870912</v>
    <v>1</v>
    <v>451</v>
    <v>452</v>
    <v>Roseau</v>
    <v>5</v>
    <v>6</v>
    <v>Map</v>
    <v>7</v>
    <v>453</v>
    <v>2842</v>
    <v>2843</v>
    <v>Roseau is the capital and largest city of Dominica, with a population of 16,571 as of 2023. It is a small and compact urban settlement, in the Saint George parish and surrounded by the Caribbean Sea, the Roseau River and Morne Bruce. Built on ...</v>
    <v>2844</v>
    <v>2845</v>
    <v>2846</v>
    <v>2847</v>
    <v>Roseau</v>
    <v>2848</v>
    <v>Roseau</v>
    <v>mdp/vdpid/5591511362661515265</v>
  </rv>
  <rv s="0">
    <fb>0.33333333333333298</fb>
    <v>28</v>
  </rv>
  <rv s="0">
    <fb>751.09655099999998</fb>
    <v>9</v>
  </rv>
  <rv s="0">
    <fb>12</fb>
    <v>29</v>
  </rv>
  <rv s="0">
    <fb>1767</fb>
    <v>30</v>
  </rv>
  <rv s="0">
    <fb>179.68299999999999</fb>
    <v>9</v>
  </rv>
  <rv s="0">
    <fb>103.869628411641</fb>
    <v>31</v>
  </rv>
  <rv s="0">
    <fb>9.8919111918981499E-3</fb>
    <v>28</v>
  </rv>
  <rv s="0">
    <fb>1.9</fb>
    <v>29</v>
  </rv>
  <rv s="0">
    <fb>0.57413335164388002</fb>
    <v>28</v>
  </rv>
  <rv s="0">
    <fb>596033333.33333302</fb>
    <v>33</v>
  </rv>
  <rv s="0">
    <fb>1.1472662</fb>
    <v>28</v>
  </rv>
  <rv s="0">
    <fb>7.2335999999999998E-2</fb>
    <v>28</v>
  </rv>
  <rv s="2">
    <v>90</v>
    <v>7</v>
    <v>455</v>
    <v>7</v>
    <v>0</v>
    <v>Image of Dominica</v>
  </rv>
  <rv s="0">
    <fb>32.9</fb>
    <v>34</v>
  </rv>
  <rv s="1">
    <v>805306368</v>
    <v>Sylvanie Burton (President)</v>
    <v>23160a53-2381-2fbb-5b08-cf0a44267fb1</v>
    <v>en-US</v>
    <v>Generic</v>
  </rv>
  <rv s="1">
    <v>805306368</v>
    <v>Roosevelt Skerrit (Prime minister)</v>
    <v>ee574234-9232-1434-fb41-18c2067e2e70</v>
    <v>en-US</v>
    <v>Generic</v>
  </rv>
  <rv s="3">
    <v>200</v>
  </rv>
  <rv s="4">
    <v>https://www.bing.com/search?q=dominica&amp;form=skydnc</v>
    <v>Learn more on Bing</v>
  </rv>
  <rv s="0">
    <fb>76.597560975609795</fb>
    <v>34</v>
  </rv>
  <rv s="0">
    <fb>1.48</fb>
    <v>32</v>
  </rv>
  <rv s="3">
    <v>201</v>
  </rv>
  <rv s="0">
    <fb>0.28411373969999998</fb>
    <v>28</v>
  </rv>
  <rv s="0">
    <fb>1.0825</fb>
    <v>29</v>
  </rv>
  <rv s="0">
    <fb>72737</fb>
    <v>9</v>
  </rv>
  <rv s="1">
    <v>536870912</v>
    <v>Saint Andrew Parish, Dominica</v>
    <v>1d68d4de-77b3-3553-57ee-39d2ffae031b</v>
    <v>en-US</v>
    <v>Map</v>
  </rv>
  <rv s="1">
    <v>536870912</v>
    <v>Saint David Parish, Dominica</v>
    <v>1fa484dc-e2d1-3fb2-81c1-40861423551d</v>
    <v>en-US</v>
    <v>Map</v>
  </rv>
  <rv s="1">
    <v>536870912</v>
    <v>Saint George Parish, Dominica</v>
    <v>e3ed5a26-99cb-f48b-5193-de36af09f4c1</v>
    <v>en-US</v>
    <v>Map</v>
  </rv>
  <rv s="1">
    <v>536870912</v>
    <v>Saint John Parish, Dominica</v>
    <v>517c1c4f-a178-6e98-18b3-cd2439eedcdf</v>
    <v>en-US</v>
    <v>Map</v>
  </rv>
  <rv s="1">
    <v>536870912</v>
    <v>Saint Joseph Parish, Dominica</v>
    <v>70e3a59c-17d8-12b4-0ff3-62388dcf4413</v>
    <v>en-US</v>
    <v>Map</v>
  </rv>
  <rv s="1">
    <v>536870912</v>
    <v>Saint Luke Parish, Dominica</v>
    <v>33506f87-df32-6d24-5d56-a6eade111677</v>
    <v>en-US</v>
    <v>Map</v>
  </rv>
  <rv s="1">
    <v>536870912</v>
    <v>Saint Mark Parish, Dominica</v>
    <v>192a94bf-9151-f85a-ef5c-7a4de7971406</v>
    <v>en-US</v>
    <v>Map</v>
  </rv>
  <rv s="1">
    <v>536870912</v>
    <v>Saint Patrick Parish, Dominica</v>
    <v>c9cd70f4-87cf-c620-01e5-6af2880db6f0</v>
    <v>en-US</v>
    <v>Map</v>
  </rv>
  <rv s="1">
    <v>536870912</v>
    <v>Saint Paul Parish, Dominica</v>
    <v>ed993c4f-41e7-a7ed-4bdb-1a130dee58df</v>
    <v>en-US</v>
    <v>Map</v>
  </rv>
  <rv s="1">
    <v>536870912</v>
    <v>Saint Peter Parish, Dominica</v>
    <v>3c9bf23f-706d-3f75-4c26-7de9447accd8</v>
    <v>en-US</v>
    <v>Map</v>
  </rv>
  <rv s="3">
    <v>202</v>
  </rv>
  <rv s="0">
    <fb>0.22094242368497199</fb>
    <v>28</v>
  </rv>
  <rv s="3">
    <v>203</v>
  </rv>
  <rv s="0">
    <fb>0.32600000000000001</fb>
    <v>28</v>
  </rv>
  <rv s="0">
    <fb>50830</fb>
    <v>9</v>
  </rv>
  <rv s="43">
    <v>#VALUE!</v>
    <v>en-US</v>
    <v>30068667-d62b-60a9-6915-62e6b9885687</v>
    <v>536870912</v>
    <v>1</v>
    <v>458</v>
    <v>459</v>
    <v>Dominica</v>
    <v>5</v>
    <v>6</v>
    <v>Map</v>
    <v>7</v>
    <v>460</v>
    <v>DM</v>
    <v>2850</v>
    <v>2851</v>
    <v>2852</v>
    <v>2853</v>
    <v>2841</v>
    <v>2854</v>
    <v>2855</v>
    <v>2856</v>
    <v>XCD</v>
    <v>Dominica, officially the Commonwealth of Dominica, is an island country in the Caribbean. It is part of the Windward Islands chain in the Lesser Antilles archipelago in the Caribbean Sea. The capital, Roseau, is located on the western side of ...</v>
    <v>2857</v>
    <v>2858</v>
    <v>434</v>
    <v>2859</v>
    <v>2860</v>
    <v>2861</v>
    <v>2862</v>
    <v>2863</v>
    <v>2841</v>
    <v>2866</v>
    <v>2867</v>
    <v>2868</v>
    <v>2869</v>
    <v>Dominica</v>
    <v>Isle of Beauty, Isle of Splendour</v>
    <v>2870</v>
    <v>Commonwealth of Dominica</v>
    <v>2871</v>
    <v>2872</v>
    <v>2873</v>
    <v>2884</v>
    <v>2885</v>
    <v>2886</v>
    <v>2887</v>
    <v>Dominica</v>
    <v>2888</v>
    <v>mdp/vdpid/63</v>
  </rv>
  <rv s="1">
    <v>536870912</v>
    <v>Santo Domingo</v>
    <v>2ea37dcb-8f20-0877-6a29-69f744e91e70</v>
    <v>en-US</v>
    <v>Map</v>
  </rv>
  <rv s="1">
    <v>536870912</v>
    <v>Distrito Nacional</v>
    <v>48975ce5-a1bc-0e28-0d30-fc23be16fd98</v>
    <v>en-US</v>
    <v>Map</v>
  </rv>
  <rv s="0">
    <fb>1302.2</fb>
    <v>9</v>
  </rv>
  <rv s="1">
    <v>536870912</v>
    <v>Dominican Republic</v>
    <v>9eee2843-5c3a-3930-0e9c-2357fb969d5b</v>
    <v>en-US</v>
    <v>Map</v>
  </rv>
  <rv s="2">
    <v>91</v>
    <v>7</v>
    <v>461</v>
    <v>7</v>
    <v>0</v>
    <v>Image of Santo Domingo</v>
  </rv>
  <rv s="0">
    <fb>18.476388888889002</fb>
    <v>0</v>
  </rv>
  <rv s="1">
    <v>805306368</v>
    <v>Carolina Mejía de Garrigó (Mayor)</v>
    <v>e47ebe39-6b92-3841-05d8-42370f63d03d</v>
    <v>en-US</v>
    <v>Generic</v>
  </rv>
  <rv s="3">
    <v>204</v>
  </rv>
  <rv s="4">
    <v>https://www.bing.com/search?q=santo+domingo&amp;form=skydnc</v>
    <v>Learn more on Bing</v>
  </rv>
  <rv s="0">
    <fb>-69.893333333333004</fb>
    <v>0</v>
  </rv>
  <rv s="0">
    <fb>1128678</fb>
    <v>9</v>
  </rv>
  <rv s="24">
    <v>#VALUE!</v>
    <v>en-US</v>
    <v>2ea37dcb-8f20-0877-6a29-69f744e91e70</v>
    <v>536870912</v>
    <v>1</v>
    <v>462</v>
    <v>189</v>
    <v>Santo Domingo</v>
    <v>5</v>
    <v>6</v>
    <v>Map</v>
    <v>7</v>
    <v>216</v>
    <v>2891</v>
    <v>2892</v>
    <v>2893</v>
    <v>Santo Domingo, once known as Santo Domingo de Guzmán, known as Ciudad Trujillo between 1936 and 1961, is the capital and largest city of the Dominican Republic and the largest metropolitan area in the Caribbean by population. As of 2022, the ...</v>
    <v>2894</v>
    <v>2895</v>
    <v>2897</v>
    <v>2898</v>
    <v>2899</v>
    <v>Santo Domingo</v>
    <v>2900</v>
    <v>Santo Domingo</v>
    <v>mdp/vdpid/5561480979631046657</v>
  </rv>
  <rv s="0">
    <fb>0.48685572345270101</fb>
    <v>28</v>
  </rv>
  <rv s="0">
    <fb>48670.82</fb>
    <v>9</v>
  </rv>
  <rv s="0">
    <fb>19.506</fb>
    <v>29</v>
  </rv>
  <rv s="0">
    <fb>1809</fb>
    <v>30</v>
  </rv>
  <rv s="0">
    <fb>25258.295999999998</fb>
    <v>9</v>
  </rv>
  <rv s="0">
    <fb>135.49869138696599</fb>
    <v>31</v>
  </rv>
  <rv s="0">
    <fb>1.8106037704296002E-2</fb>
    <v>28</v>
  </rv>
  <rv s="0">
    <fb>1615.51524233024</fb>
    <v>9</v>
  </rv>
  <rv s="0">
    <fb>2.3460000000000001</fb>
    <v>29</v>
  </rv>
  <rv s="0">
    <fb>0.41734629500556403</fb>
    <v>28</v>
  </rv>
  <rv s="0">
    <fb>86.563595979866406</fb>
    <v>34</v>
  </rv>
  <rv s="0">
    <fb>1.07</fb>
    <v>32</v>
  </rv>
  <rv s="0">
    <fb>88941298257.721497</fb>
    <v>33</v>
  </rv>
  <rv s="0">
    <fb>1.0569865000000001</fb>
    <v>28</v>
  </rv>
  <rv s="0">
    <fb>0.59915589999999996</fb>
    <v>28</v>
  </rv>
  <rv s="2">
    <v>92</v>
    <v>7</v>
    <v>464</v>
    <v>7</v>
    <v>0</v>
    <v>Image of Dominican Republic</v>
  </rv>
  <rv s="0">
    <fb>24.1</fb>
    <v>34</v>
  </rv>
  <rv s="1">
    <v>805306368</v>
    <v>Luis Abinader (President)</v>
    <v>c9fe9c8e-97e0-a923-003f-9ee61aaf322c</v>
    <v>en-US</v>
    <v>Generic</v>
  </rv>
  <rv s="1">
    <v>805306368</v>
    <v>Raquel Peña (Vice president)</v>
    <v>7b1afe01-9784-c227-3371-561bd889af21</v>
    <v>en-US</v>
    <v>Generic</v>
  </rv>
  <rv s="3">
    <v>205</v>
  </rv>
  <rv s="4">
    <v>https://www.bing.com/search?q=dominican+republic&amp;form=skydnc</v>
    <v>Learn more on Bing</v>
  </rv>
  <rv s="0">
    <fb>73.891999999999996</fb>
    <v>34</v>
  </rv>
  <rv s="0">
    <fb>95</fb>
    <v>34</v>
  </rv>
  <rv s="0">
    <fb>0.4</fb>
    <v>32</v>
  </rv>
  <rv s="3">
    <v>206</v>
  </rv>
  <rv s="0">
    <fb>0.43679315479999997</fb>
    <v>28</v>
  </rv>
  <rv s="0">
    <fb>11228821</fb>
    <v>9</v>
  </rv>
  <rv s="0">
    <fb>0.35200000000000004</fb>
    <v>28</v>
  </rv>
  <rv s="0">
    <fb>9.8000000000000004E-2</fb>
    <v>28</v>
  </rv>
  <rv s="0">
    <fb>0.64320999145507796</fb>
    <v>28</v>
  </rv>
  <rv s="1">
    <v>536870912</v>
    <v>Azua Province</v>
    <v>f8b87bb8-22f5-e6aa-284c-e5c4cd095204</v>
    <v>en-US</v>
    <v>Map</v>
  </rv>
  <rv s="1">
    <v>536870912</v>
    <v>Baoruco Province</v>
    <v>02d1705d-a94d-ab4b-5a5b-8d43295e82c5</v>
    <v>en-US</v>
    <v>Map</v>
  </rv>
  <rv s="1">
    <v>536870912</v>
    <v>Barahona Province</v>
    <v>906fdd24-6300-971b-a72e-06dae42c6db8</v>
    <v>en-US</v>
    <v>Map</v>
  </rv>
  <rv s="1">
    <v>536870912</v>
    <v>Dajabón Province</v>
    <v>1f195e9d-47d7-dee4-41a5-7f8f0d7062bb</v>
    <v>en-US</v>
    <v>Map</v>
  </rv>
  <rv s="1">
    <v>536870912</v>
    <v>Duarte Province</v>
    <v>8d71114c-798e-6a30-3b42-5babdfab8231</v>
    <v>en-US</v>
    <v>Map</v>
  </rv>
  <rv s="1">
    <v>536870912</v>
    <v>Elías Piña Province</v>
    <v>5f3912d4-781e-2f43-4d3c-1ea99acd1ed1</v>
    <v>en-US</v>
    <v>Map</v>
  </rv>
  <rv s="1">
    <v>536870912</v>
    <v>El Seibo Province</v>
    <v>c35c83ee-c424-4dba-36a0-a911dadaa4e5</v>
    <v>en-US</v>
    <v>Map</v>
  </rv>
  <rv s="1">
    <v>536870912</v>
    <v>Espaillat Province</v>
    <v>3d20d0d5-0e41-ce76-3277-0e484394516c</v>
    <v>en-US</v>
    <v>Map</v>
  </rv>
  <rv s="1">
    <v>536870912</v>
    <v>Hato Mayor Province</v>
    <v>0a3fc4a8-4840-43d0-482a-75736a1f3f5a</v>
    <v>en-US</v>
    <v>Map</v>
  </rv>
  <rv s="1">
    <v>536870912</v>
    <v>Independencia Province</v>
    <v>adacd1c2-dc47-8f7a-90b1-b1f20858dbfa</v>
    <v>en-US</v>
    <v>Map</v>
  </rv>
  <rv s="1">
    <v>536870912</v>
    <v>La Altagracia Province</v>
    <v>89a8367a-6b1b-bdf9-fab5-b9589d5a5804</v>
    <v>en-US</v>
    <v>Map</v>
  </rv>
  <rv s="1">
    <v>536870912</v>
    <v>La Romana Province, Dominican Republic</v>
    <v>64073c75-93fc-34d6-a4e6-649cfcbda5fd</v>
    <v>en-US</v>
    <v>Map</v>
  </rv>
  <rv s="1">
    <v>536870912</v>
    <v>La Vega Province</v>
    <v>c92e0385-3a7a-a759-f624-b691ef729b18</v>
    <v>en-US</v>
    <v>Map</v>
  </rv>
  <rv s="1">
    <v>536870912</v>
    <v>María Trinidad Sánchez Province</v>
    <v>ac6ee95f-cd12-4554-9e4d-a6a59d7d47d9</v>
    <v>en-US</v>
    <v>Map</v>
  </rv>
  <rv s="1">
    <v>536870912</v>
    <v>Monseñor Nouel Province</v>
    <v>4ebc0cf8-50cf-4c2a-2e17-9c3dc51d7647</v>
    <v>en-US</v>
    <v>Map</v>
  </rv>
  <rv s="1">
    <v>536870912</v>
    <v>Monte Cristi Province</v>
    <v>5a056c46-aff1-5db2-2db3-c1829e9f7123</v>
    <v>en-US</v>
    <v>Map</v>
  </rv>
  <rv s="1">
    <v>536870912</v>
    <v>Monte Plata Province</v>
    <v>d17f20ea-1c06-c2de-7447-69aec91c1725</v>
    <v>en-US</v>
    <v>Map</v>
  </rv>
  <rv s="1">
    <v>536870912</v>
    <v>Pedernales Province</v>
    <v>058df820-7760-842e-f56c-7554404af0e2</v>
    <v>en-US</v>
    <v>Map</v>
  </rv>
  <rv s="1">
    <v>536870912</v>
    <v>Peravia Province</v>
    <v>51872d38-df73-020b-d2e1-de7308707da1</v>
    <v>en-US</v>
    <v>Map</v>
  </rv>
  <rv s="1">
    <v>536870912</v>
    <v>Puerto Plata Province</v>
    <v>d0286e61-3d13-f2ca-004d-1f130aa13e28</v>
    <v>en-US</v>
    <v>Map</v>
  </rv>
  <rv s="1">
    <v>536870912</v>
    <v>Hermanas Mirabal Province</v>
    <v>8a9ed325-01fb-82b4-68d4-95540334aba1</v>
    <v>en-US</v>
    <v>Map</v>
  </rv>
  <rv s="1">
    <v>536870912</v>
    <v>Samaná Province</v>
    <v>9630dff6-037e-3f46-10ed-a9d0918bf4c8</v>
    <v>en-US</v>
    <v>Map</v>
  </rv>
  <rv s="1">
    <v>536870912</v>
    <v>Sánchez Ramírez Province</v>
    <v>36a42427-a9b0-b030-23f7-dc2319360d76</v>
    <v>en-US</v>
    <v>Map</v>
  </rv>
  <rv s="1">
    <v>536870912</v>
    <v>San Cristóbal Province</v>
    <v>50dbaf19-6bd9-33ac-5af1-4011fbb4f487</v>
    <v>en-US</v>
    <v>Map</v>
  </rv>
  <rv s="1">
    <v>536870912</v>
    <v>San José de Ocoa Province</v>
    <v>94070a07-6fb4-86e2-8715-b862388bcaef</v>
    <v>en-US</v>
    <v>Map</v>
  </rv>
  <rv s="1">
    <v>536870912</v>
    <v>San Juan Province</v>
    <v>538af92b-9ec1-d2db-7d09-4bf678719df3</v>
    <v>en-US</v>
    <v>Map</v>
  </rv>
  <rv s="1">
    <v>536870912</v>
    <v>San Pedro de Macorís Province</v>
    <v>59cc7c3f-267b-9018-1ab0-9a3da9c3cf96</v>
    <v>en-US</v>
    <v>Map</v>
  </rv>
  <rv s="1">
    <v>536870912</v>
    <v>Santiago Province</v>
    <v>a73bf4f1-0f5f-343d-2970-a0eb90204c7c</v>
    <v>en-US</v>
    <v>Map</v>
  </rv>
  <rv s="1">
    <v>536870912</v>
    <v>Santiago Rodríguez Province</v>
    <v>bd02813c-72cf-cb88-e5f1-4d0b690c7b28</v>
    <v>en-US</v>
    <v>Map</v>
  </rv>
  <rv s="1">
    <v>536870912</v>
    <v>Santo Domingo Province</v>
    <v>5b1d6dab-7829-9978-a11d-40e9d55020b9</v>
    <v>en-US</v>
    <v>Map</v>
  </rv>
  <rv s="1">
    <v>536870912</v>
    <v>Valverde Province</v>
    <v>bd2a5d8c-6532-d499-4b4b-5fd80f191090</v>
    <v>en-US</v>
    <v>Map</v>
  </rv>
  <rv s="3">
    <v>207</v>
  </rv>
  <rv s="0">
    <fb>0.130249349886087</fb>
    <v>28</v>
  </rv>
  <rv s="0">
    <fb>5.8449997901916503E-2</fb>
    <v>35</v>
  </rv>
  <rv s="0">
    <fb>8787475</fb>
    <v>9</v>
  </rv>
  <rv s="8">
    <v>#VALUE!</v>
    <v>en-US</v>
    <v>9eee2843-5c3a-3930-0e9c-2357fb969d5b</v>
    <v>536870912</v>
    <v>1</v>
    <v>467</v>
    <v>46</v>
    <v>Dominican Republic</v>
    <v>5</v>
    <v>6</v>
    <v>Map</v>
    <v>7</v>
    <v>468</v>
    <v>DO</v>
    <v>2902</v>
    <v>2903</v>
    <v>1331</v>
    <v>2904</v>
    <v>2905</v>
    <v>2890</v>
    <v>2906</v>
    <v>2907</v>
    <v>2908</v>
    <v>DOP</v>
    <v>The Dominican Republic is a North American country located on the island of Hispaniola in the Greater Antilles of the Caribbean Sea in the North Atlantic Ocean. It shares a maritime border with Puerto Rico to the east and a land border with ...</v>
    <v>2909</v>
    <v>2910</v>
    <v>2911</v>
    <v>2912</v>
    <v>2913</v>
    <v>2914</v>
    <v>2915</v>
    <v>2916</v>
    <v>2917</v>
    <v>2918</v>
    <v>2890</v>
    <v>2921</v>
    <v>2922</v>
    <v>2923</v>
    <v>2924</v>
    <v>2925</v>
    <v>Dominican Republic</v>
    <v>National Anthem of the Dominican Republic</v>
    <v>2926</v>
    <v>República Dominicana</v>
    <v>2927</v>
    <v>1638</v>
    <v>2928</v>
    <v>382</v>
    <v>2929</v>
    <v>2591</v>
    <v>2191</v>
    <v>2192</v>
    <v>2930</v>
    <v>729</v>
    <v>2931</v>
    <v>2963</v>
    <v>2964</v>
    <v>462</v>
    <v>2130</v>
    <v>2965</v>
    <v>Dominican Republic</v>
    <v>2966</v>
    <v>mdp/vdpid/65</v>
  </rv>
  <rv s="1">
    <v>536870912</v>
    <v>Kinshasa</v>
    <v>2acb1013-1141-4cb4-9703-aa6eef3bc16a</v>
    <v>en-US</v>
    <v>Map</v>
  </rv>
  <rv s="0">
    <fb>9965</fb>
    <v>9</v>
  </rv>
  <rv s="1">
    <v>536870912</v>
    <v>Democratic Republic of the Congo</v>
    <v>ca4ca1f6-14e8-4ec4-828b-9f989adfdedf</v>
    <v>en-US</v>
    <v>Map</v>
  </rv>
  <rv s="2">
    <v>93</v>
    <v>7</v>
    <v>469</v>
    <v>7</v>
    <v>0</v>
    <v>Image of Kinshasa</v>
  </rv>
  <rv s="1">
    <v>805306368</v>
    <v>Daniel Bumba (Governor)</v>
    <v>235f5590-f2c8-73b7-83af-f377b82d7fee</v>
    <v>en-US</v>
    <v>Generic</v>
  </rv>
  <rv s="3">
    <v>208</v>
  </rv>
  <rv s="4">
    <v>https://www.bing.com/search?q=kinshasa&amp;form=skydnc</v>
    <v>Learn more on Bing</v>
  </rv>
  <rv s="0">
    <fb>17071000</fb>
    <v>9</v>
  </rv>
  <rv s="18">
    <v>#VALUE!</v>
    <v>en-US</v>
    <v>2acb1013-1141-4cb4-9703-aa6eef3bc16a</v>
    <v>536870912</v>
    <v>1</v>
    <v>471</v>
    <v>124</v>
    <v>Kinshasa</v>
    <v>5</v>
    <v>6</v>
    <v>Map</v>
    <v>7</v>
    <v>216</v>
    <v>CD-KN</v>
    <v>2969</v>
    <v>2970</v>
    <v>Kinshasa, formerly named Léopoldville from 1881–1966, is the capital and largest city of the Democratic Republic of the Congo. Kinshasa is one of the world's fastest-growing megacities, with an estimated population of 17,032,322 in 2024. It is ...</v>
    <v>2971</v>
    <v>2973</v>
    <v>2974</v>
    <v>Kinshasa</v>
    <v>1220</v>
    <v>2975</v>
    <v>141</v>
    <v>Kinshasa</v>
    <v>mdp/vdpid/10596122</v>
  </rv>
  <rv s="0">
    <fb>0.115568690589092</fb>
    <v>28</v>
  </rv>
  <rv s="0">
    <fb>2344858</fb>
    <v>9</v>
  </rv>
  <rv s="0">
    <fb>134000</fb>
    <v>9</v>
  </rv>
  <rv s="0">
    <fb>41.183</fb>
    <v>29</v>
  </rv>
  <rv s="0">
    <fb>243</fb>
    <v>30</v>
  </rv>
  <rv s="0">
    <fb>2020.5170000000001</fb>
    <v>9</v>
  </rv>
  <rv s="0">
    <fb>133.85092657703501</fb>
    <v>31</v>
  </rv>
  <rv s="0">
    <fb>2.8858510729000902E-2</fb>
    <v>28</v>
  </rv>
  <rv s="0">
    <fb>108.516701140545</fb>
    <v>9</v>
  </rv>
  <rv s="0">
    <fb>5.9189999999999996</fb>
    <v>29</v>
  </rv>
  <rv s="0">
    <fb>0.67165079618888002</fb>
    <v>28</v>
  </rv>
  <rv s="0">
    <fb>5.3558141424821999</fb>
    <v>34</v>
  </rv>
  <rv s="0">
    <fb>47319624204.093803</fb>
    <v>33</v>
  </rv>
  <rv s="0">
    <fb>1.0797707999999999</fb>
    <v>28</v>
  </rv>
  <rv s="0">
    <fb>6.6033400000000006E-2</fb>
    <v>28</v>
  </rv>
  <rv s="2">
    <v>94</v>
    <v>7</v>
    <v>473</v>
    <v>7</v>
    <v>0</v>
    <v>Image of Democratic Republic of the Congo</v>
  </rv>
  <rv s="0">
    <fb>68.2</fb>
    <v>34</v>
  </rv>
  <rv s="1">
    <v>805306368</v>
    <v>Félix Tshisekedi (President)</v>
    <v>c33cb891-5387-79e5-c3ac-161bddd248b5</v>
    <v>en-US</v>
    <v>Generic</v>
  </rv>
  <rv s="1">
    <v>805306368</v>
    <v>Jean-Michel Sama Lukonde (Prime minister)</v>
    <v>3a92aae7-edf2-2ad7-bcc3-ade7c0b5fa53</v>
    <v>en-US</v>
    <v>Generic</v>
  </rv>
  <rv s="3">
    <v>209</v>
  </rv>
  <rv s="4">
    <v>https://www.bing.com/search?q=democratic+republic+of+the+congo&amp;form=skydnc</v>
    <v>Learn more on Bing</v>
  </rv>
  <rv s="0">
    <fb>60.368000000000002</fb>
    <v>34</v>
  </rv>
  <rv s="0">
    <fb>473</fb>
    <v>34</v>
  </rv>
  <rv s="0">
    <fb>0.18</fb>
    <v>32</v>
  </rv>
  <rv s="0">
    <fb>0.37426708410000004</fb>
    <v>28</v>
  </rv>
  <rv s="0">
    <fb>7.3999999999999996E-2</fb>
    <v>29</v>
  </rv>
  <rv s="0">
    <fb>95894118</fb>
    <v>9</v>
  </rv>
  <rv s="0">
    <fb>0.32</fb>
    <v>28</v>
  </rv>
  <rv s="0">
    <fb>0.48399999999999999</fb>
    <v>28</v>
  </rv>
  <rv s="0">
    <fb>5.5E-2</fb>
    <v>28</v>
  </rv>
  <rv s="0">
    <fb>0.1</fb>
    <v>28</v>
  </rv>
  <rv s="0">
    <fb>0.14499999999999999</fb>
    <v>28</v>
  </rv>
  <rv s="0">
    <fb>0.63462001800537104</fb>
    <v>28</v>
  </rv>
  <rv s="1">
    <v>536870912</v>
    <v>Équateur</v>
    <v>0f6db8a7-f756-4513-8871-9fce750158e0</v>
    <v>en-US</v>
    <v>Map</v>
  </rv>
  <rv s="1">
    <v>536870912</v>
    <v>Kasai-Occidental</v>
    <v>f109ad29-3f8e-4a1d-ba07-ff0b3b9ec275</v>
    <v>en-US</v>
    <v>Map</v>
  </rv>
  <rv s="1">
    <v>536870912</v>
    <v>Kasaï-Oriental</v>
    <v>19bed4cb-4bbb-4863-afdf-a7ac510bc840</v>
    <v>en-US</v>
    <v>Map</v>
  </rv>
  <rv s="1">
    <v>536870912</v>
    <v>Katanga Province</v>
    <v>56ae1879-db81-4f74-a52e-7fe9ed5ea5a2</v>
    <v>en-US</v>
    <v>Map</v>
  </rv>
  <rv s="1">
    <v>536870912</v>
    <v>Maniema</v>
    <v>061168d8-c9d6-4e36-a475-b6c1b6b53803</v>
    <v>en-US</v>
    <v>Map</v>
  </rv>
  <rv s="1">
    <v>536870912</v>
    <v>North Kivu</v>
    <v>cff98cf5-c18d-4744-b7fd-3460e4e602e4</v>
    <v>en-US</v>
    <v>Map</v>
  </rv>
  <rv s="1">
    <v>536870912</v>
    <v>South Kivu</v>
    <v>9e033254-96ff-4a56-bf8a-9bd770751374</v>
    <v>en-US</v>
    <v>Map</v>
  </rv>
  <rv s="3">
    <v>210</v>
  </rv>
  <rv s="0">
    <fb>0.10704062801046201</fb>
    <v>28</v>
  </rv>
  <rv s="3">
    <v>211</v>
  </rv>
  <rv s="0">
    <fb>0.50700000000000001</fb>
    <v>28</v>
  </rv>
  <rv s="0">
    <fb>4.2360000610351597E-2</fb>
    <v>35</v>
  </rv>
  <rv s="0">
    <fb>39095679</fb>
    <v>9</v>
  </rv>
  <rv s="8">
    <v>#VALUE!</v>
    <v>en-US</v>
    <v>ca4ca1f6-14e8-4ec4-828b-9f989adfdedf</v>
    <v>536870912</v>
    <v>1</v>
    <v>476</v>
    <v>46</v>
    <v>Democratic Republic of the Congo</v>
    <v>5</v>
    <v>6</v>
    <v>Map</v>
    <v>7</v>
    <v>477</v>
    <v>CD</v>
    <v>2977</v>
    <v>2978</v>
    <v>2979</v>
    <v>2980</v>
    <v>2981</v>
    <v>2968</v>
    <v>2982</v>
    <v>2983</v>
    <v>2984</v>
    <v>CDF</v>
    <v>The Democratic Republic of the Congo, also known as the DR Congo, Congo-Kinshasa, or simply the Congo, is a country in Central Africa. By land area, the country is the second-largest country in Africa and the 11th-largest in the world. With a ...</v>
    <v>2985</v>
    <v>2986</v>
    <v>2987</v>
    <v>2988</v>
    <v>1046</v>
    <v>2989</v>
    <v>2990</v>
    <v>2991</v>
    <v>2992</v>
    <v>2993</v>
    <v>2968</v>
    <v>2996</v>
    <v>2997</v>
    <v>2998</v>
    <v>2999</v>
    <v>3000</v>
    <v>Democratic Republic of the Congo</v>
    <v>Debout Congolais</v>
    <v>1220</v>
    <v>République démocratique du Congo</v>
    <v>3001</v>
    <v>3002</v>
    <v>3003</v>
    <v>1816</v>
    <v>3004</v>
    <v>3005</v>
    <v>2585</v>
    <v>3006</v>
    <v>3007</v>
    <v>3008</v>
    <v>3009</v>
    <v>3017</v>
    <v>3018</v>
    <v>3019</v>
    <v>3020</v>
    <v>3021</v>
    <v>Democratic Republic of the Congo</v>
    <v>3022</v>
    <v>mdp/vdpid/44</v>
  </rv>
  <rv s="1">
    <v>536870912</v>
    <v>Quito</v>
    <v>dfa87a53-572b-ac85-a4bb-f3f9e6216a7c</v>
    <v>en-US</v>
    <v>Map</v>
  </rv>
  <rv s="1">
    <v>536870912</v>
    <v>Pichincha Province</v>
    <v>f4e8db75-5a82-3d59-f5e9-bd08cf6fff8a</v>
    <v>en-US</v>
    <v>Map</v>
  </rv>
  <rv s="1">
    <v>536870912</v>
    <v>Quito Canton</v>
    <v>b0a53978-8f08-5f96-d482-3cc409acc76a</v>
    <v>en-US</v>
    <v>Map</v>
  </rv>
  <rv s="0">
    <fb>372.39</fb>
    <v>9</v>
  </rv>
  <rv s="1">
    <v>536870912</v>
    <v>Ecuador</v>
    <v>2079204c-c2a1-f4df-5ade-9c8e04ca07ce</v>
    <v>en-US</v>
    <v>Map</v>
  </rv>
  <rv s="2">
    <v>95</v>
    <v>7</v>
    <v>478</v>
    <v>7</v>
    <v>0</v>
    <v>Image of Quito</v>
  </rv>
  <rv s="0">
    <fb>-0.22</fb>
    <v>0</v>
  </rv>
  <rv s="1">
    <v>805306368</v>
    <v>Pabel Muñoz (Mayor)</v>
    <v>4a862791-704a-2dc7-5386-a029cba346b5</v>
    <v>en-US</v>
    <v>Generic</v>
  </rv>
  <rv s="3">
    <v>212</v>
  </rv>
  <rv s="4">
    <v>https://www.bing.com/search?q=quito&amp;form=skydnc</v>
    <v>Learn more on Bing</v>
  </rv>
  <rv s="0">
    <fb>-78.512500000000003</fb>
    <v>0</v>
  </rv>
  <rv s="0">
    <fb>1763275</fb>
    <v>9</v>
  </rv>
  <rv s="23">
    <v>#VALUE!</v>
    <v>en-US</v>
    <v>dfa87a53-572b-ac85-a4bb-f3f9e6216a7c</v>
    <v>536870912</v>
    <v>1</v>
    <v>479</v>
    <v>179</v>
    <v>Quito</v>
    <v>5</v>
    <v>6</v>
    <v>Map</v>
    <v>7</v>
    <v>61</v>
    <v>3025</v>
    <v>3026</v>
    <v>3027</v>
    <v>3028</v>
    <v>Quito, officially San Francisco de Quito, is the capital of Ecuador, with an estimated population of 2.8 million in its metropolitan area. It is also the capital of the province of Pichincha. Quito is located in a valley on the eastern slopes of ...</v>
    <v>3029</v>
    <v>3030</v>
    <v>3032</v>
    <v>3033</v>
    <v>3034</v>
    <v>Quito</v>
    <v>3035</v>
    <v>Quito</v>
    <v>mdp/vdpid/6350082300469837825</v>
  </rv>
  <rv s="0">
    <fb>0.22209695603156698</fb>
    <v>28</v>
  </rv>
  <rv s="0">
    <fb>257204.27</fb>
    <v>9</v>
  </rv>
  <rv s="0">
    <fb>41000</fb>
    <v>9</v>
  </rv>
  <rv s="0">
    <fb>19.719000000000001</fb>
    <v>29</v>
  </rv>
  <rv s="0">
    <fb>593</fb>
    <v>30</v>
  </rv>
  <rv s="0">
    <fb>41154.741000000002</fb>
    <v>9</v>
  </rv>
  <rv s="0">
    <fb>124.142674729473</fb>
    <v>31</v>
  </rv>
  <rv s="0">
    <fb>2.6601251546613603E-3</fb>
    <v>28</v>
  </rv>
  <rv s="0">
    <fb>1376.3931153262699</fb>
    <v>9</v>
  </rv>
  <rv s="0">
    <fb>2.427</fb>
    <v>29</v>
  </rv>
  <rv s="0">
    <fb>0.50205952611632298</fb>
    <v>28</v>
  </rv>
  <rv s="0">
    <fb>86.884660364734302</fb>
    <v>34</v>
  </rv>
  <rv s="0">
    <fb>0.61</fb>
    <v>32</v>
  </rv>
  <rv s="0">
    <fb>107435665000</fb>
    <v>33</v>
  </rv>
  <rv s="0">
    <fb>1.0326795</fb>
    <v>28</v>
  </rv>
  <rv s="0">
    <fb>0.4489223</fb>
    <v>28</v>
  </rv>
  <rv s="2">
    <v>96</v>
    <v>7</v>
    <v>481</v>
    <v>7</v>
    <v>0</v>
    <v>Image of Ecuador</v>
  </rv>
  <rv s="1">
    <v>536870912</v>
    <v>Guayaquil</v>
    <v>92f08a91-8f1e-636f-8b59-cfe6db9e4eec</v>
    <v>en-US</v>
    <v>Map</v>
  </rv>
  <rv s="1">
    <v>805306368</v>
    <v>Daniel Noboa (President)</v>
    <v>ab584480-89aa-1c0e-40b6-0ffc6980662b</v>
    <v>en-US</v>
    <v>Generic</v>
  </rv>
  <rv s="1">
    <v>805306368</v>
    <v>Verónica Abad Rojas (Vice president)</v>
    <v>23478539-2abc-9338-b6a3-b00cc85bbfed</v>
    <v>en-US</v>
    <v>Generic</v>
  </rv>
  <rv s="3">
    <v>213</v>
  </rv>
  <rv s="4">
    <v>https://www.bing.com/search?q=ecuador&amp;form=skydnc</v>
    <v>Learn more on Bing</v>
  </rv>
  <rv s="0">
    <fb>76.8</fb>
    <v>34</v>
  </rv>
  <rv s="0">
    <fb>747000000</fb>
    <v>33</v>
  </rv>
  <rv s="0">
    <fb>59</fb>
    <v>34</v>
  </rv>
  <rv s="0">
    <fb>2.46</fb>
    <v>32</v>
  </rv>
  <rv s="0">
    <fb>0.43712133000000003</fb>
    <v>28</v>
  </rv>
  <rv s="0">
    <fb>2.0367999999999999</fb>
    <v>29</v>
  </rv>
  <rv s="0">
    <fb>18001000</fb>
    <v>9</v>
  </rv>
  <rv s="0">
    <fb>0.21199999999999999</fb>
    <v>28</v>
  </rv>
  <rv s="0">
    <fb>0.34399999999999997</fb>
    <v>28</v>
  </rv>
  <rv s="0">
    <fb>0.51</fb>
    <v>28</v>
  </rv>
  <rv s="0">
    <fb>9.1999999999999998E-2</fb>
    <v>28</v>
  </rv>
  <rv s="0">
    <fb>0.14000000000000001</fb>
    <v>28</v>
  </rv>
  <rv s="0">
    <fb>0.68038002014160204</fb>
    <v>28</v>
  </rv>
  <rv s="1">
    <v>536870912</v>
    <v>Azuay Province</v>
    <v>2cfb014a-a9af-60a1-4b8f-eb162fbe6e72</v>
    <v>en-US</v>
    <v>Map</v>
  </rv>
  <rv s="1">
    <v>536870912</v>
    <v>Bolívar Province</v>
    <v>4d552046-3a62-f923-d3c4-56ddfbf58477</v>
    <v>en-US</v>
    <v>Map</v>
  </rv>
  <rv s="1">
    <v>536870912</v>
    <v>Cañar Province</v>
    <v>a9ec6560-75bb-6acb-2850-5ee8b3c0e70d</v>
    <v>en-US</v>
    <v>Map</v>
  </rv>
  <rv s="1">
    <v>536870912</v>
    <v>Carchi Province</v>
    <v>6468a0ed-1faa-e59e-3c47-ec3e06264004</v>
    <v>en-US</v>
    <v>Map</v>
  </rv>
  <rv s="1">
    <v>536870912</v>
    <v>Chimborazo Province</v>
    <v>8776cfea-2701-3c6f-4474-bbac439954bf</v>
    <v>en-US</v>
    <v>Map</v>
  </rv>
  <rv s="1">
    <v>536870912</v>
    <v>Cotopaxi Province</v>
    <v>c06a9fc2-f34f-e68c-9741-9cc620c63e4d</v>
    <v>en-US</v>
    <v>Map</v>
  </rv>
  <rv s="1">
    <v>536870912</v>
    <v>El Oro Province</v>
    <v>eb5def5b-73f4-3340-75cc-09e9ce42c3fb</v>
    <v>en-US</v>
    <v>Map</v>
  </rv>
  <rv s="1">
    <v>536870912</v>
    <v>Esmeraldas Province</v>
    <v>ac309a0c-71b1-692d-39ec-110d81cf9f9f</v>
    <v>en-US</v>
    <v>Map</v>
  </rv>
  <rv s="1">
    <v>536870912</v>
    <v>Galápagos Province</v>
    <v>56ad541f-3fad-e18e-448d-20d5660471b1</v>
    <v>en-US</v>
    <v>Map</v>
  </rv>
  <rv s="1">
    <v>536870912</v>
    <v>Guayas Province</v>
    <v>472795a7-7487-ff7b-83a0-7eb6b94a297f</v>
    <v>en-US</v>
    <v>Map</v>
  </rv>
  <rv s="1">
    <v>536870912</v>
    <v>Imbabura Province</v>
    <v>b55e8a0c-2c01-bedd-7ab6-6a27556de38b</v>
    <v>en-US</v>
    <v>Map</v>
  </rv>
  <rv s="1">
    <v>536870912</v>
    <v>Loja Province</v>
    <v>b0bacdd5-a2fc-0810-4f62-4031e901c349</v>
    <v>en-US</v>
    <v>Map</v>
  </rv>
  <rv s="1">
    <v>536870912</v>
    <v>Manabí Province</v>
    <v>b6790b9c-12f8-5243-0a7b-3dcdb354b2b3</v>
    <v>en-US</v>
    <v>Map</v>
  </rv>
  <rv s="1">
    <v>536870912</v>
    <v>Morona-Santiago Province</v>
    <v>2ed9fd24-df04-212a-d4d9-9b4b29ad2b2d</v>
    <v>en-US</v>
    <v>Map</v>
  </rv>
  <rv s="1">
    <v>536870912</v>
    <v>Napo Province</v>
    <v>621a491f-2896-9a1d-47d2-a574afc14ace</v>
    <v>en-US</v>
    <v>Map</v>
  </rv>
  <rv s="1">
    <v>536870912</v>
    <v>Orellana Province</v>
    <v>49c9bc21-2a8d-a97d-ae97-23ca6dd7c735</v>
    <v>en-US</v>
    <v>Map</v>
  </rv>
  <rv s="1">
    <v>536870912</v>
    <v>Pastaza Province</v>
    <v>6817a2a5-110b-9f8f-f0f5-b13e6624dc59</v>
    <v>en-US</v>
    <v>Map</v>
  </rv>
  <rv s="1">
    <v>536870912</v>
    <v>Santa Elena Province</v>
    <v>fcff532e-26eb-8c4a-404f-8fc422552e15</v>
    <v>en-US</v>
    <v>Map</v>
  </rv>
  <rv s="1">
    <v>536870912</v>
    <v>Santo Domingo de los Tsáchilas Province</v>
    <v>cc2d928b-7e0d-05a2-5a13-c73529a5cda5</v>
    <v>en-US</v>
    <v>Map</v>
  </rv>
  <rv s="1">
    <v>536870912</v>
    <v>Sucumbíos Province</v>
    <v>ebfa2524-d55a-4b2c-ac5d-113b02b7f1b0</v>
    <v>en-US</v>
    <v>Map</v>
  </rv>
  <rv s="1">
    <v>536870912</v>
    <v>Tungurahua Province</v>
    <v>ee9cb293-dbab-c572-3cae-cffcd293f198</v>
    <v>en-US</v>
    <v>Map</v>
  </rv>
  <rv s="1">
    <v>536870912</v>
    <v>Zamora-Chinchipe Province</v>
    <v>521e2066-d6bb-80df-996f-3f406f806d03</v>
    <v>en-US</v>
    <v>Map</v>
  </rv>
  <rv s="1">
    <v>536870912</v>
    <v>Los Ríos Province</v>
    <v>522c5a50-5b8f-afec-3199-c8ca4eefcf8e</v>
    <v>en-US</v>
    <v>Map</v>
  </rv>
  <rv s="3">
    <v>214</v>
  </rv>
  <rv s="0">
    <fb>3.9679999351501502E-2</fb>
    <v>35</v>
  </rv>
  <rv s="0">
    <fb>11116711</fb>
    <v>9</v>
  </rv>
  <rv s="44">
    <v>#VALUE!</v>
    <v>en-US</v>
    <v>2079204c-c2a1-f4df-5ade-9c8e04ca07ce</v>
    <v>536870912</v>
    <v>1</v>
    <v>484</v>
    <v>485</v>
    <v>Ecuador</v>
    <v>5</v>
    <v>6</v>
    <v>Map</v>
    <v>7</v>
    <v>486</v>
    <v>EC</v>
    <v>3037</v>
    <v>3038</v>
    <v>3039</v>
    <v>3040</v>
    <v>3041</v>
    <v>3024</v>
    <v>3042</v>
    <v>3043</v>
    <v>3044</v>
    <v>USD</v>
    <v>Ecuador, officially the Republic of Ecuador, is a country in northwestern South America, bordered by Colombia on the north, Peru on the east and south, and the Pacific Ocean on the west. It also includes the Galápagos Islands in the Pacific, ...</v>
    <v>3045</v>
    <v>3046</v>
    <v>3047</v>
    <v>3048</v>
    <v>3049</v>
    <v>3050</v>
    <v>3051</v>
    <v>3052</v>
    <v>3053</v>
    <v>2331</v>
    <v>3054</v>
    <v>3057</v>
    <v>3058</v>
    <v>3059</v>
    <v>3060</v>
    <v>3061</v>
    <v>3062</v>
    <v>Ecuador</v>
    <v>Salve, Oh Patria</v>
    <v>2185</v>
    <v>República del Ecuador</v>
    <v>3063</v>
    <v>3064</v>
    <v>3065</v>
    <v>3066</v>
    <v>3067</v>
    <v>3068</v>
    <v>2420</v>
    <v>1359</v>
    <v>3069</v>
    <v>3070</v>
    <v>3071</v>
    <v>3095</v>
    <v>876</v>
    <v>3067</v>
    <v>3096</v>
    <v>Ecuador</v>
    <v>3097</v>
    <v>mdp/vdpid/66</v>
  </rv>
  <rv s="1">
    <v>536870912</v>
    <v>Cairo</v>
    <v>f339e71b-dff6-f428-3624-c707f5baa04c</v>
    <v>en-US</v>
    <v>Map</v>
  </rv>
  <rv s="1">
    <v>536870912</v>
    <v>Cairo Governorate</v>
    <v>40d749c0-d713-814e-ef3c-7915083a10e8</v>
    <v>en-US</v>
    <v>Map</v>
  </rv>
  <rv s="0">
    <fb>528</fb>
    <v>9</v>
  </rv>
  <rv s="1">
    <v>536870912</v>
    <v>Egypt</v>
    <v>7af820a7-1c8d-f12a-0ca9-87e192e82cee</v>
    <v>en-US</v>
    <v>Map</v>
  </rv>
  <rv s="2">
    <v>97</v>
    <v>7</v>
    <v>487</v>
    <v>7</v>
    <v>0</v>
    <v>Image of Cairo</v>
  </rv>
  <rv s="1">
    <v>805306368</v>
    <v>Ibrahim Saber Khalil (Governor)</v>
    <v>b228107e-4af7-10da-bfe6-9068d7ca2bd2</v>
    <v>en-US</v>
    <v>Generic</v>
  </rv>
  <rv s="3">
    <v>215</v>
  </rv>
  <rv s="4">
    <v>https://www.bing.com/search?q=cairo+egypt&amp;form=skydnc</v>
    <v>Learn more on Bing</v>
  </rv>
  <rv s="0">
    <fb>10100166</fb>
    <v>9</v>
  </rv>
  <rv s="5">
    <v>#VALUE!</v>
    <v>en-US</v>
    <v>f339e71b-dff6-f428-3624-c707f5baa04c</v>
    <v>536870912</v>
    <v>1</v>
    <v>488</v>
    <v>3</v>
    <v>Cairo</v>
    <v>5</v>
    <v>6</v>
    <v>Map</v>
    <v>7</v>
    <v>442</v>
    <v>3100</v>
    <v>3100</v>
    <v>3101</v>
    <v>3102</v>
    <v>Cairo is the capital and largest city of Egypt and the Cairo Governorate, being home to more than 10 million people. It is also part of the largest urban agglomeration in Africa, the Arab world, and the Middle East. The Greater Cairo ...</v>
    <v>3103</v>
    <v>10</v>
    <v>3105</v>
    <v>3106</v>
    <v>11</v>
    <v>Cairo</v>
    <v>3107</v>
    <v>2730</v>
    <v>Cairo</v>
    <v>mdp/vdpid/7263820929786970117</v>
  </rv>
  <rv s="0">
    <fb>3.75083632480913E-2</fb>
    <v>28</v>
  </rv>
  <rv s="0">
    <fb>1010407.87</fb>
    <v>9</v>
  </rv>
  <rv s="0">
    <fb>836000</fb>
    <v>9</v>
  </rv>
  <rv s="0">
    <fb>26.379000000000001</fb>
    <v>29</v>
  </rv>
  <rv s="0">
    <fb>20</fb>
    <v>30</v>
  </rv>
  <rv s="0">
    <fb>238560.35200000001</fb>
    <v>9</v>
  </rv>
  <rv s="0">
    <fb>288.56670071116298</fb>
    <v>31</v>
  </rv>
  <rv s="0">
    <fb>9.1505022263158792E-2</fb>
    <v>28</v>
  </rv>
  <rv s="0">
    <fb>1683.2135182955701</fb>
    <v>9</v>
  </rv>
  <rv s="0">
    <fb>3.3260000000000001</fb>
    <v>29</v>
  </rv>
  <rv s="0">
    <fb>7.3936409135688501E-4</fb>
    <v>28</v>
  </rv>
  <rv s="0">
    <fb>97.928929787843501</fb>
    <v>34</v>
  </rv>
  <rv s="0">
    <fb>303175127597.521</fb>
    <v>33</v>
  </rv>
  <rv s="0">
    <fb>1.0628493000000001</fb>
    <v>28</v>
  </rv>
  <rv s="0">
    <fb>0.35164520000000005</fb>
    <v>28</v>
  </rv>
  <rv s="2">
    <v>98</v>
    <v>7</v>
    <v>490</v>
    <v>7</v>
    <v>0</v>
    <v>Image of Egypt</v>
  </rv>
  <rv s="0">
    <fb>18.100000000000001</fb>
    <v>34</v>
  </rv>
  <rv s="1">
    <v>805306368</v>
    <v>Abdel Fattah el-Sisi (President)</v>
    <v>bd682cfc-4153-2740-55a8-5092e9ac12e6</v>
    <v>en-US</v>
    <v>Generic</v>
  </rv>
  <rv s="1">
    <v>805306368</v>
    <v>Mostafa Madbouly (Prime minister)</v>
    <v>20dec001-59cb-3582-f4b1-c36057f3c8dd</v>
    <v>en-US</v>
    <v>Generic</v>
  </rv>
  <rv s="3">
    <v>216</v>
  </rv>
  <rv s="4">
    <v>https://www.bing.com/search?q=egypt&amp;form=skydnc</v>
    <v>Learn more on Bing</v>
  </rv>
  <rv s="0">
    <fb>71.825000000000003</fb>
    <v>34</v>
  </rv>
  <rv s="0">
    <fb>44199850000</fb>
    <v>33</v>
  </rv>
  <rv s="0">
    <fb>37</fb>
    <v>34</v>
  </rv>
  <rv s="3">
    <v>217</v>
  </rv>
  <rv s="0">
    <fb>0.61958965460000004</fb>
    <v>28</v>
  </rv>
  <rv s="0">
    <fb>0.4521</fb>
    <v>29</v>
  </rv>
  <rv s="0">
    <fb>110990103</fb>
    <v>9</v>
  </rv>
  <rv s="0">
    <fb>0.21</fb>
    <v>28</v>
  </rv>
  <rv s="0">
    <fb>0.26899999999999996</fb>
    <v>28</v>
  </rv>
  <rv s="0">
    <fb>0.41</fb>
    <v>28</v>
  </rv>
  <rv s="0">
    <fb>0.09</fb>
    <v>28</v>
  </rv>
  <rv s="0">
    <fb>0.128</fb>
    <v>28</v>
  </rv>
  <rv s="0">
    <fb>0.16200000000000001</fb>
    <v>28</v>
  </rv>
  <rv s="0">
    <fb>0.46412998199462896</fb>
    <v>28</v>
  </rv>
  <rv s="1">
    <v>536870912</v>
    <v>Alexandria Governorate</v>
    <v>8003181b-e7bf-ddf4-a199-71a05b6ade79</v>
    <v>en-US</v>
    <v>Map</v>
  </rv>
  <rv s="1">
    <v>536870912</v>
    <v>Aswan Governorate</v>
    <v>511db9d8-aac1-9ab1-13bb-6138eb5616c4</v>
    <v>en-US</v>
    <v>Map</v>
  </rv>
  <rv s="1">
    <v>536870912</v>
    <v>Asyut Governorate</v>
    <v>38276c64-ea7a-410d-24b7-64beb756024c</v>
    <v>en-US</v>
    <v>Map</v>
  </rv>
  <rv s="1">
    <v>536870912</v>
    <v>Beheira Governorate</v>
    <v>cb4090bf-d2f8-2204-d585-476d3df37a8f</v>
    <v>en-US</v>
    <v>Map</v>
  </rv>
  <rv s="1">
    <v>536870912</v>
    <v>Beni Suef Governorate</v>
    <v>badcf7b4-a9e2-5517-1bdd-c780c2f26c72</v>
    <v>en-US</v>
    <v>Map</v>
  </rv>
  <rv s="1">
    <v>536870912</v>
    <v>Dakahlia Governorate</v>
    <v>fdeeb0b3-047e-b574-74e0-f88c2d7a040c</v>
    <v>en-US</v>
    <v>Map</v>
  </rv>
  <rv s="1">
    <v>536870912</v>
    <v>Damietta Governorate</v>
    <v>752a9b04-16cc-3931-5ca2-fb0e1925be23</v>
    <v>en-US</v>
    <v>Map</v>
  </rv>
  <rv s="1">
    <v>536870912</v>
    <v>Faiyum Governorate</v>
    <v>eb26f94e-2766-c3d3-35f4-50cb2eb0ce55</v>
    <v>en-US</v>
    <v>Map</v>
  </rv>
  <rv s="1">
    <v>536870912</v>
    <v>Gharbia Governorate</v>
    <v>539d1f2a-e56b-981b-b68c-d4ff7d3279a2</v>
    <v>en-US</v>
    <v>Map</v>
  </rv>
  <rv s="1">
    <v>536870912</v>
    <v>Giza Governorate</v>
    <v>23a0d5e0-99dd-b522-e54d-b11659fab6ca</v>
    <v>en-US</v>
    <v>Map</v>
  </rv>
  <rv s="1">
    <v>536870912</v>
    <v>Ismailia Governorate</v>
    <v>cdc25da2-596e-d166-dd41-c8036a65ade5</v>
    <v>en-US</v>
    <v>Map</v>
  </rv>
  <rv s="1">
    <v>536870912</v>
    <v>Kafr El Sheikh Governorate</v>
    <v>308b3991-f02f-c6c6-b267-441ab51f1699</v>
    <v>en-US</v>
    <v>Map</v>
  </rv>
  <rv s="1">
    <v>536870912</v>
    <v>Matrouh Governorate</v>
    <v>f74dd9b0-23df-6191-1303-3b2ba17dc003</v>
    <v>en-US</v>
    <v>Map</v>
  </rv>
  <rv s="1">
    <v>536870912</v>
    <v>Minya Governorate</v>
    <v>e95f5f87-062b-7638-1248-4a3562370238</v>
    <v>en-US</v>
    <v>Map</v>
  </rv>
  <rv s="1">
    <v>536870912</v>
    <v>Monufia Governorate</v>
    <v>3708df96-eaa0-3c11-f327-c95a8d7a76d1</v>
    <v>en-US</v>
    <v>Map</v>
  </rv>
  <rv s="1">
    <v>536870912</v>
    <v>New Valley Governorate</v>
    <v>37340c74-0dd0-16d1-be47-975ac31f8ea1</v>
    <v>en-US</v>
    <v>Map</v>
  </rv>
  <rv s="1">
    <v>536870912</v>
    <v>North Sinai Governorate</v>
    <v>094f5c93-c38c-43cc-3c97-af2da0fb59d5</v>
    <v>en-US</v>
    <v>Map</v>
  </rv>
  <rv s="1">
    <v>536870912</v>
    <v>Port Said Governorate</v>
    <v>103ea99c-5f99-dc51-ef52-6b804e4d5070</v>
    <v>en-US</v>
    <v>Map</v>
  </rv>
  <rv s="1">
    <v>536870912</v>
    <v>Qalyubiyya Governorate</v>
    <v>5da2d5de-8ce0-0ea6-1d83-c5eba8c9ec46</v>
    <v>en-US</v>
    <v>Map</v>
  </rv>
  <rv s="1">
    <v>536870912</v>
    <v>Qena Governorate</v>
    <v>13bc95f2-9ce1-a4be-cde3-26eb1e242951</v>
    <v>en-US</v>
    <v>Map</v>
  </rv>
  <rv s="1">
    <v>536870912</v>
    <v>Red Sea Governorate</v>
    <v>e9f5f47b-c7d2-72b7-9cdd-3b8e16d774b4</v>
    <v>en-US</v>
    <v>Map</v>
  </rv>
  <rv s="1">
    <v>536870912</v>
    <v>Sharqia Governorate</v>
    <v>1bccb0aa-521d-f0af-c496-d67e43635dba</v>
    <v>en-US</v>
    <v>Map</v>
  </rv>
  <rv s="1">
    <v>536870912</v>
    <v>Sohag Governorate</v>
    <v>d302a61c-56d1-2127-6b4b-811b992d8f35</v>
    <v>en-US</v>
    <v>Map</v>
  </rv>
  <rv s="1">
    <v>536870912</v>
    <v>South Sinai Governorate</v>
    <v>efb866ef-8727-ced5-9a50-36d860c1201e</v>
    <v>en-US</v>
    <v>Map</v>
  </rv>
  <rv s="1">
    <v>536870912</v>
    <v>Suez Governorate</v>
    <v>c4378354-0b78-e7be-8a8b-ebee69155c12</v>
    <v>en-US</v>
    <v>Map</v>
  </rv>
  <rv s="1">
    <v>536870912</v>
    <v>Luxor Governorate</v>
    <v>94700196-ca2a-7d87-d77b-cc43f44dfc99</v>
    <v>en-US</v>
    <v>Map</v>
  </rv>
  <rv s="1">
    <v>536870912</v>
    <v>Helwan Governorate</v>
    <v>620896cd-1897-57e1-4303-f871d3044d3b</v>
    <v>en-US</v>
    <v>Map</v>
  </rv>
  <rv s="3">
    <v>218</v>
  </rv>
  <rv s="0">
    <fb>0.12519211097017099</fb>
    <v>28</v>
  </rv>
  <rv s="0">
    <fb>0.107600002288818</fb>
    <v>35</v>
  </rv>
  <rv s="0">
    <fb>42895824</fb>
    <v>9</v>
  </rv>
  <rv s="40">
    <v>#VALUE!</v>
    <v>en-US</v>
    <v>7af820a7-1c8d-f12a-0ca9-87e192e82cee</v>
    <v>536870912</v>
    <v>1</v>
    <v>493</v>
    <v>433</v>
    <v>Egypt</v>
    <v>5</v>
    <v>6</v>
    <v>Map</v>
    <v>7</v>
    <v>494</v>
    <v>EG</v>
    <v>3109</v>
    <v>3110</v>
    <v>3111</v>
    <v>3112</v>
    <v>3113</v>
    <v>3099</v>
    <v>3114</v>
    <v>3115</v>
    <v>3116</v>
    <v>EGP</v>
    <v>Egypt, officially the Arab Republic of Egypt, is a country spanning the northeast corner of Africa and southwest corner of Asia via the Sinai Peninsula. It is bordered by the Mediterranean Sea to the north, the Gaza Strip of Palestine and Israel ...</v>
    <v>3117</v>
    <v>3118</v>
    <v>3119</v>
    <v>3120</v>
    <v>2925</v>
    <v>3121</v>
    <v>3122</v>
    <v>3123</v>
    <v>3124</v>
    <v>3125</v>
    <v>3099</v>
    <v>3128</v>
    <v>3129</v>
    <v>3130</v>
    <v>3131</v>
    <v>3132</v>
    <v>Egypt</v>
    <v>Bilady, Bilady, Bilady</v>
    <v>3133</v>
    <v>جُمهورِيّةُ مِصرَ العَرَبيّةِ</v>
    <v>3134</v>
    <v>3135</v>
    <v>3136</v>
    <v>3137</v>
    <v>3138</v>
    <v>3139</v>
    <v>386</v>
    <v>3140</v>
    <v>3141</v>
    <v>3142</v>
    <v>3143</v>
    <v>3171</v>
    <v>3172</v>
    <v>2730</v>
    <v>1286</v>
    <v>3173</v>
    <v>Egypt</v>
    <v>3174</v>
    <v>mdp/vdpid/67</v>
  </rv>
  <rv s="1">
    <v>536870912</v>
    <v>San Salvador</v>
    <v>587a165c-9d84-6297-2dae-a72adf7d1941</v>
    <v>en-US</v>
    <v>Map</v>
  </rv>
  <rv s="1">
    <v>536870912</v>
    <v>San Salvador Department</v>
    <v>eb3a05c2-b1ee-ea78-fd1f-cff62f41f477</v>
    <v>en-US</v>
    <v>Map</v>
  </rv>
  <rv s="0">
    <fb>72.25</fb>
    <v>9</v>
  </rv>
  <rv s="1">
    <v>536870912</v>
    <v>El Salvador</v>
    <v>3e2414ae-fd79-22d5-9263-1d9dbcf212a5</v>
    <v>en-US</v>
    <v>Map</v>
  </rv>
  <rv s="2">
    <v>99</v>
    <v>7</v>
    <v>495</v>
    <v>7</v>
    <v>0</v>
    <v>Image of San Salvador</v>
  </rv>
  <rv s="0">
    <fb>13.698963888888899</fb>
    <v>0</v>
  </rv>
  <rv s="1">
    <v>805306368</v>
    <v>Mario Durán (Mayor)</v>
    <v>98fdc512-bc0e-8dd2-670c-591c3b1e6641</v>
    <v>en-US</v>
    <v>Generic</v>
  </rv>
  <rv s="3">
    <v>219</v>
  </rv>
  <rv s="4">
    <v>https://www.bing.com/search?q=san+salvador&amp;form=skydnc</v>
    <v>Learn more on Bing</v>
  </rv>
  <rv s="0">
    <fb>-89.191427777777804</fb>
    <v>0</v>
  </rv>
  <rv s="0">
    <fb>694788</fb>
    <v>9</v>
  </rv>
  <rv s="7">
    <v>#VALUE!</v>
    <v>en-US</v>
    <v>587a165c-9d84-6297-2dae-a72adf7d1941</v>
    <v>536870912</v>
    <v>1</v>
    <v>496</v>
    <v>38</v>
    <v>San Salvador</v>
    <v>5</v>
    <v>6</v>
    <v>Map</v>
    <v>7</v>
    <v>216</v>
    <v>3177</v>
    <v>3178</v>
    <v>3179</v>
    <v>San Salvador is the capital and the largest city of El Salvador and its eponymous department. It is the country's largest agglomeration, serving as the country's political, cultural, educational and financial center. The municipality of San ...</v>
    <v>3180</v>
    <v>3181</v>
    <v>3183</v>
    <v>3184</v>
    <v>3185</v>
    <v>San Salvador</v>
    <v>3186</v>
    <v>1176</v>
    <v>San Salvador</v>
    <v>mdp/vdpid/5554117791331647489</v>
  </rv>
  <rv s="0">
    <fb>0.76447876447876495</fb>
    <v>28</v>
  </rv>
  <rv s="0">
    <fb>20742</fb>
    <v>9</v>
  </rv>
  <rv s="0">
    <fb>42000</fb>
    <v>9</v>
  </rv>
  <rv s="0">
    <fb>18.253</fb>
    <v>29</v>
  </rv>
  <rv s="0">
    <fb>503</fb>
    <v>30</v>
  </rv>
  <rv s="0">
    <fb>7168.9849999999997</fb>
    <v>9</v>
  </rv>
  <rv s="0">
    <fb>111.228352310936</fb>
    <v>31</v>
  </rv>
  <rv s="0">
    <fb>7.5324135002432689E-4</fb>
    <v>28</v>
  </rv>
  <rv s="0">
    <fb>937.07387681394198</fb>
    <v>9</v>
  </rv>
  <rv s="0">
    <fb>2.0390000000000001</fb>
    <v>29</v>
  </rv>
  <rv s="0">
    <fb>0.12577220371791301</fb>
    <v>28</v>
  </rv>
  <rv s="0">
    <fb>48.4295873408768</fb>
    <v>34</v>
  </rv>
  <rv s="0">
    <fb>0.83</fb>
    <v>32</v>
  </rv>
  <rv s="0">
    <fb>27022640000</fb>
    <v>33</v>
  </rv>
  <rv s="0">
    <fb>0.94827110000000003</fb>
    <v>28</v>
  </rv>
  <rv s="0">
    <fb>0.29371930000000002</fb>
    <v>28</v>
  </rv>
  <rv s="2">
    <v>100</v>
    <v>7</v>
    <v>498</v>
    <v>7</v>
    <v>0</v>
    <v>Image of El Salvador</v>
  </rv>
  <rv s="0">
    <fb>11.8</fb>
    <v>34</v>
  </rv>
  <rv s="1">
    <v>805306368</v>
    <v>Nayib Bukele (President)</v>
    <v>cde0bf45-490d-602c-acd7-072e184ef4d8</v>
    <v>en-US</v>
    <v>Generic</v>
  </rv>
  <rv s="1">
    <v>805306368</v>
    <v>Félix Ulloa (Vice president)</v>
    <v>5ea8f1cc-3cc8-089e-03ff-07837f05efd2</v>
    <v>en-US</v>
    <v>Generic</v>
  </rv>
  <rv s="3">
    <v>220</v>
  </rv>
  <rv s="4">
    <v>https://www.bing.com/search?q=el+salvador&amp;form=skydnc</v>
    <v>Learn more on Bing</v>
  </rv>
  <rv s="0">
    <fb>73.096000000000004</fb>
    <v>34</v>
  </rv>
  <rv s="0">
    <fb>46</fb>
    <v>34</v>
  </rv>
  <rv s="0">
    <fb>0.5</fb>
    <v>32</v>
  </rv>
  <rv s="3">
    <v>221</v>
  </rv>
  <rv s="0">
    <fb>0.27861386799999999</fb>
    <v>28</v>
  </rv>
  <rv s="0">
    <fb>1.5662</fb>
    <v>29</v>
  </rv>
  <rv s="0">
    <fb>6336392</fb>
    <v>9</v>
  </rv>
  <rv s="0">
    <fb>0.29399999999999998</fb>
    <v>28</v>
  </rv>
  <rv s="0">
    <fb>6.2E-2</fb>
    <v>28</v>
  </rv>
  <rv s="0">
    <fb>0.109</fb>
    <v>28</v>
  </rv>
  <rv s="0">
    <fb>0.59097000122070298</fb>
    <v>28</v>
  </rv>
  <rv s="1">
    <v>536870912</v>
    <v>Ahuachapán Department</v>
    <v>c5faad1f-7633-691d-da13-a83792f91877</v>
    <v>en-US</v>
    <v>Map</v>
  </rv>
  <rv s="1">
    <v>536870912</v>
    <v>Cabañas Department</v>
    <v>a2fa64da-376c-cc0f-31a3-e7e06914caeb</v>
    <v>en-US</v>
    <v>Map</v>
  </rv>
  <rv s="1">
    <v>536870912</v>
    <v>Chalatenango Department</v>
    <v>72b5046c-2292-3938-9639-c2b77d44f65a</v>
    <v>en-US</v>
    <v>Map</v>
  </rv>
  <rv s="1">
    <v>536870912</v>
    <v>Cuscatlán Department</v>
    <v>cb39f195-3263-b868-8e71-561dc6cc6bc4</v>
    <v>en-US</v>
    <v>Map</v>
  </rv>
  <rv s="1">
    <v>536870912</v>
    <v>La Libertad Department</v>
    <v>0ab85b8c-3d24-352b-fc1f-b99eeb420981</v>
    <v>en-US</v>
    <v>Map</v>
  </rv>
  <rv s="1">
    <v>536870912</v>
    <v>La Paz Department</v>
    <v>f81604d1-2e57-99dd-6c0e-231c0949a2e5</v>
    <v>en-US</v>
    <v>Map</v>
  </rv>
  <rv s="1">
    <v>536870912</v>
    <v>La Unión Department</v>
    <v>69fcbc6d-77ce-0230-6892-b46c5ed4c678</v>
    <v>en-US</v>
    <v>Map</v>
  </rv>
  <rv s="1">
    <v>536870912</v>
    <v>Morazán Department</v>
    <v>eeef09c6-c55b-b062-f8d1-f908ad1e149c</v>
    <v>en-US</v>
    <v>Map</v>
  </rv>
  <rv s="1">
    <v>536870912</v>
    <v>San Miguel Department</v>
    <v>dc0de946-054c-e198-3573-4826e9cbfb04</v>
    <v>en-US</v>
    <v>Map</v>
  </rv>
  <rv s="1">
    <v>536870912</v>
    <v>San Vicente Department</v>
    <v>3dcec651-472d-20f2-70d7-b9c6dcee52ec</v>
    <v>en-US</v>
    <v>Map</v>
  </rv>
  <rv s="1">
    <v>536870912</v>
    <v>Santa Ana Department</v>
    <v>70b3638a-ed76-2a70-1eb2-fbafbe4c08e8</v>
    <v>en-US</v>
    <v>Map</v>
  </rv>
  <rv s="1">
    <v>536870912</v>
    <v>Sonsonate Department</v>
    <v>d43c8199-be11-68e7-9336-634720044921</v>
    <v>en-US</v>
    <v>Map</v>
  </rv>
  <rv s="1">
    <v>536870912</v>
    <v>Usulután Department</v>
    <v>7dbf7503-456c-99de-131b-5479ae3461a7</v>
    <v>en-US</v>
    <v>Map</v>
  </rv>
  <rv s="3">
    <v>222</v>
  </rv>
  <rv s="0">
    <fb>0.18061905090093203</fb>
    <v>28</v>
  </rv>
  <rv s="0">
    <fb>0.36399999999999999</fb>
    <v>28</v>
  </rv>
  <rv s="0">
    <fb>4.1100001335144E-2</fb>
    <v>35</v>
  </rv>
  <rv s="0">
    <fb>4694702</fb>
    <v>9</v>
  </rv>
  <rv s="8">
    <v>#VALUE!</v>
    <v>en-US</v>
    <v>3e2414ae-fd79-22d5-9263-1d9dbcf212a5</v>
    <v>536870912</v>
    <v>1</v>
    <v>501</v>
    <v>46</v>
    <v>El Salvador</v>
    <v>5</v>
    <v>6</v>
    <v>Map</v>
    <v>7</v>
    <v>502</v>
    <v>SV</v>
    <v>3188</v>
    <v>3189</v>
    <v>3190</v>
    <v>3191</v>
    <v>3192</v>
    <v>3176</v>
    <v>3193</v>
    <v>3194</v>
    <v>3195</v>
    <v>USD</v>
    <v>El Salvador, officially the Republic of El Salvador, is a country in Central America. It is bordered on the northeast by Honduras, on the northwest by Guatemala, and on the south by the Pacific Ocean. El Salvador's capital and largest city is ...</v>
    <v>3196</v>
    <v>3197</v>
    <v>3198</v>
    <v>3199</v>
    <v>3200</v>
    <v>3201</v>
    <v>3202</v>
    <v>3203</v>
    <v>3204</v>
    <v>3205</v>
    <v>3176</v>
    <v>3208</v>
    <v>3209</v>
    <v>3210</v>
    <v>3211</v>
    <v>3212</v>
    <v>El Salvador</v>
    <v>National Anthem of El Salvador</v>
    <v>3213</v>
    <v>El Salvador</v>
    <v>3214</v>
    <v>3215</v>
    <v>3216</v>
    <v>648</v>
    <v>3217</v>
    <v>2263</v>
    <v>2013</v>
    <v>3218</v>
    <v>3219</v>
    <v>1289</v>
    <v>3220</v>
    <v>3234</v>
    <v>3235</v>
    <v>1176</v>
    <v>3236</v>
    <v>3237</v>
    <v>El Salvador</v>
    <v>3238</v>
    <v>mdp/vdpid/72</v>
  </rv>
  <rv s="1">
    <v>536870912</v>
    <v>Ciudad de la Paz</v>
    <v>82d4085e-1ec6-42d5-826a-bd2c46b791ac</v>
    <v>en-US</v>
    <v>Map</v>
  </rv>
  <rv s="0">
    <fb>81.5</fb>
    <v>9</v>
  </rv>
  <rv s="1">
    <v>536870912</v>
    <v>Equatorial Guinea</v>
    <v>d592e294-4288-2e5b-b5c2-c21e3ee0d1a1</v>
    <v>en-US</v>
    <v>Map</v>
  </rv>
  <rv s="2">
    <v>101</v>
    <v>7</v>
    <v>503</v>
    <v>7</v>
    <v>0</v>
    <v>Image of Ciudad de la Paz</v>
  </rv>
  <rv s="0">
    <fb>1.5916666666666699</fb>
    <v>0</v>
  </rv>
  <rv s="1">
    <v>805306368</v>
    <v>Florentino Ncogo Ndong (Mayor)</v>
    <v>f164f043-e49f-8d28-21cb-0b4336c03ab1</v>
    <v>en-US</v>
    <v>Generic</v>
  </rv>
  <rv s="3">
    <v>223</v>
  </rv>
  <rv s="4">
    <v>https://www.bing.com/search?q=oyala&amp;form=skydnc</v>
    <v>Learn more on Bing</v>
  </rv>
  <rv s="0">
    <fb>10.8222222222222</fb>
    <v>0</v>
  </rv>
  <rv s="45">
    <v>#VALUE!</v>
    <v>en-US</v>
    <v>82d4085e-1ec6-42d5-826a-bd2c46b791ac</v>
    <v>536870912</v>
    <v>1</v>
    <v>504</v>
    <v>505</v>
    <v>Ciudad de la Paz</v>
    <v>5</v>
    <v>6</v>
    <v>Map</v>
    <v>7</v>
    <v>61</v>
    <v>3241</v>
    <v>3242</v>
    <v>Ciudad de la Paz, formerly Oyala, also known as Djibloho – Ciudad de la Paz, is a city in Equatorial Guinea that is being built to replace Malabo as the national capital. Established as an urban district in Wele-Nzas in 2015, it is now the ...</v>
    <v>3243</v>
    <v>3244</v>
    <v>3246</v>
    <v>3247</v>
    <v>3248</v>
    <v>Ciudad de la Paz</v>
    <v>1138</v>
    <v>141</v>
    <v>Ciudad de la Paz</v>
    <v>mdp/vdpid/7304543752347975681</v>
  </rv>
  <rv s="0">
    <fb>0.10124777183600701</fb>
    <v>28</v>
  </rv>
  <rv s="0">
    <fb>28051</fb>
    <v>9</v>
  </rv>
  <rv s="0">
    <fb>33.241</fb>
    <v>29</v>
  </rv>
  <rv s="0">
    <fb>240</fb>
    <v>30</v>
  </rv>
  <rv s="0">
    <fb>5654.5140000000001</fb>
    <v>9</v>
  </rv>
  <rv s="0">
    <fb>124.346722780622</fb>
    <v>31</v>
  </rv>
  <rv s="0">
    <fb>1.2386986020510899E-2</fb>
    <v>28</v>
  </rv>
  <rv s="0">
    <fb>4.5129999999999999</fb>
    <v>29</v>
  </rv>
  <rv s="0">
    <fb>0.55486631886419202</fb>
    <v>28</v>
  </rv>
  <rv s="0">
    <fb>11026774945.341499</fb>
    <v>33</v>
  </rv>
  <rv s="0">
    <fb>0.61775150000000001</fb>
    <v>28</v>
  </rv>
  <rv s="0">
    <fb>1.8528800000000002E-2</fb>
    <v>28</v>
  </rv>
  <rv s="2">
    <v>102</v>
    <v>7</v>
    <v>507</v>
    <v>7</v>
    <v>0</v>
    <v>Image of Equatorial Guinea</v>
  </rv>
  <rv s="0">
    <fb>62.6</fb>
    <v>34</v>
  </rv>
  <rv s="1">
    <v>536870912</v>
    <v>Bata, Equatorial Guinea</v>
    <v>ec395f02-3185-12e2-9271-ab2e1d1e5deb</v>
    <v>en-US</v>
    <v>Map</v>
  </rv>
  <rv s="1">
    <v>805306368</v>
    <v>Teodoro Obiang Nguema Mbasogo (President)</v>
    <v>ff654507-17c8-d887-73af-fdce32a12e3e</v>
    <v>en-US</v>
    <v>Generic</v>
  </rv>
  <rv s="1">
    <v>805306368</v>
    <v>Teodoro Nguema Obiang Mangue (Vice president)</v>
    <v>cd01b474-cb2a-2f50-5ba5-246aa0df0201</v>
    <v>en-US</v>
    <v>Generic</v>
  </rv>
  <rv s="1">
    <v>805306368</v>
    <v>Manuel Osa Nsue Nsua (Prime minister)</v>
    <v>8012fe09-263a-9ac5-40e4-66c1583bc56f</v>
    <v>en-US</v>
    <v>Generic</v>
  </rv>
  <rv s="1">
    <v>805306368</v>
    <v>Joaquín Asong Owono Mbang (Chief justice)</v>
    <v>feaedb33-1fcd-76a0-886f-aca045b5518b</v>
    <v>en-US</v>
    <v>Generic</v>
  </rv>
  <rv s="3">
    <v>224</v>
  </rv>
  <rv s="4">
    <v>https://www.bing.com/search?q=equatorial+guinea&amp;form=skydnc</v>
    <v>Learn more on Bing</v>
  </rv>
  <rv s="0">
    <fb>58.402000000000001</fb>
    <v>34</v>
  </rv>
  <rv s="0">
    <fb>301</fb>
    <v>34</v>
  </rv>
  <rv s="3">
    <v>225</v>
  </rv>
  <rv s="0">
    <fb>0.7198487268</fb>
    <v>28</v>
  </rv>
  <rv s="0">
    <fb>0.4</fb>
    <v>29</v>
  </rv>
  <rv s="0">
    <fb>1674908</fb>
    <v>9</v>
  </rv>
  <rv s="0">
    <fb>0.61966999053955096</fb>
    <v>28</v>
  </rv>
  <rv s="1">
    <v>536870912</v>
    <v>Bioko Norte</v>
    <v>14fc1409-3f1f-b855-2446-9ce14d0b5f3e</v>
    <v>en-US</v>
    <v>Map</v>
  </rv>
  <rv s="1">
    <v>536870912</v>
    <v>Bioko Sur</v>
    <v>dcd49031-0c35-b602-2add-827409efb255</v>
    <v>en-US</v>
    <v>Map</v>
  </rv>
  <rv s="1">
    <v>536870912</v>
    <v>Centro Sur</v>
    <v>99a10643-78ca-776e-ac63-0513f78fd3b5</v>
    <v>en-US</v>
    <v>Map</v>
  </rv>
  <rv s="1">
    <v>536870912</v>
    <v>Kié-Ntem</v>
    <v>204a3e52-8eb7-0732-eacd-6291775ec8c0</v>
    <v>en-US</v>
    <v>Map</v>
  </rv>
  <rv s="1">
    <v>536870912</v>
    <v>Litoral</v>
    <v>047e4980-33aa-8d25-c0ce-06e32be00646</v>
    <v>en-US</v>
    <v>Map</v>
  </rv>
  <rv s="1">
    <v>536870912</v>
    <v>Wele-Nzas</v>
    <v>84e2e94c-ab91-a60f-13e1-f7470b791925</v>
    <v>en-US</v>
    <v>Map</v>
  </rv>
  <rv s="3">
    <v>226</v>
  </rv>
  <rv s="0">
    <fb>6.0845982822971802E-2</fb>
    <v>28</v>
  </rv>
  <rv s="0">
    <fb>0.79400000000000004</fb>
    <v>28</v>
  </rv>
  <rv s="0">
    <fb>6.4330000877380403E-2</fb>
    <v>35</v>
  </rv>
  <rv s="0">
    <fb>984812</fb>
    <v>9</v>
  </rv>
  <rv s="46">
    <v>#VALUE!</v>
    <v>en-US</v>
    <v>d592e294-4288-2e5b-b5c2-c21e3ee0d1a1</v>
    <v>536870912</v>
    <v>1</v>
    <v>510</v>
    <v>511</v>
    <v>Equatorial Guinea</v>
    <v>5</v>
    <v>6</v>
    <v>Map</v>
    <v>7</v>
    <v>512</v>
    <v>GQ</v>
    <v>3250</v>
    <v>3251</v>
    <v>817</v>
    <v>3252</v>
    <v>3253</v>
    <v>3240</v>
    <v>3254</v>
    <v>3255</v>
    <v>3256</v>
    <v>XAF</v>
    <v>Equatorial Guinea, officially the Republic of Equatorial Guinea, is a country on the west coast of Central Africa. It has an area of 28,000 square kilometres. Formerly the colony of Spanish Guinea, its post-independence name refers to its ...</v>
    <v>3257</v>
    <v>3258</v>
    <v>434</v>
    <v>3259</v>
    <v>3260</v>
    <v>3261</v>
    <v>3262</v>
    <v>3263</v>
    <v>3264</v>
    <v>3269</v>
    <v>3270</v>
    <v>3271</v>
    <v>3272</v>
    <v>1400</v>
    <v>Equatorial Guinea</v>
    <v>Caminemos pisando las sendas de nuestra inmensa felicidad</v>
    <v>3273</v>
    <v>Guinée équatoriale</v>
    <v>3274</v>
    <v>3275</v>
    <v>3276</v>
    <v>3277</v>
    <v>3284</v>
    <v>3285</v>
    <v>141</v>
    <v>3286</v>
    <v>3287</v>
    <v>Equatorial Guinea</v>
    <v>3288</v>
    <v>mdp/vdpid/69</v>
  </rv>
  <rv s="1">
    <v>536870912</v>
    <v>Asmara</v>
    <v>2546f6dc-180c-2a8b-300b-1a74669a6fe4</v>
    <v>en-US</v>
    <v>Map</v>
  </rv>
  <rv s="0">
    <fb>12158.1</fb>
    <v>9</v>
  </rv>
  <rv s="1">
    <v>536870912</v>
    <v>Ethiopia</v>
    <v>37e8cce3-f9b7-eca4-846f-b8b7e9cb6fb8</v>
    <v>en-US</v>
    <v>Map</v>
  </rv>
  <rv s="2">
    <v>103</v>
    <v>7</v>
    <v>513</v>
    <v>7</v>
    <v>0</v>
    <v>Image of Asmara</v>
  </rv>
  <rv s="0">
    <fb>15.333333333333</fb>
    <v>0</v>
  </rv>
  <rv s="3">
    <v>227</v>
  </rv>
  <rv s="4">
    <v>https://www.bing.com/search?q=asmara&amp;form=skydnc</v>
    <v>Learn more on Bing</v>
  </rv>
  <rv s="0">
    <fb>38.916666666666998</fb>
    <v>0</v>
  </rv>
  <rv s="0">
    <fb>963000</fb>
    <v>9</v>
  </rv>
  <rv s="45">
    <v>#VALUE!</v>
    <v>en-US</v>
    <v>2546f6dc-180c-2a8b-300b-1a74669a6fe4</v>
    <v>536870912</v>
    <v>1</v>
    <v>514</v>
    <v>505</v>
    <v>Asmara</v>
    <v>5</v>
    <v>6</v>
    <v>Map</v>
    <v>7</v>
    <v>8</v>
    <v>3291</v>
    <v>3292</v>
    <v>Asmara, or Asmera, is the capital and most populous city of Eritrea, in the country's Central Region. It sits at an elevation of 2,325 metres, making it the sixth highest capital in the world by altitude and the second highest capital in Africa. ...</v>
    <v>3293</v>
    <v>3294</v>
    <v>3295</v>
    <v>3296</v>
    <v>3297</v>
    <v>Asmara</v>
    <v>3298</v>
    <v>1020</v>
    <v>Asmara</v>
    <v>mdp/vdpid/7328380786984353793</v>
  </rv>
  <rv s="0">
    <fb>0.36259000000000002</fb>
    <v>28</v>
  </rv>
  <rv s="0">
    <fb>1104300</fb>
    <v>9</v>
  </rv>
  <rv s="0">
    <fb>138000</fb>
    <v>9</v>
  </rv>
  <rv s="0">
    <fb>32.338999999999999</fb>
    <v>29</v>
  </rv>
  <rv s="0">
    <fb>251</fb>
    <v>30</v>
  </rv>
  <rv s="1">
    <v>536870912</v>
    <v>Addis Ababa</v>
    <v>938abfc6-a154-7e94-5bda-6ce5f148a1f5</v>
    <v>en-US</v>
    <v>Map</v>
  </rv>
  <rv s="0">
    <fb>14869.684999999999</fb>
    <v>9</v>
  </rv>
  <rv s="0">
    <fb>143.85508616915899</fb>
    <v>31</v>
  </rv>
  <rv s="0">
    <fb>0.15809632171934701</fb>
    <v>28</v>
  </rv>
  <rv s="0">
    <fb>69.198753162430407</fb>
    <v>9</v>
  </rv>
  <rv s="0">
    <fb>4.2469999999999999</fb>
    <v>29</v>
  </rv>
  <rv s="0">
    <fb>0.12539599609374999</fb>
    <v>28</v>
  </rv>
  <rv s="0">
    <fb>6.5698066296372399</fb>
    <v>34</v>
  </rv>
  <rv s="0">
    <fb>0.75</fb>
    <v>32</v>
  </rv>
  <rv s="0">
    <fb>96107662398.174896</fb>
    <v>33</v>
  </rv>
  <rv s="0">
    <fb>1.0097149000000001</fb>
    <v>28</v>
  </rv>
  <rv s="0">
    <fb>8.1053200000000006E-2</fb>
    <v>28</v>
  </rv>
  <rv s="2">
    <v>104</v>
    <v>7</v>
    <v>516</v>
    <v>7</v>
    <v>0</v>
    <v>Image of Ethiopia</v>
  </rv>
  <rv s="0">
    <fb>39.1</fb>
    <v>34</v>
  </rv>
  <rv s="1">
    <v>805306368</v>
    <v>Taye Atske Selassie (President)</v>
    <v>0ecc37f9-fbf2-9992-b451-9764e24913b8</v>
    <v>en-US</v>
    <v>Generic</v>
  </rv>
  <rv s="1">
    <v>805306368</v>
    <v>Abiy Ahmed (Prime minister)</v>
    <v>8b769640-264e-25d4-5b3b-3b3d837de7f3</v>
    <v>en-US</v>
    <v>Generic</v>
  </rv>
  <rv s="1">
    <v>805306368</v>
    <v>Temesgen Tiruneh (Deputy prime minister)</v>
    <v>2339789c-523c-e8df-e25d-4cfcf4a89ed9</v>
    <v>en-US</v>
    <v>Generic</v>
  </rv>
  <rv s="3">
    <v>228</v>
  </rv>
  <rv s="4">
    <v>https://www.bing.com/search?q=ethiopia&amp;form=skydnc</v>
    <v>Learn more on Bing</v>
  </rv>
  <rv s="0">
    <fb>66.239999999999995</fb>
    <v>34</v>
  </rv>
  <rv s="0">
    <fb>401</fb>
    <v>34</v>
  </rv>
  <rv s="3">
    <v>229</v>
  </rv>
  <rv s="0">
    <fb>0.3781040625</fb>
    <v>28</v>
  </rv>
  <rv s="0">
    <fb>7.6899999999999996E-2</fb>
    <v>29</v>
  </rv>
  <rv s="0">
    <fb>123379924</fb>
    <v>9</v>
  </rv>
  <rv s="0">
    <fb>0.28499999999999998</fb>
    <v>28</v>
  </rv>
  <rv s="0">
    <fb>0.121</fb>
    <v>28</v>
  </rv>
  <rv s="0">
    <fb>0.16300000000000001</fb>
    <v>28</v>
  </rv>
  <rv s="0">
    <fb>0.79550003051757801</fb>
    <v>28</v>
  </rv>
  <rv s="1">
    <v>536870912</v>
    <v>Afar Region</v>
    <v>c769ad43-641f-6ac5-378e-f1eb44ec9da0</v>
    <v>en-US</v>
    <v>Map</v>
  </rv>
  <rv s="1">
    <v>536870912</v>
    <v>Amhara Region</v>
    <v>18974485-7701-f939-eb43-6ed0021bf853</v>
    <v>en-US</v>
    <v>Map</v>
  </rv>
  <rv s="1">
    <v>536870912</v>
    <v>Benishangul-Gumuz Region</v>
    <v>e9e914ad-0904-d200-5dcf-f523e1778e0b</v>
    <v>en-US</v>
    <v>Map</v>
  </rv>
  <rv s="1">
    <v>536870912</v>
    <v>Dire Dawa</v>
    <v>dd9c686e-aed6-8366-bd0d-110a8039b49c</v>
    <v>en-US</v>
    <v>Map</v>
  </rv>
  <rv s="1">
    <v>536870912</v>
    <v>Gambela Region</v>
    <v>cb278b79-0633-4f8c-0d07-23d94b4068dc</v>
    <v>en-US</v>
    <v>Map</v>
  </rv>
  <rv s="1">
    <v>536870912</v>
    <v>Harari Region</v>
    <v>3ae0a830-f196-f556-1385-db52b991e080</v>
    <v>en-US</v>
    <v>Map</v>
  </rv>
  <rv s="1">
    <v>536870912</v>
    <v>Oromia</v>
    <v>f37d5404-2cbe-b6eb-8377-d12265786e2e</v>
    <v>en-US</v>
    <v>Map</v>
  </rv>
  <rv s="1">
    <v>536870912</v>
    <v>Somali Region</v>
    <v>568cb122-5c34-e129-0eb8-472efad75e94</v>
    <v>en-US</v>
    <v>Map</v>
  </rv>
  <rv s="1">
    <v>536870912</v>
    <v>Southern Nations, Nationalities, and Peoples' Region</v>
    <v>5bb4fb8b-124b-f1c3-4ec1-8efeb1ad282a</v>
    <v>en-US</v>
    <v>Map</v>
  </rv>
  <rv s="1">
    <v>536870912</v>
    <v>Tigray Region</v>
    <v>f948be5d-0e78-13ff-ddd2-976f549dfa79</v>
    <v>en-US</v>
    <v>Map</v>
  </rv>
  <rv s="3">
    <v>230</v>
  </rv>
  <rv s="0">
    <fb>7.5122310532462003E-2</fb>
    <v>28</v>
  </rv>
  <rv s="3">
    <v>231</v>
  </rv>
  <rv s="0">
    <fb>0.377</fb>
    <v>28</v>
  </rv>
  <rv s="0">
    <fb>2.0810000896453903E-2</fb>
    <v>35</v>
  </rv>
  <rv s="0">
    <fb>23788710</fb>
    <v>9</v>
  </rv>
  <rv s="47">
    <v>#VALUE!</v>
    <v>en-US</v>
    <v>37e8cce3-f9b7-eca4-846f-b8b7e9cb6fb8</v>
    <v>536870912</v>
    <v>1</v>
    <v>519</v>
    <v>520</v>
    <v>Ethiopia</v>
    <v>5</v>
    <v>6</v>
    <v>Map</v>
    <v>7</v>
    <v>521</v>
    <v>ET</v>
    <v>3300</v>
    <v>3301</v>
    <v>3302</v>
    <v>3303</v>
    <v>3304</v>
    <v>3305</v>
    <v>3306</v>
    <v>3307</v>
    <v>3308</v>
    <v>ETB</v>
    <v>Ethiopia, officially the Federal Democratic Republic of Ethiopia, is a landlocked country located in the Horn of Africa region of East Africa. It shares borders with Eritrea to the north, Djibouti to the northeast, Somalia to the east, Kenya to ...</v>
    <v>3309</v>
    <v>3310</v>
    <v>3311</v>
    <v>3312</v>
    <v>3313</v>
    <v>3314</v>
    <v>3315</v>
    <v>3316</v>
    <v>3317</v>
    <v>3318</v>
    <v>3305</v>
    <v>3322</v>
    <v>3323</v>
    <v>3324</v>
    <v>3325</v>
    <v>Ethiopia</v>
    <v>March Forward, Dear Mother Ethiopia</v>
    <v>3326</v>
    <v>la République démocratique fédérale d’Éthiopie</v>
    <v>3327</v>
    <v>3328</v>
    <v>3329</v>
    <v>3066</v>
    <v>3330</v>
    <v>463</v>
    <v>1417</v>
    <v>1533</v>
    <v>3331</v>
    <v>3332</v>
    <v>3333</v>
    <v>3344</v>
    <v>3345</v>
    <v>3346</v>
    <v>3347</v>
    <v>3348</v>
    <v>Ethiopia</v>
    <v>3349</v>
    <v>mdp/vdpid/73</v>
  </rv>
  <rv s="0">
    <fb>526.99</fb>
    <v>9</v>
  </rv>
  <rv s="2">
    <v>105</v>
    <v>7</v>
    <v>522</v>
    <v>7</v>
    <v>0</v>
    <v>Image of Addis Ababa</v>
  </rv>
  <rv s="1">
    <v>805306368</v>
    <v>Adanech Abebe (Mayor)</v>
    <v>a37bf7d2-14ec-7667-853c-1e4987f74440</v>
    <v>en-US</v>
    <v>Generic</v>
  </rv>
  <rv s="3">
    <v>232</v>
  </rv>
  <rv s="4">
    <v>https://www.bing.com/search?q=addis+ababa&amp;form=skydnc</v>
    <v>Learn more on Bing</v>
  </rv>
  <rv s="0">
    <fb>5704000</fb>
    <v>9</v>
  </rv>
  <rv s="16">
    <v>#VALUE!</v>
    <v>en-US</v>
    <v>938abfc6-a154-7e94-5bda-6ce5f148a1f5</v>
    <v>536870912</v>
    <v>1</v>
    <v>524</v>
    <v>92</v>
    <v>Addis Ababa</v>
    <v>5</v>
    <v>6</v>
    <v>Map</v>
    <v>7</v>
    <v>169</v>
    <v>ET-AA</v>
    <v>3351</v>
    <v>3292</v>
    <v>Addis Ababa is the capital and largest city of Ethiopia and Oromia. In the 2007 census, the city's population was estimated to be 2,739,551 inhabitants. Addis Ababa is a highly developed and important cultural, artistic, financial and ...</v>
    <v>3352</v>
    <v>3354</v>
    <v>3355</v>
    <v>Addis Ababa</v>
    <v>3356</v>
    <v>3346</v>
    <v>Addis Ababa</v>
    <v>mdp/vdpid/7341959476531953665</v>
  </rv>
  <rv s="1">
    <v>536870912</v>
    <v>Tallinn</v>
    <v>1448d438-3d52-297f-67c5-9331c9a18778</v>
    <v>en-US</v>
    <v>Map</v>
  </rv>
  <rv s="1">
    <v>536870912</v>
    <v>Harju County</v>
    <v>2a1d336d-1b4c-4335-a392-b90039c6c8fa</v>
    <v>en-US</v>
    <v>Map</v>
  </rv>
  <rv s="0">
    <fb>159.37</fb>
    <v>9</v>
  </rv>
  <rv s="1">
    <v>536870912</v>
    <v>Estonia</v>
    <v>f0376b26-dffc-a05d-34b7-ffeabc3bf31b</v>
    <v>en-US</v>
    <v>Map</v>
  </rv>
  <rv s="2">
    <v>106</v>
    <v>7</v>
    <v>525</v>
    <v>7</v>
    <v>0</v>
    <v>Image of Tallinn</v>
  </rv>
  <rv s="0">
    <fb>59.437222222221997</fb>
    <v>0</v>
  </rv>
  <rv s="1">
    <v>805306368</v>
    <v>Jevgeni Ossinovski (Mayor)</v>
    <v>c2a938c6-c67c-56e6-889f-1f51568980e0</v>
    <v>en-US</v>
    <v>Generic</v>
  </rv>
  <rv s="3">
    <v>233</v>
  </rv>
  <rv s="4">
    <v>https://www.bing.com/search?q=tallinn&amp;form=skydnc</v>
    <v>Learn more on Bing</v>
  </rv>
  <rv s="0">
    <fb>24.745000000000001</fb>
    <v>0</v>
  </rv>
  <rv s="0">
    <fb>453864</fb>
    <v>9</v>
  </rv>
  <rv s="3">
    <v>234</v>
  </rv>
  <rv s="7">
    <v>#VALUE!</v>
    <v>en-US</v>
    <v>1448d438-3d52-297f-67c5-9331c9a18778</v>
    <v>536870912</v>
    <v>1</v>
    <v>526</v>
    <v>38</v>
    <v>Tallinn</v>
    <v>5</v>
    <v>6</v>
    <v>Map</v>
    <v>7</v>
    <v>111</v>
    <v>3359</v>
    <v>3360</v>
    <v>3361</v>
    <v>Tallinn is the capital and most populous city of Estonia. Situated on a bay in north Estonia, on the shore of the Gulf of Finland of the Baltic Sea, Tallinn has a population of about 461,000 and administratively lies in the Harju maakond. ...</v>
    <v>3362</v>
    <v>3363</v>
    <v>3365</v>
    <v>3366</v>
    <v>3367</v>
    <v>Tallinn</v>
    <v>3368</v>
    <v>3369</v>
    <v>Tallinn</v>
    <v>mdp/vdpid/7030654650424492037</v>
  </rv>
  <rv s="0">
    <fb>0.23073383942949199</fb>
    <v>28</v>
  </rv>
  <rv s="0">
    <fb>45335</fb>
    <v>9</v>
  </rv>
  <rv s="0">
    <fb>372</fb>
    <v>30</v>
  </rv>
  <rv s="0">
    <fb>16589.508000000002</fb>
    <v>9</v>
  </rv>
  <rv s="0">
    <fb>122.14231282148999</fb>
    <v>31</v>
  </rv>
  <rv s="0">
    <fb>2.27725931243518E-2</fb>
    <v>28</v>
  </rv>
  <rv s="0">
    <fb>6732.3674731561096</fb>
    <v>9</v>
  </rv>
  <rv s="0">
    <fb>1.59</fb>
    <v>29</v>
  </rv>
  <rv s="0">
    <fb>0.513365561917702</fb>
    <v>28</v>
  </rv>
  <rv s="0">
    <fb>13.0562153357344</fb>
    <v>34</v>
  </rv>
  <rv s="0">
    <fb>1.1399999999999999</fb>
    <v>32</v>
  </rv>
  <rv s="0">
    <fb>31386949981.236</fb>
    <v>33</v>
  </rv>
  <rv s="0">
    <fb>0.97230170000000005</fb>
    <v>28</v>
  </rv>
  <rv s="0">
    <fb>0.69635029999999998</fb>
    <v>28</v>
  </rv>
  <rv s="2">
    <v>107</v>
    <v>7</v>
    <v>528</v>
    <v>7</v>
    <v>0</v>
    <v>Image of Estonia</v>
  </rv>
  <rv s="0">
    <fb>2.1</fb>
    <v>34</v>
  </rv>
  <rv s="1">
    <v>805306368</v>
    <v>Alar Karis (President)</v>
    <v>251674b1-460d-4f40-d85e-31a525f034fa</v>
    <v>en-US</v>
    <v>Generic</v>
  </rv>
  <rv s="1">
    <v>805306368</v>
    <v>Kristen Michal (Prime minister)</v>
    <v>2086a69f-680b-40af-9ba8-e15a7ecd6d72</v>
    <v>en-US</v>
    <v>Generic</v>
  </rv>
  <rv s="3">
    <v>235</v>
  </rv>
  <rv s="4">
    <v>https://www.bing.com/search?q=estonia&amp;form=skydnc</v>
    <v>Learn more on Bing</v>
  </rv>
  <rv s="0">
    <fb>78.243902439024396</fb>
    <v>34</v>
  </rv>
  <rv s="0">
    <fb>9</fb>
    <v>34</v>
  </rv>
  <rv s="0">
    <fb>3.14</fb>
    <v>32</v>
  </rv>
  <rv s="3">
    <v>236</v>
  </rv>
  <rv s="0">
    <fb>0.22772006980000001</fb>
    <v>28</v>
  </rv>
  <rv s="0">
    <fb>4.4832999999999998</fb>
    <v>29</v>
  </rv>
  <rv s="0">
    <fb>1344768</fb>
    <v>9</v>
  </rv>
  <rv s="0">
    <fb>0.22500000000000001</fb>
    <v>28</v>
  </rv>
  <rv s="0">
    <fb>0.38400000000000001</fb>
    <v>28</v>
  </rv>
  <rv s="0">
    <fb>0.03</fb>
    <v>28</v>
  </rv>
  <rv s="0">
    <fb>0.63560001373290997</fb>
    <v>28</v>
  </rv>
  <rv s="1">
    <v>536870912</v>
    <v>Ida-Viru County</v>
    <v>f8750387-e5f1-ce49-0018-9e85739082a1</v>
    <v>en-US</v>
    <v>Map</v>
  </rv>
  <rv s="1">
    <v>536870912</v>
    <v>Jõgeva County</v>
    <v>b993b493-5f0b-e4b2-a04c-744fa8db72fd</v>
    <v>en-US</v>
    <v>Map</v>
  </rv>
  <rv s="1">
    <v>536870912</v>
    <v>Järva County</v>
    <v>e0f572f5-55d7-7ad7-0c19-7f07a1550540</v>
    <v>en-US</v>
    <v>Map</v>
  </rv>
  <rv s="1">
    <v>536870912</v>
    <v>Lääne-Viru County</v>
    <v>10d22dab-77a4-3f43-cc0f-f83d19e135a1</v>
    <v>en-US</v>
    <v>Map</v>
  </rv>
  <rv s="1">
    <v>536870912</v>
    <v>Pärnu County</v>
    <v>1a253dbb-6c2c-1b47-b861-898d0c9f2eab</v>
    <v>en-US</v>
    <v>Map</v>
  </rv>
  <rv s="1">
    <v>536870912</v>
    <v>Rapla County</v>
    <v>5558401d-0270-4148-76a2-427cc456e7a6</v>
    <v>en-US</v>
    <v>Map</v>
  </rv>
  <rv s="1">
    <v>536870912</v>
    <v>Saare County</v>
    <v>c392c03e-8580-f106-7afd-cbd448ed8908</v>
    <v>en-US</v>
    <v>Map</v>
  </rv>
  <rv s="1">
    <v>536870912</v>
    <v>Tartu County</v>
    <v>dbbb421a-7ad6-3849-ad40-56c296bf0934</v>
    <v>en-US</v>
    <v>Map</v>
  </rv>
  <rv s="1">
    <v>536870912</v>
    <v>Valga County</v>
    <v>047260a8-5172-08c2-e79b-c1e7a3af92f5</v>
    <v>en-US</v>
    <v>Map</v>
  </rv>
  <rv s="1">
    <v>536870912</v>
    <v>Viljandi County</v>
    <v>311e5af3-3de1-11b4-f8c4-a831bbb9981f</v>
    <v>en-US</v>
    <v>Map</v>
  </rv>
  <rv s="1">
    <v>536870912</v>
    <v>Võru County</v>
    <v>45ee177e-bcdf-d7f7-5bb0-50650c8501cd</v>
    <v>en-US</v>
    <v>Map</v>
  </rv>
  <rv s="1">
    <v>536870912</v>
    <v>Hiiu County</v>
    <v>a63657c7-4c2f-dc2c-682c-a06b44680e7d</v>
    <v>en-US</v>
    <v>Map</v>
  </rv>
  <rv s="3">
    <v>237</v>
  </rv>
  <rv s="0">
    <fb>0.20875750801183598</fb>
    <v>28</v>
  </rv>
  <rv s="0">
    <fb>5.1149997711181595E-2</fb>
    <v>35</v>
  </rv>
  <rv s="0">
    <fb>916024</fb>
    <v>9</v>
  </rv>
  <rv s="8">
    <v>#VALUE!</v>
    <v>en-US</v>
    <v>f0376b26-dffc-a05d-34b7-ffeabc3bf31b</v>
    <v>536870912</v>
    <v>1</v>
    <v>531</v>
    <v>46</v>
    <v>Estonia</v>
    <v>5</v>
    <v>6</v>
    <v>Map</v>
    <v>7</v>
    <v>532</v>
    <v>EE</v>
    <v>3371</v>
    <v>3372</v>
    <v>1261</v>
    <v>2231</v>
    <v>3373</v>
    <v>3358</v>
    <v>3374</v>
    <v>3375</v>
    <v>3376</v>
    <v>EUR</v>
    <v>Estonia, officially the Republic of Estonia, is a country by the Baltic Sea in Northern Europe. It is bordered to the north by the Gulf of Finland across from Finland, to the west by the sea across from Sweden, to the south by Latvia, and to the ...</v>
    <v>3377</v>
    <v>3378</v>
    <v>3379</v>
    <v>3380</v>
    <v>3381</v>
    <v>3382</v>
    <v>3383</v>
    <v>3384</v>
    <v>3385</v>
    <v>3386</v>
    <v>3358</v>
    <v>3389</v>
    <v>3390</v>
    <v>3391</v>
    <v>3392</v>
    <v>3393</v>
    <v>Estonia</v>
    <v>Mu isamaa, mu õnn ja rõõm</v>
    <v>3394</v>
    <v>Eesti Vabariik</v>
    <v>3395</v>
    <v>3396</v>
    <v>3397</v>
    <v>1426</v>
    <v>3398</v>
    <v>3399</v>
    <v>3400</v>
    <v>588</v>
    <v>3141</v>
    <v>2014</v>
    <v>3401</v>
    <v>3414</v>
    <v>3415</v>
    <v>1695</v>
    <v>2584</v>
    <v>3416</v>
    <v>Estonia</v>
    <v>3417</v>
    <v>mdp/vdpid/70</v>
  </rv>
  <rv s="1">
    <v>536870912</v>
    <v>Lobamba</v>
    <v>1756a6f8-92db-a8bd-96b7-cbc870775477</v>
    <v>en-US</v>
    <v>Map</v>
  </rv>
  <rv s="1">
    <v>536870912</v>
    <v>Hhohho District</v>
    <v>5cbb9867-68f0-dfae-31d8-260bb65cd9e2</v>
    <v>en-US</v>
    <v>Map</v>
  </rv>
  <rv s="1">
    <v>536870912</v>
    <v>Eswatini</v>
    <v>a1047ed0-3be6-d8ba-2ae9-d0e238489403</v>
    <v>en-US</v>
    <v>Map</v>
  </rv>
  <rv s="2">
    <v>108</v>
    <v>7</v>
    <v>533</v>
    <v>7</v>
    <v>0</v>
    <v>Image of Lobamba</v>
  </rv>
  <rv s="0">
    <fb>-26.446480000000001</fb>
    <v>0</v>
  </rv>
  <rv s="4">
    <v>https://www.bing.com/search?q=lobamba+swaziland&amp;form=skydnc</v>
    <v>Learn more on Bing</v>
  </rv>
  <rv s="0">
    <fb>31.206410999999999</fb>
    <v>0</v>
  </rv>
  <rv s="0">
    <fb>5800</fb>
    <v>9</v>
  </rv>
  <rv s="42">
    <v>#VALUE!</v>
    <v>en-US</v>
    <v>1756a6f8-92db-a8bd-96b7-cbc870775477</v>
    <v>536870912</v>
    <v>1</v>
    <v>534</v>
    <v>452</v>
    <v>Lobamba</v>
    <v>5</v>
    <v>6</v>
    <v>Map</v>
    <v>7</v>
    <v>535</v>
    <v>3420</v>
    <v>3421</v>
    <v>Lobamba is a city in Eswatini, and is one of the two capitals, serving as the legislative, traditional, spiritual, seat of government of the Parliament of Eswatini, and Ludzidzini Royal Village, the residence of Queen Ntfombi, the Queen Mother.</v>
    <v>3422</v>
    <v>3423</v>
    <v>3424</v>
    <v>3425</v>
    <v>Lobamba</v>
    <v>3426</v>
    <v>Lobamba</v>
    <v>mdp/vdpid/8182568197224923137</v>
  </rv>
  <rv s="0">
    <fb>17364</fb>
    <v>9</v>
  </rv>
  <rv s="0">
    <fb>268</fb>
    <v>30</v>
  </rv>
  <rv s="0">
    <fb>3791304348</fb>
    <v>33</v>
  </rv>
  <rv s="2">
    <v>109</v>
    <v>7</v>
    <v>537</v>
    <v>7</v>
    <v>0</v>
    <v>Image of Eswatini</v>
  </rv>
  <rv s="1">
    <v>536870912</v>
    <v>Mbabane</v>
    <v>f3c9c8f8-c428-f726-888f-c3b71b28e243</v>
    <v>en-US</v>
    <v>Map</v>
  </rv>
  <rv s="1">
    <v>805306368</v>
    <v>Mswati III (King)</v>
    <v>e9028f13-a0ee-6df7-d907-fdd50aa8883c</v>
    <v>en-US</v>
    <v>Generic</v>
  </rv>
  <rv s="1">
    <v>805306368</v>
    <v>Russell Dlamini (Prime minister)</v>
    <v>453f79b2-cc71-0615-cf94-64a8867b67b5</v>
    <v>en-US</v>
    <v>Generic</v>
  </rv>
  <rv s="1">
    <v>805306368</v>
    <v>Bheki Maphalala (Chief justice)</v>
    <v>33e9f3b5-44b5-791c-1f7a-3ce7b26a22e6</v>
    <v>en-US</v>
    <v>Generic</v>
  </rv>
  <rv s="3">
    <v>238</v>
  </rv>
  <rv s="4">
    <v>https://www.bing.com/search?q=swaziland&amp;form=skydnc</v>
    <v>Learn more on Bing</v>
  </rv>
  <rv s="3">
    <v>239</v>
  </rv>
  <rv s="0">
    <fb>0.11312622850000001</fb>
    <v>28</v>
  </rv>
  <rv s="0">
    <fb>1201670</fb>
    <v>9</v>
  </rv>
  <rv s="1">
    <v>536870912</v>
    <v>Hhohho Region</v>
    <v>5cbb9867-68f0-dfae-31d8-260bb65cd9e2</v>
    <v>en-US</v>
    <v>Map</v>
  </rv>
  <rv s="1">
    <v>536870912</v>
    <v>Lubombo Region</v>
    <v>f44423b9-d145-3179-7b7b-d65466ca7d00</v>
    <v>en-US</v>
    <v>Map</v>
  </rv>
  <rv s="1">
    <v>536870912</v>
    <v>Manzini Region</v>
    <v>d988f9f5-25ba-5905-98dc-1d16a363997c</v>
    <v>en-US</v>
    <v>Map</v>
  </rv>
  <rv s="1">
    <v>536870912</v>
    <v>Shiselweni Region</v>
    <v>24c0af79-273c-8ef4-31a2-88770dcdb438</v>
    <v>en-US</v>
    <v>Map</v>
  </rv>
  <rv s="3">
    <v>240</v>
  </rv>
  <rv s="0">
    <fb>0.28600363200289097</fb>
    <v>28</v>
  </rv>
  <rv s="3">
    <v>241</v>
  </rv>
  <rv s="48">
    <v>#VALUE!</v>
    <v>en-US</v>
    <v>a1047ed0-3be6-d8ba-2ae9-d0e238489403</v>
    <v>536870912</v>
    <v>1</v>
    <v>539</v>
    <v>540</v>
    <v>Eswatini</v>
    <v>5</v>
    <v>6</v>
    <v>Map</v>
    <v>7</v>
    <v>541</v>
    <v>3428</v>
    <v>3429</v>
    <v>3419</v>
    <v>SZL</v>
    <v>Eswatini, formally the Kingdom of Eswatini, also known by its former official names Swaziland and the Kingdom of Swaziland, is a landlocked country in Southern Africa. It is bordered by Mozambique to its northeast and South Africa to its north, ...</v>
    <v>3430</v>
    <v>3431</v>
    <v>3432</v>
    <v>3436</v>
    <v>3437</v>
    <v>Eswatini</v>
    <v>Nkulunkulu Mnikati wetibusiso temaSwati</v>
    <v>3438</v>
    <v>Kingdom of Eswatini</v>
    <v>3439</v>
    <v>3440</v>
    <v>3445</v>
    <v>3446</v>
    <v>3447</v>
    <v>Eswatini</v>
    <v>mdp/vdpid/260</v>
  </rv>
  <rv s="1">
    <v>536870912</v>
    <v>Suva</v>
    <v>b704f0f6-e1f9-1c45-bd45-fb55dee9d3e5</v>
    <v>en-US</v>
    <v>Map</v>
  </rv>
  <rv s="1">
    <v>536870912</v>
    <v>Central Division</v>
    <v>bbdd7043-1c11-f3c3-0ef2-27c066fda921</v>
    <v>en-US</v>
    <v>Map</v>
  </rv>
  <rv s="1">
    <v>536870912</v>
    <v>Rewa Province</v>
    <v>e547cbc4-b7da-ab30-60ad-6fa35674f021</v>
    <v>en-US</v>
    <v>Map</v>
  </rv>
  <rv s="0">
    <fb>2048</fb>
    <v>9</v>
  </rv>
  <rv s="1">
    <v>536870912</v>
    <v>Fiji</v>
    <v>1e7531ea-2f80-cf66-239a-b27dc04ddd4e</v>
    <v>en-US</v>
    <v>Map</v>
  </rv>
  <rv s="2">
    <v>110</v>
    <v>7</v>
    <v>542</v>
    <v>7</v>
    <v>0</v>
    <v>Image of Suva</v>
  </rv>
  <rv s="0">
    <fb>-18.133333333332999</fb>
    <v>0</v>
  </rv>
  <rv s="4">
    <v>https://www.bing.com/search?q=suva+fiji&amp;form=skydnc</v>
    <v>Learn more on Bing</v>
  </rv>
  <rv s="0">
    <fb>178.43333333333001</fb>
    <v>0</v>
  </rv>
  <rv s="0">
    <fb>88271</fb>
    <v>9</v>
  </rv>
  <rv s="49">
    <v>#VALUE!</v>
    <v>en-US</v>
    <v>b704f0f6-e1f9-1c45-bd45-fb55dee9d3e5</v>
    <v>536870912</v>
    <v>1</v>
    <v>543</v>
    <v>544</v>
    <v>Suva</v>
    <v>5</v>
    <v>6</v>
    <v>Map</v>
    <v>7</v>
    <v>331</v>
    <v>3450</v>
    <v>3451</v>
    <v>3452</v>
    <v>3453</v>
    <v>Suva is the capital and largest city of Fiji. It is the home of the country's largest metropolitan area and serves as its major port. The city is located on the southeast coast of the island of Viti Levu, in Rewa Province, Central Division.</v>
    <v>3454</v>
    <v>3455</v>
    <v>3456</v>
    <v>3457</v>
    <v>Suva</v>
    <v>3458</v>
    <v>Suva</v>
    <v>mdp/vdpid/8861533854372986881</v>
  </rv>
  <rv s="0">
    <fb>0.23262178434592201</fb>
    <v>28</v>
  </rv>
  <rv s="0">
    <fb>18274</fb>
    <v>9</v>
  </rv>
  <rv s="0">
    <fb>4000</fb>
    <v>9</v>
  </rv>
  <rv s="0">
    <fb>21.277000000000001</fb>
    <v>29</v>
  </rv>
  <rv s="0">
    <fb>679</fb>
    <v>30</v>
  </rv>
  <rv s="0">
    <fb>2046.1859999999999</fb>
    <v>9</v>
  </rv>
  <rv s="0">
    <fb>132.297245600612</fb>
    <v>31</v>
  </rv>
  <rv s="0">
    <fb>1.7731018246026999E-2</fb>
    <v>28</v>
  </rv>
  <rv s="0">
    <fb>2.774</fb>
    <v>29</v>
  </rv>
  <rv s="0">
    <fb>0.55941981256627793</fb>
    <v>28</v>
  </rv>
  <rv s="0">
    <fb>0.82</fb>
    <v>32</v>
  </rv>
  <rv s="0">
    <fb>5535548972.4125204</fb>
    <v>33</v>
  </rv>
  <rv s="0">
    <fb>1.0643889</fb>
    <v>28</v>
  </rv>
  <rv s="0">
    <fb>0.16136690000000001</fb>
    <v>28</v>
  </rv>
  <rv s="2">
    <v>111</v>
    <v>7</v>
    <v>546</v>
    <v>7</v>
    <v>0</v>
    <v>Image of Fiji</v>
  </rv>
  <rv s="0">
    <fb>21.6</fb>
    <v>34</v>
  </rv>
  <rv s="1">
    <v>805306368</v>
    <v>Naiqama Lalabalavu (President)</v>
    <v>2aba88fb-57f0-f27f-b8f0-6ec5a0e31fa3</v>
    <v>en-US</v>
    <v>Generic</v>
  </rv>
  <rv s="1">
    <v>805306368</v>
    <v>Sitiveni Rabuka (Prime minister)</v>
    <v>8cbb53de-667e-2c2a-15d0-c067672edf35</v>
    <v>en-US</v>
    <v>Generic</v>
  </rv>
  <rv s="1">
    <v>805306368</v>
    <v>Salesi Temo (Chief justice)</v>
    <v>9e981794-d93f-8afd-625a-7439b492bcb8</v>
    <v>en-US</v>
    <v>Generic</v>
  </rv>
  <rv s="3">
    <v>242</v>
  </rv>
  <rv s="4">
    <v>https://www.bing.com/search?q=fiji&amp;form=skydnc</v>
    <v>Learn more on Bing</v>
  </rv>
  <rv s="0">
    <fb>67.340999999999994</fb>
    <v>34</v>
  </rv>
  <rv s="0">
    <fb>34</fb>
    <v>34</v>
  </rv>
  <rv s="0">
    <fb>1.28</fb>
    <v>32</v>
  </rv>
  <rv s="3">
    <v>243</v>
  </rv>
  <rv s="0">
    <fb>0.21413080000000001</fb>
    <v>28</v>
  </rv>
  <rv s="0">
    <fb>0.83740000000000003</fb>
    <v>29</v>
  </rv>
  <rv s="0">
    <fb>929766</fb>
    <v>9</v>
  </rv>
  <rv s="0">
    <fb>0.29699999999999999</fb>
    <v>28</v>
  </rv>
  <rv s="0">
    <fb>0.44700000000000001</fb>
    <v>28</v>
  </rv>
  <rv s="0">
    <fb>0.113</fb>
    <v>28</v>
  </rv>
  <rv s="0">
    <fb>0.152</fb>
    <v>28</v>
  </rv>
  <rv s="0">
    <fb>0.576430015563965</fb>
    <v>28</v>
  </rv>
  <rv s="1">
    <v>536870912</v>
    <v>Central Division, Fiji</v>
    <v>bbdd7043-1c11-f3c3-0ef2-27c066fda921</v>
    <v>en-US</v>
    <v>Map</v>
  </rv>
  <rv s="1">
    <v>536870912</v>
    <v>Eastern Division, Fiji</v>
    <v>343070ff-38b8-9270-a138-881ce98add99</v>
    <v>en-US</v>
    <v>Map</v>
  </rv>
  <rv s="1">
    <v>536870912</v>
    <v>Western Division, Fiji</v>
    <v>b02669d6-429e-0673-8796-2e37e1b6d993</v>
    <v>en-US</v>
    <v>Map</v>
  </rv>
  <rv s="1">
    <v>536870912</v>
    <v>Northern Division, Fiji</v>
    <v>ba9161fe-8aee-89ca-70ac-9f43e9ed184f</v>
    <v>en-US</v>
    <v>Map</v>
  </rv>
  <rv s="1">
    <v>536870912</v>
    <v>Rotuma</v>
    <v>b605ba05-20f0-8901-96c7-8f61c4f12c3b</v>
    <v>en-US</v>
    <v>Map</v>
  </rv>
  <rv s="3">
    <v>244</v>
  </rv>
  <rv s="0">
    <fb>0.24186678779757798</fb>
    <v>28</v>
  </rv>
  <rv s="3">
    <v>245</v>
  </rv>
  <rv s="0">
    <fb>0.32100000000000001</fb>
    <v>28</v>
  </rv>
  <rv s="0">
    <fb>4.1009998321533202E-2</fb>
    <v>35</v>
  </rv>
  <rv s="0">
    <fb>505048</fb>
    <v>9</v>
  </rv>
  <rv s="25">
    <v>#VALUE!</v>
    <v>en-US</v>
    <v>1e7531ea-2f80-cf66-239a-b27dc04ddd4e</v>
    <v>536870912</v>
    <v>1</v>
    <v>549</v>
    <v>196</v>
    <v>Fiji</v>
    <v>5</v>
    <v>6</v>
    <v>Map</v>
    <v>7</v>
    <v>550</v>
    <v>FJ</v>
    <v>3460</v>
    <v>3461</v>
    <v>3462</v>
    <v>3463</v>
    <v>3464</v>
    <v>3449</v>
    <v>3465</v>
    <v>3466</v>
    <v>3467</v>
    <v>FJD</v>
    <v>Fiji, officially the Republic of Fiji, is an island country in Melanesia, part of Oceania in the South Pacific Ocean. It lies about 1,100 nautical miles north-northeast of New Zealand. Fiji consists of an archipelago of more than 330 islands—of ...</v>
    <v>3468</v>
    <v>3469</v>
    <v>434</v>
    <v>3470</v>
    <v>3471</v>
    <v>3472</v>
    <v>3473</v>
    <v>3474</v>
    <v>3475</v>
    <v>3449</v>
    <v>3479</v>
    <v>3480</v>
    <v>3481</v>
    <v>3482</v>
    <v>3483</v>
    <v>Fiji</v>
    <v>God Bless Fiji</v>
    <v>3484</v>
    <v>Republic of Fiji</v>
    <v>3485</v>
    <v>3486</v>
    <v>3487</v>
    <v>1659</v>
    <v>3488</v>
    <v>3489</v>
    <v>175</v>
    <v>176</v>
    <v>3490</v>
    <v>3491</v>
    <v>3492</v>
    <v>3498</v>
    <v>3499</v>
    <v>3500</v>
    <v>3501</v>
    <v>3502</v>
    <v>Fiji</v>
    <v>3503</v>
    <v>mdp/vdpid/78</v>
  </rv>
  <rv s="1">
    <v>536870912</v>
    <v>Helsinki</v>
    <v>0aeca411-32eb-87fa-e67f-5c3dacc3532c</v>
    <v>en-US</v>
    <v>Map</v>
  </rv>
  <rv s="1">
    <v>536870912</v>
    <v>Southern Finland Province</v>
    <v>af9c08a4-1f94-1cf0-0bc0-328630543c25</v>
    <v>en-US</v>
    <v>Map</v>
  </rv>
  <rv s="1">
    <v>536870912</v>
    <v>Uusimaa</v>
    <v>aeb26ea9-2089-3324-80d3-641f3baa97bc</v>
    <v>en-US</v>
    <v>Map</v>
  </rv>
  <rv s="0">
    <fb>214.42</fb>
    <v>9</v>
  </rv>
  <rv s="1">
    <v>536870912</v>
    <v>Finland</v>
    <v>ceea53a9-734c-46c7-a9f7-185e7cf6826e</v>
    <v>en-US</v>
    <v>Map</v>
  </rv>
  <rv s="2">
    <v>112</v>
    <v>7</v>
    <v>551</v>
    <v>7</v>
    <v>0</v>
    <v>Image of Helsinki</v>
  </rv>
  <rv s="1">
    <v>805306368</v>
    <v>Juhana Vartiainen (Mayor)</v>
    <v>03163cf7-b3b2-774c-3a01-6e3a7cd0318a</v>
    <v>en-US</v>
    <v>Generic</v>
  </rv>
  <rv s="3">
    <v>246</v>
  </rv>
  <rv s="4">
    <v>https://www.bing.com/search?q=helsinki&amp;form=skydnc</v>
    <v>Learn more on Bing</v>
  </rv>
  <rv s="0">
    <fb>684589</fb>
    <v>9</v>
  </rv>
  <rv s="5">
    <v>#VALUE!</v>
    <v>en-US</v>
    <v>0aeca411-32eb-87fa-e67f-5c3dacc3532c</v>
    <v>536870912</v>
    <v>1</v>
    <v>552</v>
    <v>3</v>
    <v>Helsinki</v>
    <v>5</v>
    <v>6</v>
    <v>Map</v>
    <v>7</v>
    <v>169</v>
    <v>3506</v>
    <v>3507</v>
    <v>3508</v>
    <v>3509</v>
    <v>Helsinki is the capital and most populous city in Finland. It is on the shore of the Gulf of Finland and is the seat of southern Finland's Uusimaa region. About 685,000 people live in the municipality, with 1.3 million in the capital region and ...</v>
    <v>3510</v>
    <v>12</v>
    <v>3512</v>
    <v>3513</v>
    <v>13</v>
    <v>Helsinki</v>
    <v>3514</v>
    <v>1695</v>
    <v>Helsinki</v>
    <v>mdp/vdpid/7030584380934324225</v>
  </rv>
  <rv s="0">
    <fb>7.4857688131354697E-2</fb>
    <v>28</v>
  </rv>
  <rv s="0">
    <fb>338478.34</fb>
    <v>9</v>
  </rv>
  <rv s="0">
    <fb>25000</fb>
    <v>9</v>
  </rv>
  <rv s="0">
    <fb>8.6</fb>
    <v>29</v>
  </rv>
  <rv s="0">
    <fb>358</fb>
    <v>30</v>
  </rv>
  <rv s="0">
    <fb>45870.502999999997</fb>
    <v>9</v>
  </rv>
  <rv s="0">
    <fb>112.331712088838</fb>
    <v>31</v>
  </rv>
  <rv s="0">
    <fb>1.0240939296342899E-2</fb>
    <v>28</v>
  </rv>
  <rv s="0">
    <fb>15249.989380230199</fb>
    <v>9</v>
  </rv>
  <rv s="0">
    <fb>1.41</fb>
    <v>29</v>
  </rv>
  <rv s="0">
    <fb>0.7310716988582151</fb>
    <v>28</v>
  </rv>
  <rv s="0">
    <fb>40.207982989952903</fb>
    <v>34</v>
  </rv>
  <rv s="0">
    <fb>1.45</fb>
    <v>32</v>
  </rv>
  <rv s="0">
    <fb>268761201364.70499</fb>
    <v>33</v>
  </rv>
  <rv s="0">
    <fb>1.0015464000000001</fb>
    <v>28</v>
  </rv>
  <rv s="0">
    <fb>0.88197829999999999</fb>
    <v>28</v>
  </rv>
  <rv s="2">
    <v>113</v>
    <v>7</v>
    <v>554</v>
    <v>7</v>
    <v>0</v>
    <v>Image of Finland</v>
  </rv>
  <rv s="0">
    <fb>1.4</fb>
    <v>34</v>
  </rv>
  <rv s="1">
    <v>805306368</v>
    <v>Alexander Stubb (President)</v>
    <v>8b3d7a61-5ae2-62d2-5b7d-6052bac2305a</v>
    <v>en-US</v>
    <v>Generic</v>
  </rv>
  <rv s="1">
    <v>805306368</v>
    <v>Petteri Orpo (Prime minister)</v>
    <v>f89fd370-e67c-1205-35bf-ef0bc79a5a2e</v>
    <v>en-US</v>
    <v>Generic</v>
  </rv>
  <rv s="3">
    <v>247</v>
  </rv>
  <rv s="4">
    <v>https://www.bing.com/search?q=finland&amp;form=skydnc</v>
    <v>Learn more on Bing</v>
  </rv>
  <rv s="0">
    <fb>81.734146341463401</fb>
    <v>34</v>
  </rv>
  <rv s="0">
    <fb>183765380000</fb>
    <v>33</v>
  </rv>
  <rv s="0">
    <fb>3</fb>
    <v>34</v>
  </rv>
  <rv s="3">
    <v>248</v>
  </rv>
  <rv s="0">
    <fb>0.19890897120000001</fb>
    <v>28</v>
  </rv>
  <rv s="0">
    <fb>3.8079999999999998</fb>
    <v>29</v>
  </rv>
  <rv s="0">
    <fb>5556880</fb>
    <v>9</v>
  </rv>
  <rv s="0">
    <fb>0.36899999999999999</fb>
    <v>28</v>
  </rv>
  <rv s="0">
    <fb>0.17399999999999999</fb>
    <v>28</v>
  </rv>
  <rv s="0">
    <fb>0.59081001281738299</fb>
    <v>28</v>
  </rv>
  <rv s="1">
    <v>536870912</v>
    <v>Southwest Finland</v>
    <v>36f656ca-0603-8487-ecd9-ad449dcc8d00</v>
    <v>en-US</v>
    <v>Map</v>
  </rv>
  <rv s="1">
    <v>536870912</v>
    <v>Satakunta</v>
    <v>62dab655-b1ff-c539-4d43-b29a865d202d</v>
    <v>en-US</v>
    <v>Map</v>
  </rv>
  <rv s="1">
    <v>536870912</v>
    <v>Päijät-Häme</v>
    <v>a894d559-d5c1-2174-7d8c-5ce5194e4d8d</v>
    <v>en-US</v>
    <v>Map</v>
  </rv>
  <rv s="1">
    <v>536870912</v>
    <v>North Savo</v>
    <v>f4605db2-8131-4e30-6ff3-b26c4edcd3a5</v>
    <v>en-US</v>
    <v>Map</v>
  </rv>
  <rv s="1">
    <v>536870912</v>
    <v>North Ostrobothnia</v>
    <v>38a96244-d1b6-0cd2-0a5f-c4f71fdfb058</v>
    <v>en-US</v>
    <v>Map</v>
  </rv>
  <rv s="1">
    <v>536870912</v>
    <v>North Karelia</v>
    <v>8f782f0d-9789-3cf0-a6bd-73c64f46ad75</v>
    <v>en-US</v>
    <v>Map</v>
  </rv>
  <rv s="1">
    <v>536870912</v>
    <v>Ostrobothnia</v>
    <v>433576fc-e9eb-202e-bf37-ad7d25850cd2</v>
    <v>en-US</v>
    <v>Map</v>
  </rv>
  <rv s="1">
    <v>536870912</v>
    <v>Pirkanmaa</v>
    <v>efa83642-e73e-4c06-3b89-befa0538fef8</v>
    <v>en-US</v>
    <v>Map</v>
  </rv>
  <rv s="1">
    <v>536870912</v>
    <v>Lapland</v>
    <v>35688ab6-5a44-f256-ae52-9509c95e57c4</v>
    <v>en-US</v>
    <v>Map</v>
  </rv>
  <rv s="1">
    <v>536870912</v>
    <v>Kymenlaakso</v>
    <v>420f22d8-81a7-101d-bbbd-695a0d9c0254</v>
    <v>en-US</v>
    <v>Map</v>
  </rv>
  <rv s="1">
    <v>536870912</v>
    <v>Central Finland</v>
    <v>da7cb687-7e8e-9492-e8d7-971a6acd8591</v>
    <v>en-US</v>
    <v>Map</v>
  </rv>
  <rv s="1">
    <v>536870912</v>
    <v>Central Ostrobothnia</v>
    <v>2ea2271e-1e9b-9eb0-5c2e-1956c8acdec8</v>
    <v>en-US</v>
    <v>Map</v>
  </rv>
  <rv s="1">
    <v>536870912</v>
    <v>Kanta-Häme</v>
    <v>3da25e41-5c32-8c9a-b775-1144a7adb11b</v>
    <v>en-US</v>
    <v>Map</v>
  </rv>
  <rv s="1">
    <v>536870912</v>
    <v>Kainuu</v>
    <v>7528e56e-a1c3-7311-5e74-00b9ae5b6616</v>
    <v>en-US</v>
    <v>Map</v>
  </rv>
  <rv s="1">
    <v>536870912</v>
    <v>South Savo</v>
    <v>b907be48-40f4-42e2-8180-d6b9ecb7bbeb</v>
    <v>en-US</v>
    <v>Map</v>
  </rv>
  <rv s="1">
    <v>536870912</v>
    <v>South Ostrobothnia</v>
    <v>ee7c4f66-0eb6-edae-cd31-d52870ce057b</v>
    <v>en-US</v>
    <v>Map</v>
  </rv>
  <rv s="1">
    <v>536870912</v>
    <v>South Karelia</v>
    <v>0242e7c7-6306-3225-9d67-6224857383b8</v>
    <v>en-US</v>
    <v>Map</v>
  </rv>
  <rv s="1">
    <v>536870912</v>
    <v>Åland</v>
    <v>ab8a831d-0b71-1ead-44a6-e6abe024bb96</v>
    <v>en-US</v>
    <v>Map</v>
  </rv>
  <rv s="3">
    <v>249</v>
  </rv>
  <rv s="0">
    <fb>0.20839038093492801</fb>
    <v>28</v>
  </rv>
  <rv s="0">
    <fb>6.594999790191651E-2</fb>
    <v>35</v>
  </rv>
  <rv s="0">
    <fb>4716888</fb>
    <v>9</v>
  </rv>
  <rv s="40">
    <v>#VALUE!</v>
    <v>en-US</v>
    <v>ceea53a9-734c-46c7-a9f7-185e7cf6826e</v>
    <v>536870912</v>
    <v>1</v>
    <v>557</v>
    <v>433</v>
    <v>Finland</v>
    <v>5</v>
    <v>6</v>
    <v>Map</v>
    <v>7</v>
    <v>558</v>
    <v>FI</v>
    <v>3516</v>
    <v>3517</v>
    <v>3518</v>
    <v>3519</v>
    <v>3520</v>
    <v>3505</v>
    <v>3521</v>
    <v>3522</v>
    <v>3523</v>
    <v>EUR</v>
    <v>Finland, officially the Republic of Finland, is a Nordic country in Northern Europe. It borders Sweden to the northwest, Norway to the north, and Russia to the east, with the Gulf of Bothnia to the west and the Gulf of Finland to the south, ...</v>
    <v>3524</v>
    <v>3525</v>
    <v>3526</v>
    <v>3527</v>
    <v>3528</v>
    <v>3529</v>
    <v>3530</v>
    <v>3531</v>
    <v>3532</v>
    <v>3533</v>
    <v>3505</v>
    <v>3536</v>
    <v>3537</v>
    <v>3538</v>
    <v>3539</v>
    <v>3540</v>
    <v>Finland</v>
    <v>Maamme</v>
    <v>3541</v>
    <v>Suomen tasavalta</v>
    <v>3542</v>
    <v>3543</v>
    <v>3544</v>
    <v>240</v>
    <v>605</v>
    <v>3545</v>
    <v>386</v>
    <v>244</v>
    <v>3070</v>
    <v>3546</v>
    <v>3547</v>
    <v>3566</v>
    <v>3567</v>
    <v>1695</v>
    <v>194</v>
    <v>3568</v>
    <v>Finland</v>
    <v>3569</v>
    <v>mdp/vdpid/77</v>
  </rv>
  <rv s="1">
    <v>536870912</v>
    <v>Paris</v>
    <v>85584d24-2116-5b98-89f9-5714db931ac6</v>
    <v>en-US</v>
    <v>Map</v>
  </rv>
  <rv s="1">
    <v>536870912</v>
    <v>Metropolitan France</v>
    <v>a50a7b3c-58a6-b52d-98d1-10a1a763403b</v>
    <v>en-US</v>
    <v>Map</v>
  </rv>
  <rv s="1">
    <v>536870912</v>
    <v>Île-de-France</v>
    <v>ba200862-fc37-6d22-3434-c6e709faa507</v>
    <v>en-US</v>
    <v>Map</v>
  </rv>
  <rv s="0">
    <fb>105.4</fb>
    <v>9</v>
  </rv>
  <rv s="1">
    <v>536870912</v>
    <v>France</v>
    <v>c7bfe2de-4f82-e23c-ae42-8544b5b5c0ea</v>
    <v>en-US</v>
    <v>Map</v>
  </rv>
  <rv s="2">
    <v>114</v>
    <v>7</v>
    <v>559</v>
    <v>7</v>
    <v>0</v>
    <v>Image of Paris</v>
  </rv>
  <rv s="1">
    <v>805306368</v>
    <v>Anne Hidalgo (Mayor)</v>
    <v>f26212ed-b25d-e4f8-ecf0-85777b9d38cf</v>
    <v>en-US</v>
    <v>Generic</v>
  </rv>
  <rv s="3">
    <v>250</v>
  </rv>
  <rv s="4">
    <v>https://www.bing.com/search?q=paris+france&amp;form=skydnc</v>
    <v>Learn more on Bing</v>
  </rv>
  <rv s="0">
    <fb>2048472</fb>
    <v>9</v>
  </rv>
  <rv s="5">
    <v>#VALUE!</v>
    <v>en-US</v>
    <v>85584d24-2116-5b98-89f9-5714db931ac6</v>
    <v>536870912</v>
    <v>1</v>
    <v>560</v>
    <v>3</v>
    <v>Paris</v>
    <v>5</v>
    <v>6</v>
    <v>Map</v>
    <v>7</v>
    <v>561</v>
    <v>3572</v>
    <v>3573</v>
    <v>3574</v>
    <v>3575</v>
    <v>Paris is the capital and largest city of France. With an estimated population of 2,048,472 residents in January 2025 in an area of more than 105 km², Paris is the fourth-most populous city in the European Union, the ninth-most populous city in ...</v>
    <v>3576</v>
    <v>14</v>
    <v>3578</v>
    <v>3579</v>
    <v>15</v>
    <v>Paris</v>
    <v>3580</v>
    <v>308</v>
    <v>Paris</v>
    <v>mdp/vdpid/7012570570818584578</v>
  </rv>
  <rv s="0">
    <fb>0.524475441661716</fb>
    <v>28</v>
  </rv>
  <rv s="0">
    <fb>643801</fb>
    <v>9</v>
  </rv>
  <rv s="0">
    <fb>307000</fb>
    <v>9</v>
  </rv>
  <rv s="0">
    <fb>11.3</fb>
    <v>29</v>
  </rv>
  <rv s="0">
    <fb>33</fb>
    <v>30</v>
  </rv>
  <rv s="0">
    <fb>303275.56800000003</fb>
    <v>9</v>
  </rv>
  <rv s="0">
    <fb>110.04856675289</fb>
    <v>31</v>
  </rv>
  <rv s="0">
    <fb>1.1082549228829199E-2</fb>
    <v>28</v>
  </rv>
  <rv s="0">
    <fb>6939.5214736692897</fb>
    <v>9</v>
  </rv>
  <rv s="0">
    <fb>1.88</fb>
    <v>29</v>
  </rv>
  <rv s="0">
    <fb>0.31233278442262596</fb>
    <v>28</v>
  </rv>
  <rv s="0">
    <fb>46.487970872236403</fb>
    <v>34</v>
  </rv>
  <rv s="0">
    <fb>1.39</fb>
    <v>32</v>
  </rv>
  <rv s="0">
    <fb>2715518274227.4502</fb>
    <v>33</v>
  </rv>
  <rv s="0">
    <fb>1.0251076000000001</fb>
    <v>28</v>
  </rv>
  <rv s="0">
    <fb>0.65629000000000004</fb>
    <v>28</v>
  </rv>
  <rv s="2">
    <v>115</v>
    <v>7</v>
    <v>563</v>
    <v>7</v>
    <v>0</v>
    <v>Image of France</v>
  </rv>
  <rv s="0">
    <fb>3.4</fb>
    <v>34</v>
  </rv>
  <rv s="1">
    <v>805306368</v>
    <v>Emmanuel Macron (President)</v>
    <v>35be5a56-7a78-6352-b158-60da8f84c858</v>
    <v>en-US</v>
    <v>Generic</v>
  </rv>
  <rv s="1">
    <v>805306368</v>
    <v>François Bayrou (Prime minister)</v>
    <v>901a2dc7-aad0-c6da-f219-c2d7def8acba</v>
    <v>en-US</v>
    <v>Generic</v>
  </rv>
  <rv s="3">
    <v>251</v>
  </rv>
  <rv s="4">
    <v>https://www.bing.com/search?q=france&amp;form=skydnc</v>
    <v>Learn more on Bing</v>
  </rv>
  <rv s="0">
    <fb>82.526829268292701</fb>
    <v>34</v>
  </rv>
  <rv s="0">
    <fb>2365950236659.3599</fb>
    <v>33</v>
  </rv>
  <rv s="0">
    <fb>11.16</fb>
    <v>32</v>
  </rv>
  <rv s="0">
    <fb>6.7968269799999995E-2</fb>
    <v>28</v>
  </rv>
  <rv s="0">
    <fb>3.2671999999999999</fb>
    <v>29</v>
  </rv>
  <rv s="0">
    <fb>67749632</fb>
    <v>9</v>
  </rv>
  <rv s="0">
    <fb>0.25800000000000001</fb>
    <v>28</v>
  </rv>
  <rv s="0">
    <fb>0.4</fb>
    <v>28</v>
  </rv>
  <rv s="0">
    <fb>0.16899999999999998</fb>
    <v>28</v>
  </rv>
  <rv s="0">
    <fb>0.55125999450683605</fb>
    <v>28</v>
  </rv>
  <rv s="1">
    <v>536870912</v>
    <v>Brittany</v>
    <v>809fb739-638d-2499-95bd-c8e5b10153ee</v>
    <v>en-US</v>
    <v>Map</v>
  </rv>
  <rv s="1">
    <v>536870912</v>
    <v>Centre-Val de Loire</v>
    <v>6aafd8c4-aba3-0388-62a3-d302e77f40c4</v>
    <v>en-US</v>
    <v>Map</v>
  </rv>
  <rv s="1">
    <v>536870912</v>
    <v>Corsica</v>
    <v>7dae6ff4-03ba-2162-da4b-d4cf544ad43f</v>
    <v>en-US</v>
    <v>Map</v>
  </rv>
  <rv s="1">
    <v>536870912</v>
    <v>Pays de la Loire</v>
    <v>a6129a88-a4cd-2b75-1a35-f5d0639f17ae</v>
    <v>en-US</v>
    <v>Map</v>
  </rv>
  <rv s="1">
    <v>536870912</v>
    <v>Provence-Alpes-Côte d'Azur</v>
    <v>66cd1ae3-f633-45f9-93bd-73ca67bffb25</v>
    <v>en-US</v>
    <v>Map</v>
  </rv>
  <rv s="1">
    <v>536870912</v>
    <v>Guadeloupe</v>
    <v>56b80aaa-d840-1a73-13ba-70eb9b61a642</v>
    <v>en-US</v>
    <v>Map</v>
  </rv>
  <rv s="1">
    <v>536870912</v>
    <v>French Guiana</v>
    <v>328feb88-20d1-8674-1574-3ce8cc0bc9e9</v>
    <v>en-US</v>
    <v>Map</v>
  </rv>
  <rv s="1">
    <v>536870912</v>
    <v>Martinique</v>
    <v>f245adef-ee09-9352-e265-2a287e5eadbe</v>
    <v>en-US</v>
    <v>Map</v>
  </rv>
  <rv s="1">
    <v>536870912</v>
    <v>Mayotte</v>
    <v>545cc8bc-c211-076d-ee26-d2ff955eb394</v>
    <v>en-US</v>
    <v>Map</v>
  </rv>
  <rv s="1">
    <v>536870912</v>
    <v>Réunion</v>
    <v>7d1fa0b0-e3d7-d903-d64d-489c03fd0a75</v>
    <v>en-US</v>
    <v>Map</v>
  </rv>
  <rv s="1">
    <v>536870912</v>
    <v>French Polynesia</v>
    <v>340e15d5-6b74-8497-bbfa-4c1f323f5483</v>
    <v>en-US</v>
    <v>Map</v>
  </rv>
  <rv s="1">
    <v>536870912</v>
    <v>French Southern and Antarctic Lands</v>
    <v>b9d52319-44ee-bf16-d95f-72397f26ce4a</v>
    <v>en-US</v>
    <v>Map</v>
  </rv>
  <rv s="1">
    <v>536870912</v>
    <v>New Caledonia</v>
    <v>25b2aeab-b390-d01e-1f7f-90be767bd899</v>
    <v>en-US</v>
    <v>Map</v>
  </rv>
  <rv s="1">
    <v>536870912</v>
    <v>Saint Barthélemy</v>
    <v>5c5081a9-306e-4f05-73a2-32b95a4b8600</v>
    <v>en-US</v>
    <v>Map</v>
  </rv>
  <rv s="1">
    <v>536870912</v>
    <v>Collectivity of Saint Martin</v>
    <v>281a8fb2-1b63-4320-5d31-8f0fb46c4f1a</v>
    <v>en-US</v>
    <v>Map</v>
  </rv>
  <rv s="1">
    <v>536870912</v>
    <v>Saint Pierre and Miquelon</v>
    <v>aa096cf4-a54e-cd44-7204-c28310ca40f4</v>
    <v>en-US</v>
    <v>Map</v>
  </rv>
  <rv s="1">
    <v>536870912</v>
    <v>Wallis and Futuna</v>
    <v>db8aa235-58e4-9e3d-8799-6839f3d35025</v>
    <v>en-US</v>
    <v>Map</v>
  </rv>
  <rv s="1">
    <v>536870912</v>
    <v>Grand Est</v>
    <v>e2f60e84-1701-6d84-e960-ba87138e3631</v>
    <v>en-US</v>
    <v>Map</v>
  </rv>
  <rv s="1">
    <v>536870912</v>
    <v>Nouvelle-Aquitaine</v>
    <v>7955f423-af31-d2e0-f045-b14668178865</v>
    <v>en-US</v>
    <v>Map</v>
  </rv>
  <rv s="1">
    <v>536870912</v>
    <v>Auvergne-Rhône-Alpes</v>
    <v>b53940d0-b739-faf5-78d1-93f189f878c9</v>
    <v>en-US</v>
    <v>Map</v>
  </rv>
  <rv s="1">
    <v>536870912</v>
    <v>Bourgogne-Franche-Comté</v>
    <v>4bc8dff1-8d72-5341-f405-63c7be8c6672</v>
    <v>en-US</v>
    <v>Map</v>
  </rv>
  <rv s="1">
    <v>536870912</v>
    <v>Occitania</v>
    <v>5105d172-dc70-689f-09ab-4163a747508a</v>
    <v>en-US</v>
    <v>Map</v>
  </rv>
  <rv s="1">
    <v>536870912</v>
    <v>Hauts-de-France</v>
    <v>4eb2d0b0-8845-48d0-9343-9ba3e7fe81a0</v>
    <v>en-US</v>
    <v>Map</v>
  </rv>
  <rv s="1">
    <v>536870912</v>
    <v>Clipperton Island</v>
    <v>15fb63fc-f501-7360-7d44-f26d1501209e</v>
    <v>en-US</v>
    <v>Map</v>
  </rv>
  <rv s="3">
    <v>252</v>
  </rv>
  <rv s="0">
    <fb>0.24229980509910898</fb>
    <v>28</v>
  </rv>
  <rv s="0">
    <fb>0.60699999999999998</fb>
    <v>28</v>
  </rv>
  <rv s="0">
    <fb>8.4270000457763714E-2</fb>
    <v>35</v>
  </rv>
  <rv s="0">
    <fb>54123364</fb>
    <v>9</v>
  </rv>
  <rv s="9">
    <v>#VALUE!</v>
    <v>en-US</v>
    <v>c7bfe2de-4f82-e23c-ae42-8544b5b5c0ea</v>
    <v>536870912</v>
    <v>1</v>
    <v>566</v>
    <v>55</v>
    <v>France</v>
    <v>5</v>
    <v>6</v>
    <v>Map</v>
    <v>7</v>
    <v>567</v>
    <v>FR</v>
    <v>3582</v>
    <v>3583</v>
    <v>3584</v>
    <v>3585</v>
    <v>3586</v>
    <v>3571</v>
    <v>3587</v>
    <v>3588</v>
    <v>3589</v>
    <v>EUR</v>
    <v>France, officially the French Republic, is a country located primarily in Western Europe. Its overseas regions and territories include French Guiana in South America, Saint Pierre and Miquelon in the North Atlantic, the French West Indies, and ...</v>
    <v>3590</v>
    <v>3591</v>
    <v>3592</v>
    <v>3593</v>
    <v>3594</v>
    <v>3595</v>
    <v>3596</v>
    <v>3597</v>
    <v>3598</v>
    <v>3599</v>
    <v>3571</v>
    <v>3602</v>
    <v>3603</v>
    <v>3604</v>
    <v>3605</v>
    <v>2628</v>
    <v>3606</v>
    <v>France</v>
    <v>La Marseillaise</v>
    <v>1220</v>
    <v>République française</v>
    <v>3607</v>
    <v>3608</v>
    <v>3609</v>
    <v>1109</v>
    <v>3610</v>
    <v>3611</v>
    <v>1167</v>
    <v>588</v>
    <v>2530</v>
    <v>3612</v>
    <v>3613</v>
    <v>3638</v>
    <v>3639</v>
    <v>193</v>
    <v>3640</v>
    <v>3641</v>
    <v>France</v>
    <v>3642</v>
    <v>mdp/vdpid/84</v>
  </rv>
  <rv s="1">
    <v>536870912</v>
    <v>Libreville</v>
    <v>8cf1387f-7713-cd7f-c3f9-7f932df1bc10</v>
    <v>en-US</v>
    <v>Map</v>
  </rv>
  <rv s="1">
    <v>536870912</v>
    <v>Estuaire Province</v>
    <v>a6dad9ab-b3fa-277f-52a5-96da6142ea76</v>
    <v>en-US</v>
    <v>Map</v>
  </rv>
  <rv s="0">
    <fb>65.400000000000006</fb>
    <v>9</v>
  </rv>
  <rv s="1">
    <v>536870912</v>
    <v>Gabon</v>
    <v>699f8937-631d-88ab-7da4-c4d4107ecdde</v>
    <v>en-US</v>
    <v>Map</v>
  </rv>
  <rv s="2">
    <v>116</v>
    <v>7</v>
    <v>569</v>
    <v>7</v>
    <v>0</v>
    <v>Image of Libreville</v>
  </rv>
  <rv s="0">
    <fb>0.3901</fb>
    <v>0</v>
  </rv>
  <rv s="4">
    <v>https://www.bing.com/search?q=libreville&amp;form=skydnc</v>
    <v>Learn more on Bing</v>
  </rv>
  <rv s="0">
    <fb>9.4543999999999997</fb>
    <v>0</v>
  </rv>
  <rv s="0">
    <fb>797003</fb>
    <v>9</v>
  </rv>
  <rv s="14">
    <v>#VALUE!</v>
    <v>en-US</v>
    <v>8cf1387f-7713-cd7f-c3f9-7f932df1bc10</v>
    <v>536870912</v>
    <v>1</v>
    <v>570</v>
    <v>81</v>
    <v>Libreville</v>
    <v>5</v>
    <v>6</v>
    <v>Map</v>
    <v>7</v>
    <v>571</v>
    <v>3645</v>
    <v>3646</v>
    <v>3647</v>
    <v>Libreville is the capital and largest city of Gabon. Occupying 65 square kilometres in the northwestern province of Estuaire, Libreville is a port on the Komo River, near the Gulf of Guinea. As of the 2013 census, its population was 703,904.</v>
    <v>3648</v>
    <v>3649</v>
    <v>3650</v>
    <v>3651</v>
    <v>Libreville</v>
    <v>3652</v>
    <v>Libreville</v>
    <v>mdp/vdpid/7304666371701342209</v>
  </rv>
  <rv s="0">
    <fb>0.20025614157643498</fb>
    <v>28</v>
  </rv>
  <rv s="0">
    <fb>267667</fb>
    <v>9</v>
  </rv>
  <rv s="0">
    <fb>7000</fb>
    <v>9</v>
  </rv>
  <rv s="0">
    <fb>31.611000000000001</fb>
    <v>29</v>
  </rv>
  <rv s="0">
    <fb>241</fb>
    <v>30</v>
  </rv>
  <rv s="0">
    <fb>5320.817</fb>
    <v>9</v>
  </rv>
  <rv s="0">
    <fb>122.18684118369301</fb>
    <v>31</v>
  </rv>
  <rv s="0">
    <fb>2.0619978836274502E-2</fb>
    <v>28</v>
  </rv>
  <rv s="0">
    <fb>1167.8522136107899</fb>
    <v>9</v>
  </rv>
  <rv s="0">
    <fb>3.9689999999999999</fb>
    <v>29</v>
  </rv>
  <rv s="0">
    <fb>0.90037645049869997</fb>
    <v>28</v>
  </rv>
  <rv s="0">
    <fb>22.786516313758199</fb>
    <v>34</v>
  </rv>
  <rv s="0">
    <fb>16657960228.089199</fb>
    <v>33</v>
  </rv>
  <rv s="0">
    <fb>1.3993362999999999</fb>
    <v>28</v>
  </rv>
  <rv s="0">
    <fb>8.3058599999999996E-2</fb>
    <v>28</v>
  </rv>
  <rv s="2">
    <v>117</v>
    <v>7</v>
    <v>573</v>
    <v>7</v>
    <v>0</v>
    <v>Image of Gabon</v>
  </rv>
  <rv s="0">
    <fb>32.700000000000003</fb>
    <v>34</v>
  </rv>
  <rv s="1">
    <v>805306368</v>
    <v>Brice Oligui Nguema (President)</v>
    <v>f8c968b5-7825-b875-f8c8-901414da5deb</v>
    <v>en-US</v>
    <v>Generic</v>
  </rv>
  <rv s="1">
    <v>805306368</v>
    <v>Brice Oligui Nguema (Chairman)</v>
    <v>f8c968b5-7825-b875-f8c8-901414da5deb</v>
    <v>en-US</v>
    <v>Generic</v>
  </rv>
  <rv s="1">
    <v>805306368</v>
    <v>Joseph Owondault Berre (Vice president)</v>
    <v>4ad7d1bb-3b10-1e54-e618-666880923028</v>
    <v>en-US</v>
    <v>Generic</v>
  </rv>
  <rv s="1">
    <v>805306368</v>
    <v>Raymond Ndong Sima (Prime minister)</v>
    <v>8ed8189a-e8ce-6461-c68d-4d227ac636d3</v>
    <v>en-US</v>
    <v>Generic</v>
  </rv>
  <rv s="3">
    <v>253</v>
  </rv>
  <rv s="4">
    <v>https://www.bing.com/search?q=gabon&amp;form=skydnc</v>
    <v>Learn more on Bing</v>
  </rv>
  <rv s="0">
    <fb>66.186999999999998</fb>
    <v>34</v>
  </rv>
  <rv s="0">
    <fb>252</fb>
    <v>34</v>
  </rv>
  <rv s="0">
    <fb>1.46</fb>
    <v>32</v>
  </rv>
  <rv s="0">
    <fb>0.25904658609999998</fb>
    <v>28</v>
  </rv>
  <rv s="0">
    <fb>0.68189999999999995</fb>
    <v>29</v>
  </rv>
  <rv s="0">
    <fb>2388992</fb>
    <v>9</v>
  </rv>
  <rv s="0">
    <fb>0.23</fb>
    <v>28</v>
  </rv>
  <rv s="0">
    <fb>0.27699999999999997</fb>
    <v>28</v>
  </rv>
  <rv s="0">
    <fb>0.06</fb>
    <v>28</v>
  </rv>
  <rv s="0">
    <fb>0.157</fb>
    <v>28</v>
  </rv>
  <rv s="0">
    <fb>0.52895000457763697</fb>
    <v>28</v>
  </rv>
  <rv s="1">
    <v>536870912</v>
    <v>Haut-Ogooué Province</v>
    <v>eb127ae8-c90a-a2a3-a593-02e2b551956d</v>
    <v>en-US</v>
    <v>Map</v>
  </rv>
  <rv s="1">
    <v>536870912</v>
    <v>Moyen-Ogooué Province</v>
    <v>c2074810-8162-ffca-665c-e57d9f8148bf</v>
    <v>en-US</v>
    <v>Map</v>
  </rv>
  <rv s="1">
    <v>536870912</v>
    <v>Ngounié Province</v>
    <v>4a6d6361-635f-0d30-dfd0-9ed6a5cb63b0</v>
    <v>en-US</v>
    <v>Map</v>
  </rv>
  <rv s="1">
    <v>536870912</v>
    <v>Nyanga Province</v>
    <v>5033ff21-f53f-3e91-69e7-0afd46275833</v>
    <v>en-US</v>
    <v>Map</v>
  </rv>
  <rv s="1">
    <v>536870912</v>
    <v>Ogooué-Ivindo Province</v>
    <v>0c561973-31c3-1fa9-518d-1153f0cc5924</v>
    <v>en-US</v>
    <v>Map</v>
  </rv>
  <rv s="1">
    <v>536870912</v>
    <v>Ogooué-Lolo Province</v>
    <v>89ea1f8b-b578-d994-cfcd-fdf2e1250513</v>
    <v>en-US</v>
    <v>Map</v>
  </rv>
  <rv s="1">
    <v>536870912</v>
    <v>Ogooué-Maritime Province</v>
    <v>87c39d29-9e38-698e-6c3a-de6a5ec810ec</v>
    <v>en-US</v>
    <v>Map</v>
  </rv>
  <rv s="1">
    <v>536870912</v>
    <v>Woleu-Ntem Province</v>
    <v>e3a43d83-75e0-a65d-298f-14f219a370ce</v>
    <v>en-US</v>
    <v>Map</v>
  </rv>
  <rv s="3">
    <v>254</v>
  </rv>
  <rv s="0">
    <fb>0.102183913092029</fb>
    <v>28</v>
  </rv>
  <rv s="0">
    <fb>0.47100000000000003</fb>
    <v>28</v>
  </rv>
  <rv s="0">
    <fb>0.20003999710083001</fb>
    <v>35</v>
  </rv>
  <rv s="0">
    <fb>1949694</fb>
    <v>9</v>
  </rv>
  <rv s="8">
    <v>#VALUE!</v>
    <v>en-US</v>
    <v>699f8937-631d-88ab-7da4-c4d4107ecdde</v>
    <v>536870912</v>
    <v>1</v>
    <v>576</v>
    <v>46</v>
    <v>Gabon</v>
    <v>5</v>
    <v>6</v>
    <v>Map</v>
    <v>7</v>
    <v>577</v>
    <v>GA</v>
    <v>3654</v>
    <v>3655</v>
    <v>3656</v>
    <v>3657</v>
    <v>3658</v>
    <v>3644</v>
    <v>3659</v>
    <v>3660</v>
    <v>3661</v>
    <v>XAF</v>
    <v>Gabon, officially the Gabonese Republic, is a country on the Atlantic coast of Central Africa, on the equator, bordered by Equatorial Guinea to the northwest, Cameroon to the north, the Republic of the Congo to the east and south, and the Gulf ...</v>
    <v>3662</v>
    <v>3663</v>
    <v>3664</v>
    <v>3665</v>
    <v>825</v>
    <v>3666</v>
    <v>3667</v>
    <v>3668</v>
    <v>3669</v>
    <v>3670</v>
    <v>3644</v>
    <v>3675</v>
    <v>3676</v>
    <v>3677</v>
    <v>3678</v>
    <v>3679</v>
    <v>Gabon</v>
    <v>La Concorde</v>
    <v>1220</v>
    <v>Repubblica Gabonese</v>
    <v>3680</v>
    <v>3681</v>
    <v>3682</v>
    <v>3683</v>
    <v>3684</v>
    <v>1286</v>
    <v>1819</v>
    <v>3685</v>
    <v>728</v>
    <v>3686</v>
    <v>3687</v>
    <v>3696</v>
    <v>3697</v>
    <v>1969</v>
    <v>3698</v>
    <v>3699</v>
    <v>Gabon</v>
    <v>3700</v>
    <v>mdp/vdpid/87</v>
  </rv>
  <rv s="1">
    <v>536870912</v>
    <v>Banjul</v>
    <v>72e78ebd-b3dd-3152-78aa-ef828f48f70e</v>
    <v>en-US</v>
    <v>Map</v>
  </rv>
  <rv s="0">
    <fb>12.2</fb>
    <v>9</v>
  </rv>
  <rv s="1">
    <v>536870912</v>
    <v>The Gambia</v>
    <v>85386bee-ab6d-88df-9ba8-83cd1d537799</v>
    <v>en-US</v>
    <v>Map</v>
  </rv>
  <rv s="2">
    <v>118</v>
    <v>7</v>
    <v>578</v>
    <v>7</v>
    <v>0</v>
    <v>Image of Banjul</v>
  </rv>
  <rv s="1">
    <v>805306368</v>
    <v>Rohey Malick Lowe (Mayor)</v>
    <v>67402b08-0198-4b21-d168-cc0d1e1dbd94</v>
    <v>en-US</v>
    <v>Generic</v>
  </rv>
  <rv s="3">
    <v>255</v>
  </rv>
  <rv s="4">
    <v>https://www.bing.com/search?q=banjul&amp;form=skydnc</v>
    <v>Learn more on Bing</v>
  </rv>
  <rv s="0">
    <fb>31301</fb>
    <v>9</v>
  </rv>
  <rv s="3">
    <v>256</v>
  </rv>
  <rv s="16">
    <v>#VALUE!</v>
    <v>en-US</v>
    <v>72e78ebd-b3dd-3152-78aa-ef828f48f70e</v>
    <v>536870912</v>
    <v>1</v>
    <v>580</v>
    <v>92</v>
    <v>Banjul</v>
    <v>5</v>
    <v>6</v>
    <v>Map</v>
    <v>7</v>
    <v>190</v>
    <v>GM-B</v>
    <v>3703</v>
    <v>3704</v>
    <v>Banjul, officially the City of Banjul, is the capital city of The Gambia. It is the centre of the eponymous administrative division which is home to an estimated 400,000 residents, making it The Gambia's largest and most densely populated ...</v>
    <v>3705</v>
    <v>3707</v>
    <v>3708</v>
    <v>Banjul</v>
    <v>3709</v>
    <v>3710</v>
    <v>Banjul</v>
    <v>mdp/vdpid/5736485930609410049</v>
  </rv>
  <rv s="0">
    <fb>0.59782608695652195</fb>
    <v>28</v>
  </rv>
  <rv s="0">
    <fb>11300</fb>
    <v>9</v>
  </rv>
  <rv s="0">
    <fb>38.534999999999997</fb>
    <v>29</v>
  </rv>
  <rv s="0">
    <fb>220</fb>
    <v>30</v>
  </rv>
  <rv s="0">
    <fb>531.71500000000003</fb>
    <v>9</v>
  </rv>
  <rv s="0">
    <fb>172.730435584882</fb>
    <v>31</v>
  </rv>
  <rv s="0">
    <fb>7.1156762563118897E-2</fb>
    <v>28</v>
  </rv>
  <rv s="0">
    <fb>5.2190000000000003</fb>
    <v>29</v>
  </rv>
  <rv s="0">
    <fb>0.48379447243430396</fb>
    <v>28</v>
  </rv>
  <rv s="0">
    <fb>1.18</fb>
    <v>32</v>
  </rv>
  <rv s="0">
    <fb>1763819047.69838</fb>
    <v>33</v>
  </rv>
  <rv s="0">
    <fb>0.98014380000000001</fb>
    <v>28</v>
  </rv>
  <rv s="0">
    <fb>2.7246100000000002E-2</fb>
    <v>28</v>
  </rv>
  <rv s="2">
    <v>119</v>
    <v>7</v>
    <v>582</v>
    <v>7</v>
    <v>0</v>
    <v>Image of The Gambia</v>
  </rv>
  <rv s="1">
    <v>536870912</v>
    <v>Serekunda</v>
    <v>f3917dee-1062-2d23-ebf7-3c224aac6bb4</v>
    <v>en-US</v>
    <v>Map</v>
  </rv>
  <rv s="1">
    <v>805306368</v>
    <v>Adama Barrow (President)</v>
    <v>b4a2470d-4f06-2a38-0d39-ec4d5af2e634</v>
    <v>en-US</v>
    <v>Generic</v>
  </rv>
  <rv s="1">
    <v>805306368</v>
    <v>Muhammad B. S. Jallow (Vice president)</v>
    <v>16fb5420-e1c5-6209-80ed-d54722499ad5</v>
    <v>en-US</v>
    <v>Generic</v>
  </rv>
  <rv s="1">
    <v>805306368</v>
    <v>Hassan Bubacar Jallow (Chief justice)</v>
    <v>70b962a0-8f27-49a4-8c13-374f8c23727f</v>
    <v>en-US</v>
    <v>Generic</v>
  </rv>
  <rv s="3">
    <v>257</v>
  </rv>
  <rv s="4">
    <v>https://www.bing.com/search?q=the+gambia&amp;form=skydnc</v>
    <v>Learn more on Bing</v>
  </rv>
  <rv s="0">
    <fb>61.734999999999999</fb>
    <v>34</v>
  </rv>
  <rv s="0">
    <fb>597</fb>
    <v>34</v>
  </rv>
  <rv s="0">
    <fb>0.13</fb>
    <v>32</v>
  </rv>
  <rv s="0">
    <fb>0.20305275179999999</fb>
    <v>28</v>
  </rv>
  <rv s="0">
    <fb>0.1021</fb>
    <v>29</v>
  </rv>
  <rv s="0">
    <fb>2705992</fb>
    <v>9</v>
  </rv>
  <rv s="0">
    <fb>0.28699999999999998</fb>
    <v>28</v>
  </rv>
  <rv s="0">
    <fb>0.436</fb>
    <v>28</v>
  </rv>
  <rv s="0">
    <fb>0.11599999999999999</fb>
    <v>28</v>
  </rv>
  <rv s="0">
    <fb>0.59401000976562501</fb>
    <v>28</v>
  </rv>
  <rv s="1">
    <v>536870912</v>
    <v>Lower River Division</v>
    <v>f41047a2-baef-157c-fac5-41a1cc34bcd5</v>
    <v>en-US</v>
    <v>Map</v>
  </rv>
  <rv s="1">
    <v>536870912</v>
    <v>Central River Division</v>
    <v>87326972-186c-d4c4-b40b-ac937cfacbdc</v>
    <v>en-US</v>
    <v>Map</v>
  </rv>
  <rv s="1">
    <v>536870912</v>
    <v>North Bank Division</v>
    <v>583c1a5a-476b-a07d-cf82-a86e811cf222</v>
    <v>en-US</v>
    <v>Map</v>
  </rv>
  <rv s="1">
    <v>536870912</v>
    <v>Upper River Division</v>
    <v>a92ab152-33d4-b577-a430-49f713ce6dcf</v>
    <v>en-US</v>
    <v>Map</v>
  </rv>
  <rv s="1">
    <v>536870912</v>
    <v>West Coast Division</v>
    <v>cb7451d8-c3cc-d3ab-75ab-fe2feda99a9d</v>
    <v>en-US</v>
    <v>Map</v>
  </rv>
  <rv s="3">
    <v>258</v>
  </rv>
  <rv s="0">
    <fb>9.3940904811868398E-2</fb>
    <v>28</v>
  </rv>
  <rv s="3">
    <v>259</v>
  </rv>
  <rv s="0">
    <fb>9.0559997558593799E-2</fb>
    <v>35</v>
  </rv>
  <rv s="0">
    <fb>1453958</fb>
    <v>9</v>
  </rv>
  <rv s="25">
    <v>#VALUE!</v>
    <v>en-US</v>
    <v>85386bee-ab6d-88df-9ba8-83cd1d537799</v>
    <v>536870912</v>
    <v>1</v>
    <v>585</v>
    <v>196</v>
    <v>The Gambia</v>
    <v>5</v>
    <v>6</v>
    <v>Map</v>
    <v>7</v>
    <v>586</v>
    <v>GM</v>
    <v>3712</v>
    <v>3713</v>
    <v>817</v>
    <v>3714</v>
    <v>3715</v>
    <v>3702</v>
    <v>3716</v>
    <v>3717</v>
    <v>3718</v>
    <v>GMD</v>
    <v>The Gambia, officially the Republic of The Gambia, is a country in West Africa. Geographically, The Gambia is the smallest country in continental Africa; it is surrounded by Senegal on all sides except for the western part, which is bordered by ...</v>
    <v>3719</v>
    <v>3720</v>
    <v>434</v>
    <v>3721</v>
    <v>3722</v>
    <v>3723</v>
    <v>3724</v>
    <v>3725</v>
    <v>502</v>
    <v>3726</v>
    <v>3730</v>
    <v>3731</v>
    <v>3732</v>
    <v>3733</v>
    <v>3734</v>
    <v>The Gambia</v>
    <v>For The Gambia Our Homeland</v>
    <v>448</v>
    <v>Republic of The Gambia</v>
    <v>3735</v>
    <v>3736</v>
    <v>3737</v>
    <v>2128</v>
    <v>3738</v>
    <v>3739</v>
    <v>3400</v>
    <v>652</v>
    <v>3740</v>
    <v>3686</v>
    <v>3741</v>
    <v>3747</v>
    <v>3748</v>
    <v>3749</v>
    <v>3005</v>
    <v>3750</v>
    <v>The Gambia</v>
    <v>3751</v>
    <v>mdp/vdpid/86</v>
  </rv>
  <rv s="1">
    <v>536870912</v>
    <v>Tbilisi</v>
    <v>31ae24b1-d13b-8788-7bd5-9f35a3a73a51</v>
    <v>en-US</v>
    <v>Map</v>
  </rv>
  <rv s="0">
    <fb>720</fb>
    <v>9</v>
  </rv>
  <rv s="1">
    <v>536870912</v>
    <v>Georgia</v>
    <v>4fe7777a-3d26-0e6a-243d-ae6d45c843c6</v>
    <v>en-US</v>
    <v>Map</v>
  </rv>
  <rv s="2">
    <v>120</v>
    <v>7</v>
    <v>587</v>
    <v>7</v>
    <v>0</v>
    <v>Image of Tbilisi</v>
  </rv>
  <rv s="1">
    <v>805306368</v>
    <v>Kakha Kaladze (Mayor)</v>
    <v>1be992dd-33da-f1a6-60c4-30b72fa02e4b</v>
    <v>en-US</v>
    <v>Generic</v>
  </rv>
  <rv s="3">
    <v>260</v>
  </rv>
  <rv s="4">
    <v>https://www.bing.com/search?q=tbilisi&amp;form=skydnc</v>
    <v>Learn more on Bing</v>
  </rv>
  <rv s="3">
    <v>261</v>
  </rv>
  <rv s="0">
    <fb>1241700</fb>
    <v>9</v>
  </rv>
  <rv s="50">
    <v>#VALUE!</v>
    <v>en-US</v>
    <v>31ae24b1-d13b-8788-7bd5-9f35a3a73a51</v>
    <v>536870912</v>
    <v>1</v>
    <v>589</v>
    <v>590</v>
    <v>Tbilisi</v>
    <v>5</v>
    <v>6</v>
    <v>Map</v>
    <v>7</v>
    <v>111</v>
    <v>GE-TB</v>
    <v>3754</v>
    <v>3755</v>
    <v>Tbilisi, in some languages still known by its pre-1936 name Tiflis, is the capital and largest city of Georgia, lying on the banks of the Kura River with a population of around 1.2 million people. Tbilisi was founded in the fifth century AD by ...</v>
    <v>3756</v>
    <v>3758</v>
    <v>3759</v>
    <v>Tbilisi</v>
    <v>3760</v>
    <v>3761</v>
    <v>Tbilisi</v>
    <v>mdp/vdpid/7254940825358958593</v>
  </rv>
  <rv s="0">
    <fb>0.34451000143905602</fb>
    <v>28</v>
  </rv>
  <rv s="0">
    <fb>69700</fb>
    <v>9</v>
  </rv>
  <rv s="0">
    <fb>26000</fb>
    <v>9</v>
  </rv>
  <rv s="0">
    <fb>13.472</fb>
    <v>29</v>
  </rv>
  <rv s="0">
    <fb>995</fb>
    <v>30</v>
  </rv>
  <rv s="0">
    <fb>10128.254000000001</fb>
    <v>9</v>
  </rv>
  <rv s="0">
    <fb>133.61246666666699</fb>
    <v>31</v>
  </rv>
  <rv s="0">
    <fb>4.8528982169673093E-2</fb>
    <v>28</v>
  </rv>
  <rv s="0">
    <fb>2693.9727602251301</fb>
    <v>9</v>
  </rv>
  <rv s="0">
    <fb>2.06</fb>
    <v>29</v>
  </rv>
  <rv s="0">
    <fb>0.40615914553802701</fb>
    <v>28</v>
  </rv>
  <rv s="0">
    <fb>72.209535338091399</fb>
    <v>34</v>
  </rv>
  <rv s="0">
    <fb>0.76</fb>
    <v>32</v>
  </rv>
  <rv s="0">
    <fb>17743195770.199799</fb>
    <v>33</v>
  </rv>
  <rv s="0">
    <fb>0.98630840000000009</fb>
    <v>28</v>
  </rv>
  <rv s="0">
    <fb>0.63915500000000003</fb>
    <v>28</v>
  </rv>
  <rv s="2">
    <v>121</v>
    <v>7</v>
    <v>592</v>
    <v>7</v>
    <v>0</v>
    <v>Image of Georgia</v>
  </rv>
  <rv s="0">
    <fb>8.6999999999999993</fb>
    <v>34</v>
  </rv>
  <rv s="1">
    <v>805306368</v>
    <v>Mikheil Kavelashvili (President)</v>
    <v>80dbaffb-1f80-e888-b586-f48f6e50b086</v>
    <v>en-US</v>
    <v>Generic</v>
  </rv>
  <rv s="1">
    <v>805306368</v>
    <v>Irakli Kobakhidze (Prime minister)</v>
    <v>9a2e147c-a1c0-bb2f-5e13-9c945a449729</v>
    <v>en-US</v>
    <v>Generic</v>
  </rv>
  <rv s="3">
    <v>262</v>
  </rv>
  <rv s="4">
    <v>https://www.bing.com/search?q=georgia+country&amp;form=skydnc</v>
    <v>Learn more on Bing</v>
  </rv>
  <rv s="0">
    <fb>73.599999999999994</fb>
    <v>34</v>
  </rv>
  <rv s="0">
    <fb>25</fb>
    <v>34</v>
  </rv>
  <rv s="0">
    <fb>0.57324335049999997</fb>
    <v>28</v>
  </rv>
  <rv s="0">
    <fb>7.1200999999999999</fb>
    <v>29</v>
  </rv>
  <rv s="0">
    <fb>3712502</fb>
    <v>9</v>
  </rv>
  <rv s="0">
    <fb>0.27500000000000002</fb>
    <v>28</v>
  </rv>
  <rv s="0">
    <fb>0.43200000000000005</fb>
    <v>28</v>
  </rv>
  <rv s="0">
    <fb>0.115</fb>
    <v>28</v>
  </rv>
  <rv s="0">
    <fb>0.68330001831054699</fb>
    <v>28</v>
  </rv>
  <rv s="1">
    <v>536870912</v>
    <v>Samegrelo-Zemo Svaneti</v>
    <v>4c57c2ff-4126-2927-dcb3-d13b075bcea2</v>
    <v>en-US</v>
    <v>Map</v>
  </rv>
  <rv s="1">
    <v>536870912</v>
    <v>Imereti</v>
    <v>1e812f4a-2025-a07a-65fb-7d5182bf6910</v>
    <v>en-US</v>
    <v>Map</v>
  </rv>
  <rv s="1">
    <v>536870912</v>
    <v>Kakheti</v>
    <v>2d9dd9c7-4159-0218-a43f-842dc3bac8ca</v>
    <v>en-US</v>
    <v>Map</v>
  </rv>
  <rv s="1">
    <v>536870912</v>
    <v>Samtskhe–Javakheti</v>
    <v>4a965a54-ebbf-cb0a-4ed0-1f3237b44c59</v>
    <v>en-US</v>
    <v>Map</v>
  </rv>
  <rv s="1">
    <v>536870912</v>
    <v>Shida Kartli</v>
    <v>2b343c6e-cd2f-1b9c-d41e-cd43884fa7e5</v>
    <v>en-US</v>
    <v>Map</v>
  </rv>
  <rv s="1">
    <v>536870912</v>
    <v>Kvemo Kartli</v>
    <v>ba6884b7-61d6-dace-1237-09861b476d99</v>
    <v>en-US</v>
    <v>Map</v>
  </rv>
  <rv s="1">
    <v>536870912</v>
    <v>Adjara</v>
    <v>0f3c77ac-b855-2bbf-cabd-becc162de66e</v>
    <v>en-US</v>
    <v>Map</v>
  </rv>
  <rv s="1">
    <v>536870912</v>
    <v>Guria</v>
    <v>985f9020-74ac-338a-790d-45e460a15cb6</v>
    <v>en-US</v>
    <v>Map</v>
  </rv>
  <rv s="1">
    <v>536870912</v>
    <v>Mtskheta-Mtianeti</v>
    <v>cc9fefb9-3949-2811-290b-ce0947330ff8</v>
    <v>en-US</v>
    <v>Map</v>
  </rv>
  <rv s="1">
    <v>536870912</v>
    <v>Racha-Lechkhumi and Kvemo Svaneti</v>
    <v>aee8a977-0832-715b-2b13-982ae47620d4</v>
    <v>en-US</v>
    <v>Map</v>
  </rv>
  <rv s="3">
    <v>263</v>
  </rv>
  <rv s="0">
    <fb>0.21739978564734097</fb>
    <v>28</v>
  </rv>
  <rv s="3">
    <v>264</v>
  </rv>
  <rv s="0">
    <fb>0.143979997634888</fb>
    <v>35</v>
  </rv>
  <rv s="0">
    <fb>2196476</fb>
    <v>9</v>
  </rv>
  <rv s="8">
    <v>#VALUE!</v>
    <v>en-US</v>
    <v>4fe7777a-3d26-0e6a-243d-ae6d45c843c6</v>
    <v>536870912</v>
    <v>1</v>
    <v>595</v>
    <v>46</v>
    <v>Georgia</v>
    <v>5</v>
    <v>6</v>
    <v>Map</v>
    <v>7</v>
    <v>596</v>
    <v>GE</v>
    <v>3763</v>
    <v>3764</v>
    <v>3765</v>
    <v>3766</v>
    <v>3767</v>
    <v>3753</v>
    <v>3768</v>
    <v>3769</v>
    <v>3770</v>
    <v>GEL</v>
    <v>Georgia is a country in Eastern Europe and West Asia. It is part of the Caucasus region, bounded by the Black Sea to the west, Russia to the north and northeast, Turkey to the southwest, Armenia to the south, and Azerbaijan to the southeast. ...</v>
    <v>3771</v>
    <v>3772</v>
    <v>3773</v>
    <v>3774</v>
    <v>3775</v>
    <v>3776</v>
    <v>3777</v>
    <v>3778</v>
    <v>3779</v>
    <v>3780</v>
    <v>3753</v>
    <v>3783</v>
    <v>3784</v>
    <v>3785</v>
    <v>3786</v>
    <v>2695</v>
    <v>Georgia</v>
    <v>Tavisupleba</v>
    <v>3760</v>
    <v>საქართველო</v>
    <v>3787</v>
    <v>3788</v>
    <v>3789</v>
    <v>605</v>
    <v>3790</v>
    <v>3791</v>
    <v>2013</v>
    <v>2264</v>
    <v>3792</v>
    <v>3142</v>
    <v>3793</v>
    <v>3804</v>
    <v>3805</v>
    <v>3806</v>
    <v>513</v>
    <v>3807</v>
    <v>Georgia</v>
    <v>3808</v>
    <v>mdp/vdpid/88</v>
  </rv>
  <rv s="1">
    <v>536870912</v>
    <v>Berlin</v>
    <v>42784943-7c23-7672-5527-06f89b965cdf</v>
    <v>en-US</v>
    <v>Map</v>
  </rv>
  <rv s="0">
    <fb>891.12</fb>
    <v>9</v>
  </rv>
  <rv s="1">
    <v>536870912</v>
    <v>Germany</v>
    <v>75c62d8e-1449-4e4d-b188-d9e88f878dd9</v>
    <v>en-US</v>
    <v>Map</v>
  </rv>
  <rv s="0">
    <fb>1794936</fb>
    <v>9</v>
  </rv>
  <rv s="0">
    <fb>1868905</fb>
    <v>9</v>
  </rv>
  <rv s="2">
    <v>122</v>
    <v>7</v>
    <v>597</v>
    <v>7</v>
    <v>0</v>
    <v>Image of Berlin</v>
  </rv>
  <rv s="1">
    <v>805306368</v>
    <v>Franziska Giffey (Mayor)</v>
    <v>0f36a115-cd69-74b0-1ad8-5ee6074d7916</v>
    <v>en-US</v>
    <v>Generic</v>
  </rv>
  <rv s="3">
    <v>265</v>
  </rv>
  <rv s="4">
    <v>https://www.bing.com/search?q=berlin+germany&amp;form=skydnc</v>
    <v>Learn more on Bing</v>
  </rv>
  <rv s="3">
    <v>266</v>
  </rv>
  <rv s="0">
    <fb>1.83</fb>
    <v>29</v>
  </rv>
  <rv s="0">
    <fb>3755251</fb>
    <v>9</v>
  </rv>
  <rv s="51">
    <v>#VALUE!</v>
    <v>en-US</v>
    <v>42784943-7c23-7672-5527-06f89b965cdf</v>
    <v>536870912</v>
    <v>1</v>
    <v>600</v>
    <v>601</v>
    <v>Berlin</v>
    <v>5</v>
    <v>6</v>
    <v>Map</v>
    <v>7</v>
    <v>602</v>
    <v>DE-BE</v>
    <v>3811</v>
    <v>3812</v>
    <v>Berlin is the capital and largest city of Germany by both area and by population. Its more than 3.85 million inhabitants make it the European Union's most populous city, according to population within city limits. Simultaneously, the city is one ...</v>
    <v>3813</v>
    <v>3814</v>
    <v>3815</v>
    <v>3817</v>
    <v>3818</v>
    <v>Berlin</v>
    <v>3819</v>
    <v>3820</v>
    <v>3821</v>
    <v>Berlin</v>
    <v>mdp/vdpid/7017957146650214401</v>
  </rv>
  <rv s="0">
    <fb>0.47678612319670299</fb>
    <v>28</v>
  </rv>
  <rv s="0">
    <fb>357587.77</fb>
    <v>9</v>
  </rv>
  <rv s="0">
    <fb>180000</fb>
    <v>9</v>
  </rv>
  <rv s="0">
    <fb>9.5</fb>
    <v>29</v>
  </rv>
  <rv s="0">
    <fb>49</fb>
    <v>30</v>
  </rv>
  <rv s="0">
    <fb>727972.84</fb>
    <v>9</v>
  </rv>
  <rv s="0">
    <fb>112.854887342124</fb>
    <v>31</v>
  </rv>
  <rv s="0">
    <fb>1.4456670146976E-2</fb>
    <v>28</v>
  </rv>
  <rv s="0">
    <fb>7035.4829747167596</fb>
    <v>9</v>
  </rv>
  <rv s="0">
    <fb>0.326912067781085</fb>
    <v>28</v>
  </rv>
  <rv s="0">
    <fb>78.862551056754995</fb>
    <v>34</v>
  </rv>
  <rv s="0">
    <fb>3845630030823.52</fb>
    <v>33</v>
  </rv>
  <rv s="0">
    <fb>1.0402236</fb>
    <v>28</v>
  </rv>
  <rv s="0">
    <fb>0.70246649999999999</fb>
    <v>28</v>
  </rv>
  <rv s="2">
    <v>123</v>
    <v>7</v>
    <v>604</v>
    <v>7</v>
    <v>0</v>
    <v>Image of Germany</v>
  </rv>
  <rv s="1">
    <v>805306368</v>
    <v>Frank-Walter Steinmeier (President)</v>
    <v>a6d595f9-116c-57de-2b35-48e9bde9f83d</v>
    <v>en-US</v>
    <v>Generic</v>
  </rv>
  <rv s="1">
    <v>805306368</v>
    <v>Olaf Scholz (Chancellor)</v>
    <v>d327207b-5560-1fae-17a8-4bc95203ea8e</v>
    <v>en-US</v>
    <v>Generic</v>
  </rv>
  <rv s="3">
    <v>267</v>
  </rv>
  <rv s="4">
    <v>https://www.bing.com/search?q=germany&amp;form=skydnc</v>
    <v>Learn more on Bing</v>
  </rv>
  <rv s="0">
    <fb>80.892682926829295</fb>
    <v>34</v>
  </rv>
  <rv s="0">
    <fb>2098173930000</fb>
    <v>33</v>
  </rv>
  <rv s="0">
    <fb>7</fb>
    <v>34</v>
  </rv>
  <rv s="0">
    <fb>9.99</fb>
    <v>32</v>
  </rv>
  <rv s="0">
    <fb>0.12528421940000001</fb>
    <v>28</v>
  </rv>
  <rv s="0">
    <fb>4.2488000000000001</fb>
    <v>29</v>
  </rv>
  <rv s="0">
    <fb>84079811</fb>
    <v>9</v>
  </rv>
  <rv s="0">
    <fb>0.22800000000000001</fb>
    <v>28</v>
  </rv>
  <rv s="0">
    <fb>0.24600000000000002</fb>
    <v>28</v>
  </rv>
  <rv s="0">
    <fb>7.5999999999999998E-2</fb>
    <v>28</v>
  </rv>
  <rv s="0">
    <fb>0.17100000000000001</fb>
    <v>28</v>
  </rv>
  <rv s="0">
    <fb>0.60811000823974604</fb>
    <v>28</v>
  </rv>
  <rv s="1">
    <v>536870912</v>
    <v>Baden-Württemberg</v>
    <v>e4767d1d-15fd-a8bd-1fcd-f8214d3c189f</v>
    <v>en-US</v>
    <v>Map</v>
  </rv>
  <rv s="1">
    <v>536870912</v>
    <v>Bavaria</v>
    <v>e4f7e69f-e1bc-189a-d23d-b2ecee6a88d5</v>
    <v>en-US</v>
    <v>Map</v>
  </rv>
  <rv s="1">
    <v>536870912</v>
    <v>Bremen</v>
    <v>70a6262d-6ded-6a1a-8a3d-e24538d50a05</v>
    <v>en-US</v>
    <v>Map</v>
  </rv>
  <rv s="1">
    <v>536870912</v>
    <v>Hamburg</v>
    <v>0937ec8c-54f7-94c7-d7b8-0ea8c6cfce6f</v>
    <v>en-US</v>
    <v>Map</v>
  </rv>
  <rv s="1">
    <v>536870912</v>
    <v>Mecklenburg-Vorpommern</v>
    <v>b0adc1b4-6fe2-3ad0-81e1-78c9ba53cedb</v>
    <v>en-US</v>
    <v>Map</v>
  </rv>
  <rv s="1">
    <v>536870912</v>
    <v>Lower Saxony</v>
    <v>c91589e2-9db8-e9f2-b60d-1000c3502bc2</v>
    <v>en-US</v>
    <v>Map</v>
  </rv>
  <rv s="1">
    <v>536870912</v>
    <v>North Rhine-Westphalia</v>
    <v>7192ac29-308b-9018-2da7-1d16b5afb233</v>
    <v>en-US</v>
    <v>Map</v>
  </rv>
  <rv s="1">
    <v>536870912</v>
    <v>Rhineland-Palatinate</v>
    <v>b2634da1-26f3-4709-d63d-9f9489a33d9c</v>
    <v>en-US</v>
    <v>Map</v>
  </rv>
  <rv s="1">
    <v>536870912</v>
    <v>Saarland</v>
    <v>077b3058-0078-d492-aee0-52b8d21ee39e</v>
    <v>en-US</v>
    <v>Map</v>
  </rv>
  <rv s="1">
    <v>536870912</v>
    <v>Saxony</v>
    <v>db04ed86-d227-952f-dbae-2881e92d2d0a</v>
    <v>en-US</v>
    <v>Map</v>
  </rv>
  <rv s="1">
    <v>536870912</v>
    <v>Saxony-Anhalt</v>
    <v>6af91c75-020d-7d63-0e2d-ab73f9f73280</v>
    <v>en-US</v>
    <v>Map</v>
  </rv>
  <rv s="1">
    <v>536870912</v>
    <v>Schleswig-Holstein</v>
    <v>6dde426c-96c7-18bd-f4e1-b41b7575557a</v>
    <v>en-US</v>
    <v>Map</v>
  </rv>
  <rv s="1">
    <v>536870912</v>
    <v>Brandenburg</v>
    <v>c841173c-24ae-1249-8be1-c2ff2ec02111</v>
    <v>en-US</v>
    <v>Map</v>
  </rv>
  <rv s="1">
    <v>536870912</v>
    <v>Hesse</v>
    <v>90fbe078-3753-40db-ff12-40aa58e76c5f</v>
    <v>en-US</v>
    <v>Map</v>
  </rv>
  <rv s="3">
    <v>268</v>
  </rv>
  <rv s="0">
    <fb>0.11505903952014901</fb>
    <v>28</v>
  </rv>
  <rv s="0">
    <fb>3.0429999828338602E-2</fb>
    <v>35</v>
  </rv>
  <rv s="0">
    <fb>64324835</fb>
    <v>9</v>
  </rv>
  <rv s="9">
    <v>#VALUE!</v>
    <v>en-US</v>
    <v>75c62d8e-1449-4e4d-b188-d9e88f878dd9</v>
    <v>536870912</v>
    <v>1</v>
    <v>607</v>
    <v>55</v>
    <v>Germany</v>
    <v>5</v>
    <v>6</v>
    <v>Map</v>
    <v>7</v>
    <v>608</v>
    <v>DE</v>
    <v>3823</v>
    <v>3824</v>
    <v>3825</v>
    <v>3826</v>
    <v>3827</v>
    <v>3810</v>
    <v>3828</v>
    <v>3829</v>
    <v>3830</v>
    <v>EUR</v>
    <v>Germany, officially the Federal Republic of Germany, is a country in Central Europe. It lies between the Baltic and North Sea to the north and the Alps to the south. Its sixteen constituent states have a total population of over 82 million in an ...</v>
    <v>3831</v>
    <v>1638</v>
    <v>3832</v>
    <v>3833</v>
    <v>3594</v>
    <v>3834</v>
    <v>3835</v>
    <v>3836</v>
    <v>3837</v>
    <v>635</v>
    <v>3810</v>
    <v>3840</v>
    <v>3841</v>
    <v>3842</v>
    <v>3843</v>
    <v>3844</v>
    <v>3845</v>
    <v>Germany</v>
    <v>National Anthem of Germany</v>
    <v>3819</v>
    <v>Bundesrepublik Deutschland</v>
    <v>3846</v>
    <v>3847</v>
    <v>3848</v>
    <v>3849</v>
    <v>3850</v>
    <v>383</v>
    <v>1417</v>
    <v>3851</v>
    <v>3141</v>
    <v>3852</v>
    <v>3853</v>
    <v>3868</v>
    <v>3869</v>
    <v>308</v>
    <v>2130</v>
    <v>3870</v>
    <v>Germany</v>
    <v>3871</v>
    <v>mdp/vdpid/94</v>
  </rv>
  <rv s="1">
    <v>536870912</v>
    <v>Accra</v>
    <v>7dea44eb-65d3-ca6b-c353-eac951cbdc50</v>
    <v>en-US</v>
    <v>Map</v>
  </rv>
  <rv s="1">
    <v>536870912</v>
    <v>Greater Accra Region</v>
    <v>91f1ae15-d54e-29be-d169-d4548c5bad59</v>
    <v>en-US</v>
    <v>Map</v>
  </rv>
  <rv s="0">
    <fb>225.67</fb>
    <v>9</v>
  </rv>
  <rv s="1">
    <v>536870912</v>
    <v>Ghana</v>
    <v>4caa1a94-3f55-f5a7-8b85-5abd256a54f1</v>
    <v>en-US</v>
    <v>Map</v>
  </rv>
  <rv s="2">
    <v>124</v>
    <v>7</v>
    <v>610</v>
    <v>7</v>
    <v>0</v>
    <v>Image of Accra</v>
  </rv>
  <rv s="0">
    <fb>5.5461111111111103</fb>
    <v>0</v>
  </rv>
  <rv s="1">
    <v>805306368</v>
    <v>Elizabeth K. T. Sackey (Mayor)</v>
    <v>96af3a03-62b1-ebaf-07e7-5bc5d3c92625</v>
    <v>en-US</v>
    <v>Generic</v>
  </rv>
  <rv s="3">
    <v>269</v>
  </rv>
  <rv s="4">
    <v>https://www.bing.com/search?q=accra&amp;form=skydnc</v>
    <v>Learn more on Bing</v>
  </rv>
  <rv s="0">
    <fb>-0.206666666666667</fb>
    <v>0</v>
  </rv>
  <rv s="0">
    <fb>1782150</fb>
    <v>9</v>
  </rv>
  <rv s="3">
    <v>270</v>
  </rv>
  <rv s="7">
    <v>#VALUE!</v>
    <v>en-US</v>
    <v>7dea44eb-65d3-ca6b-c353-eac951cbdc50</v>
    <v>536870912</v>
    <v>1</v>
    <v>611</v>
    <v>38</v>
    <v>Accra</v>
    <v>5</v>
    <v>6</v>
    <v>Map</v>
    <v>7</v>
    <v>216</v>
    <v>3874</v>
    <v>3875</v>
    <v>3876</v>
    <v>Accra is the capital and largest city of Ghana, located on the southern coast at the Gulf of Guinea, which is part of the Atlantic Ocean. As of 2021 census, the Accra Metropolitan District, 20.4 km², had a population of 284,124 inhabitants, and ...</v>
    <v>3877</v>
    <v>3878</v>
    <v>3880</v>
    <v>3881</v>
    <v>3882</v>
    <v>Accra</v>
    <v>3883</v>
    <v>3884</v>
    <v>Accra</v>
    <v>mdp/vdpid/5763104180411564036</v>
  </rv>
  <rv s="0">
    <fb>0.68998857343763698</fb>
    <v>28</v>
  </rv>
  <rv s="0">
    <fb>238535</fb>
    <v>9</v>
  </rv>
  <rv s="0">
    <fb>29.407</fb>
    <v>29</v>
  </rv>
  <rv s="0">
    <fb>233</fb>
    <v>30</v>
  </rv>
  <rv s="0">
    <fb>16670.182000000001</fb>
    <v>9</v>
  </rv>
  <rv s="0">
    <fb>268.36084800436601</fb>
    <v>31</v>
  </rv>
  <rv s="0">
    <fb>7.17592284708857E-2</fb>
    <v>28</v>
  </rv>
  <rv s="0">
    <fb>351.301578961752</fb>
    <v>9</v>
  </rv>
  <rv s="0">
    <fb>3.87</fb>
    <v>29</v>
  </rv>
  <rv s="0">
    <fb>0.41159358313373501</fb>
    <v>28</v>
  </rv>
  <rv s="0">
    <fb>52.543060129263097</fb>
    <v>34</v>
  </rv>
  <rv s="0">
    <fb>66983634223.943001</fb>
    <v>33</v>
  </rv>
  <rv s="0">
    <fb>1.0484141</fb>
    <v>28</v>
  </rv>
  <rv s="0">
    <fb>0.15691769999999999</fb>
    <v>28</v>
  </rv>
  <rv s="2">
    <v>125</v>
    <v>7</v>
    <v>613</v>
    <v>7</v>
    <v>0</v>
    <v>Image of Ghana</v>
  </rv>
  <rv s="0">
    <fb>34.9</fb>
    <v>34</v>
  </rv>
  <rv s="1">
    <v>805306368</v>
    <v>John Mahama (President)</v>
    <v>6d379b32-0cd8-9157-0ec8-883c7cf48d1f</v>
    <v>en-US</v>
    <v>Generic</v>
  </rv>
  <rv s="1">
    <v>805306368</v>
    <v>Jane Naana Opoku-Agyemang (Vice president)</v>
    <v>cdb58c49-a2ad-b3d3-44d6-f5f4a29f565d</v>
    <v>en-US</v>
    <v>Generic</v>
  </rv>
  <rv s="1">
    <v>805306368</v>
    <v>Gertrude Torkornoo (Chief justice)</v>
    <v>e339e2df-9b32-4664-7e6f-17b307e2d43f</v>
    <v>en-US</v>
    <v>Generic</v>
  </rv>
  <rv s="3">
    <v>271</v>
  </rv>
  <rv s="4">
    <v>https://www.bing.com/search?q=ghana&amp;form=skydnc</v>
    <v>Learn more on Bing</v>
  </rv>
  <rv s="0">
    <fb>63.78</fb>
    <v>34</v>
  </rv>
  <rv s="0">
    <fb>3098510000</fb>
    <v>33</v>
  </rv>
  <rv s="0">
    <fb>308</fb>
    <v>34</v>
  </rv>
  <rv s="0">
    <fb>0.27</fb>
    <v>32</v>
  </rv>
  <rv s="0">
    <fb>0.36105228150000002</fb>
    <v>28</v>
  </rv>
  <rv s="0">
    <fb>0.13589999999999999</fb>
    <v>29</v>
  </rv>
  <rv s="0">
    <fb>33475870</fb>
    <v>9</v>
  </rv>
  <rv s="0">
    <fb>0.32200000000000001</fb>
    <v>28</v>
  </rv>
  <rv s="0">
    <fb>0.48599999999999999</fb>
    <v>28</v>
  </rv>
  <rv s="0">
    <fb>4.7E-2</fb>
    <v>28</v>
  </rv>
  <rv s="0">
    <fb>0.67797996520996096</fb>
    <v>28</v>
  </rv>
  <rv s="1">
    <v>536870912</v>
    <v>Ashanti Region</v>
    <v>03a4bbc8-218a-4560-dc76-f52b742a183e</v>
    <v>en-US</v>
    <v>Map</v>
  </rv>
  <rv s="1">
    <v>536870912</v>
    <v>Brong-Ahafo region</v>
    <v>d063ec14-1baf-a6a4-0593-6143782ef01a</v>
    <v>en-US</v>
    <v>Map</v>
  </rv>
  <rv s="1">
    <v>536870912</v>
    <v>Central region</v>
    <v>04a9f5cc-56ee-cdc9-3b25-34ae0f54a835</v>
    <v>en-US</v>
    <v>Map</v>
  </rv>
  <rv s="1">
    <v>536870912</v>
    <v>Eastern Region</v>
    <v>8dd7c62c-e599-708a-4b1a-72c8a568a856</v>
    <v>en-US</v>
    <v>Map</v>
  </rv>
  <rv s="1">
    <v>536870912</v>
    <v>Northern Region</v>
    <v>281b9874-7787-6cbe-36fc-6f1e4b5edeed</v>
    <v>en-US</v>
    <v>Map</v>
  </rv>
  <rv s="1">
    <v>536870912</v>
    <v>Upper East Region</v>
    <v>a536de11-1bf2-b814-79bf-3bfcd2eb23da</v>
    <v>en-US</v>
    <v>Map</v>
  </rv>
  <rv s="1">
    <v>536870912</v>
    <v>Upper West Region</v>
    <v>decfccd3-cb14-9a30-7a4f-c9f5225315dc</v>
    <v>en-US</v>
    <v>Map</v>
  </rv>
  <rv s="1">
    <v>536870912</v>
    <v>Volta Region</v>
    <v>08e5e28e-0235-8c89-7ffb-ba81717c530a</v>
    <v>en-US</v>
    <v>Map</v>
  </rv>
  <rv s="1">
    <v>536870912</v>
    <v>Western region</v>
    <v>9137e271-300a-d288-dc27-09a2e8930911</v>
    <v>en-US</v>
    <v>Map</v>
  </rv>
  <rv s="3">
    <v>272</v>
  </rv>
  <rv s="0">
    <fb>0.12569754463437299</fb>
    <v>28</v>
  </rv>
  <rv s="3">
    <v>273</v>
  </rv>
  <rv s="0">
    <fb>4.3309998512268105E-2</fb>
    <v>35</v>
  </rv>
  <rv s="0">
    <fb>17249054</fb>
    <v>9</v>
  </rv>
  <rv s="9">
    <v>#VALUE!</v>
    <v>en-US</v>
    <v>4caa1a94-3f55-f5a7-8b85-5abd256a54f1</v>
    <v>536870912</v>
    <v>1</v>
    <v>616</v>
    <v>55</v>
    <v>Ghana</v>
    <v>5</v>
    <v>6</v>
    <v>Map</v>
    <v>7</v>
    <v>617</v>
    <v>GH</v>
    <v>3886</v>
    <v>3887</v>
    <v>2734</v>
    <v>3888</v>
    <v>3889</v>
    <v>3873</v>
    <v>3890</v>
    <v>3891</v>
    <v>3892</v>
    <v>GHS</v>
    <v>Ghana, officially the Republic of Ghana, is a country in West Africa. It lies adjacent to the Gulf of Guinea and the Atlantic Ocean to the south, sharing a border with Ivory Coast in the west, Burkina Faso in the north, and Togo in the east. ...</v>
    <v>3893</v>
    <v>3894</v>
    <v>3895</v>
    <v>3896</v>
    <v>825</v>
    <v>3897</v>
    <v>3898</v>
    <v>3899</v>
    <v>3900</v>
    <v>3901</v>
    <v>3873</v>
    <v>3905</v>
    <v>3906</v>
    <v>3907</v>
    <v>3908</v>
    <v>3909</v>
    <v>3910</v>
    <v>Ghana</v>
    <v>God Bless Our Homeland Ghana</v>
    <v>448</v>
    <v>Ghana</v>
    <v>3911</v>
    <v>3912</v>
    <v>3913</v>
    <v>240</v>
    <v>3914</v>
    <v>3915</v>
    <v>2420</v>
    <v>3916</v>
    <v>1227</v>
    <v>2132</v>
    <v>3917</v>
    <v>3927</v>
    <v>3928</v>
    <v>3929</v>
    <v>1120</v>
    <v>3930</v>
    <v>Ghana</v>
    <v>3931</v>
    <v>mdp/vdpid/89</v>
  </rv>
  <rv s="1">
    <v>536870912</v>
    <v>Athens</v>
    <v>b6d809e2-f1da-2d70-de81-8e8c16391ded</v>
    <v>en-US</v>
    <v>Map</v>
  </rv>
  <rv s="1">
    <v>536870912</v>
    <v>Greece</v>
    <v>9066947b-ad82-49f5-93ff-b3c4cbc4e36a</v>
    <v>en-US</v>
    <v>Map</v>
  </rv>
  <rv s="2">
    <v>126</v>
    <v>7</v>
    <v>618</v>
    <v>7</v>
    <v>0</v>
    <v>Image of Athens</v>
  </rv>
  <rv s="0">
    <fb>37.984166666666702</fb>
    <v>0</v>
  </rv>
  <rv s="1">
    <v>805306368</v>
    <v>Haris Doukas (Mayor)</v>
    <v>e2a0a99d-1551-3199-406b-b7c96cb04b19</v>
    <v>en-US</v>
    <v>Generic</v>
  </rv>
  <rv s="3">
    <v>274</v>
  </rv>
  <rv s="4">
    <v>https://www.bing.com/search?q=athens+greece&amp;form=skydnc</v>
    <v>Learn more on Bing</v>
  </rv>
  <rv s="0">
    <fb>23.728055555555599</fb>
    <v>0</v>
  </rv>
  <rv s="0">
    <fb>643452</fb>
    <v>9</v>
  </rv>
  <rv s="3">
    <v>275</v>
  </rv>
  <rv s="45">
    <v>#VALUE!</v>
    <v>en-US</v>
    <v>b6d809e2-f1da-2d70-de81-8e8c16391ded</v>
    <v>536870912</v>
    <v>1</v>
    <v>619</v>
    <v>505</v>
    <v>Athens</v>
    <v>5</v>
    <v>6</v>
    <v>Map</v>
    <v>7</v>
    <v>216</v>
    <v>958</v>
    <v>3934</v>
    <v>Athens is a major coastal urban area in the Mediterranean, and it is both the capital and the largest city of Greece. With its urban area's population numbering over three million, it is also the eighth largest urban area in the European Union. ...</v>
    <v>3935</v>
    <v>3936</v>
    <v>3938</v>
    <v>3939</v>
    <v>3940</v>
    <v>Athens</v>
    <v>3941</v>
    <v>3942</v>
    <v>Athens</v>
    <v>mdp/vdpid/7246431534264090629</v>
  </rv>
  <rv s="0">
    <fb>0.47602792862684301</fb>
    <v>28</v>
  </rv>
  <rv s="0">
    <fb>131957</fb>
    <v>9</v>
  </rv>
  <rv s="0">
    <fb>146000</fb>
    <v>9</v>
  </rv>
  <rv s="0">
    <fb>8.1</fb>
    <v>29</v>
  </rv>
  <rv s="0">
    <fb>30</fb>
    <v>30</v>
  </rv>
  <rv s="0">
    <fb>62434.341999999997</fb>
    <v>9</v>
  </rv>
  <rv s="0">
    <fb>101.869515066502</fb>
    <v>31</v>
  </rv>
  <rv s="0">
    <fb>1.7443010681330101E-3</fb>
    <v>28</v>
  </rv>
  <rv s="0">
    <fb>5062.6064215523202</fb>
    <v>9</v>
  </rv>
  <rv s="0">
    <fb>1.35</fb>
    <v>29</v>
  </rv>
  <rv s="0">
    <fb>0.31685026774025399</fb>
    <v>28</v>
  </rv>
  <rv s="0">
    <fb>82.574635133688304</fb>
    <v>34</v>
  </rv>
  <rv s="0">
    <fb>1.54</fb>
    <v>32</v>
  </rv>
  <rv s="0">
    <fb>209852761468.681</fb>
    <v>33</v>
  </rv>
  <rv s="0">
    <fb>0.99553479999999994</fb>
    <v>28</v>
  </rv>
  <rv s="0">
    <fb>1.3660256999999998</fb>
    <v>28</v>
  </rv>
  <rv s="2">
    <v>127</v>
    <v>7</v>
    <v>621</v>
    <v>7</v>
    <v>0</v>
    <v>Image of Greece</v>
  </rv>
  <rv s="0">
    <fb>3.6</fb>
    <v>34</v>
  </rv>
  <rv s="1">
    <v>805306368</v>
    <v>Katerina Sakellaropoulou (President)</v>
    <v>462ce5ac-144c-7783-9c94-5cea4311427e</v>
    <v>en-US</v>
    <v>Generic</v>
  </rv>
  <rv s="1">
    <v>805306368</v>
    <v>Kyriakos Mitsotakis (Prime minister)</v>
    <v>eea69f27-2379-cfc9-ae98-bda50d609c7e</v>
    <v>en-US</v>
    <v>Generic</v>
  </rv>
  <rv s="3">
    <v>276</v>
  </rv>
  <rv s="4">
    <v>https://www.bing.com/search?q=greece&amp;form=skydnc</v>
    <v>Learn more on Bing</v>
  </rv>
  <rv s="0">
    <fb>81.287804878048803</fb>
    <v>34</v>
  </rv>
  <rv s="0">
    <fb>53653980000</fb>
    <v>33</v>
  </rv>
  <rv s="0">
    <fb>4.46</fb>
    <v>32</v>
  </rv>
  <rv s="3">
    <v>277</v>
  </rv>
  <rv s="0">
    <fb>0.35461187979999997</fb>
    <v>28</v>
  </rv>
  <rv s="0">
    <fb>5.4789000000000003</fb>
    <v>29</v>
  </rv>
  <rv s="0">
    <fb>10566531</fb>
    <v>9</v>
  </rv>
  <rv s="0">
    <fb>0.25900000000000001</fb>
    <v>28</v>
  </rv>
  <rv s="0">
    <fb>0.41100000000000003</fb>
    <v>28</v>
  </rv>
  <rv s="0">
    <fb>6.6000000000000003E-2</fb>
    <v>28</v>
  </rv>
  <rv s="0">
    <fb>0.51766998291015598</fb>
    <v>28</v>
  </rv>
  <rv s="1">
    <v>536870912</v>
    <v>Eastern Macedonia and Thrace</v>
    <v>45283058-6358-c831-aa68-dcc775d99be8</v>
    <v>en-US</v>
    <v>Map</v>
  </rv>
  <rv s="1">
    <v>536870912</v>
    <v>Central Macedonia</v>
    <v>6d44fc7c-bcb9-9915-acb9-64532e18830b</v>
    <v>en-US</v>
    <v>Map</v>
  </rv>
  <rv s="1">
    <v>536870912</v>
    <v>Western Macedonia</v>
    <v>27249c7e-b5d4-18d3-d8d5-a1d976b45cfa</v>
    <v>en-US</v>
    <v>Map</v>
  </rv>
  <rv s="1">
    <v>536870912</v>
    <v>Epirus</v>
    <v>0dd74b21-c5ee-b5c0-d0df-2449b32c4a88</v>
    <v>en-US</v>
    <v>Map</v>
  </rv>
  <rv s="1">
    <v>536870912</v>
    <v>Thessaly Region</v>
    <v>187a74ea-75fb-4b8a-2fe7-2a4b94490eaa</v>
    <v>en-US</v>
    <v>Map</v>
  </rv>
  <rv s="1">
    <v>536870912</v>
    <v>Central Greece</v>
    <v>e9e82b37-aaf6-3955-754d-29b23a35a921</v>
    <v>en-US</v>
    <v>Map</v>
  </rv>
  <rv s="1">
    <v>536870912</v>
    <v>Ionian Islands</v>
    <v>147f3b34-7c58-e675-3c33-6ec3b9e7e362</v>
    <v>en-US</v>
    <v>Map</v>
  </rv>
  <rv s="1">
    <v>536870912</v>
    <v>Western Greece</v>
    <v>8ac2f879-2ecd-0569-886c-528f24c7fe28</v>
    <v>en-US</v>
    <v>Map</v>
  </rv>
  <rv s="1">
    <v>536870912</v>
    <v>Peloponnese</v>
    <v>4465f45a-df6e-47fa-833e-fa82fd661725</v>
    <v>en-US</v>
    <v>Map</v>
  </rv>
  <rv s="1">
    <v>536870912</v>
    <v>Attica</v>
    <v>b95eb20f-b5be-999d-2b74-7984b1607486</v>
    <v>en-US</v>
    <v>Map</v>
  </rv>
  <rv s="1">
    <v>536870912</v>
    <v>North Aegean</v>
    <v>b512e4ba-99a2-717b-c03b-1ab792cd2e37</v>
    <v>en-US</v>
    <v>Map</v>
  </rv>
  <rv s="1">
    <v>536870912</v>
    <v>South Aegean</v>
    <v>65bfe017-d8f1-997e-81d9-4b05e35ff5d4</v>
    <v>en-US</v>
    <v>Map</v>
  </rv>
  <rv s="3">
    <v>278</v>
  </rv>
  <rv s="0">
    <fb>0.26193522357891597</fb>
    <v>28</v>
  </rv>
  <rv s="0">
    <fb>0.51900000000000002</fb>
    <v>28</v>
  </rv>
  <rv s="0">
    <fb>0.17238000869751002</fb>
    <v>35</v>
  </rv>
  <rv s="0">
    <fb>8507474</fb>
    <v>9</v>
  </rv>
  <rv s="9">
    <v>#VALUE!</v>
    <v>en-US</v>
    <v>9066947b-ad82-49f5-93ff-b3c4cbc4e36a</v>
    <v>536870912</v>
    <v>1</v>
    <v>624</v>
    <v>55</v>
    <v>Greece</v>
    <v>5</v>
    <v>6</v>
    <v>Map</v>
    <v>7</v>
    <v>625</v>
    <v>GR</v>
    <v>3944</v>
    <v>3945</v>
    <v>3946</v>
    <v>3947</v>
    <v>3948</v>
    <v>3933</v>
    <v>3949</v>
    <v>3950</v>
    <v>3951</v>
    <v>EUR</v>
    <v>Greece, officially the Hellenic Republic, is a country in Southeast Europe. Located on the southern tip of the Balkan peninsula, Greece shares land borders with Albania to the northwest, North Macedonia and Bulgaria to the north, and Turkey to ...</v>
    <v>3952</v>
    <v>3953</v>
    <v>3954</v>
    <v>3955</v>
    <v>3956</v>
    <v>3957</v>
    <v>3958</v>
    <v>3959</v>
    <v>3960</v>
    <v>3961</v>
    <v>3933</v>
    <v>3964</v>
    <v>3965</v>
    <v>3966</v>
    <v>3967</v>
    <v>3540</v>
    <v>3968</v>
    <v>Greece</v>
    <v>Hymn to Liberty</v>
    <v>3969</v>
    <v>Ελληνική Δημοκρατία</v>
    <v>3970</v>
    <v>3971</v>
    <v>3972</v>
    <v>3683</v>
    <v>3973</v>
    <v>3974</v>
    <v>2013</v>
    <v>3975</v>
    <v>1418</v>
    <v>3852</v>
    <v>3976</v>
    <v>3989</v>
    <v>3990</v>
    <v>1695</v>
    <v>3991</v>
    <v>3992</v>
    <v>Greece</v>
    <v>3993</v>
    <v>mdp/vdpid/98</v>
  </rv>
  <rv s="1">
    <v>536870912</v>
    <v>St. George's, Grenada</v>
    <v>2255cece-c276-eeda-9623-fb3360bf6c1a</v>
    <v>en-US</v>
    <v>Map</v>
  </rv>
  <rv s="1">
    <v>536870912</v>
    <v>Saint George Parish</v>
    <v>fc34f2e6-1800-59ea-2500-e757fcc49aeb</v>
    <v>en-US</v>
    <v>Map</v>
  </rv>
  <rv s="1">
    <v>536870912</v>
    <v>Grenada</v>
    <v>f367a9c3-32b7-139d-25fe-4f100eba17ca</v>
    <v>en-US</v>
    <v>Map</v>
  </rv>
  <rv s="2">
    <v>128</v>
    <v>7</v>
    <v>626</v>
    <v>7</v>
    <v>0</v>
    <v>Image of St. George's, Grenada</v>
  </rv>
  <rv s="0">
    <fb>12.044444444444</fb>
    <v>0</v>
  </rv>
  <rv s="4">
    <v>https://www.bing.com/search?q=st.+george%27s+grenada&amp;form=skydnc</v>
    <v>Learn more on Bing</v>
  </rv>
  <rv s="0">
    <fb>-61.741666666667001</fb>
    <v>0</v>
  </rv>
  <rv s="0">
    <fb>4315</fb>
    <v>9</v>
  </rv>
  <rv s="42">
    <v>#VALUE!</v>
    <v>en-US</v>
    <v>2255cece-c276-eeda-9623-fb3360bf6c1a</v>
    <v>536870912</v>
    <v>1</v>
    <v>627</v>
    <v>452</v>
    <v>St. George's, Grenada</v>
    <v>5</v>
    <v>6</v>
    <v>Map</v>
    <v>7</v>
    <v>628</v>
    <v>3996</v>
    <v>3997</v>
    <v>St. George's is the capital of Grenada. The town is surrounded by a hillside of an old volcano crater and is located on a horseshoe-shaped harbour. St. George's is a popular Caribbean tourist destination. The town has developed in recent years, ...</v>
    <v>3998</v>
    <v>3999</v>
    <v>4000</v>
    <v>4001</v>
    <v>St. George's, Grenada</v>
    <v>4002</v>
    <v>St. George's, Grenada</v>
    <v>mdp/vdpid/5592649254150602753</v>
  </rv>
  <rv s="0">
    <fb>0.23529411764705899</fb>
    <v>28</v>
  </rv>
  <rv s="0">
    <fb>348.5</fb>
    <v>9</v>
  </rv>
  <rv s="0">
    <fb>16.465</fb>
    <v>29</v>
  </rv>
  <rv s="0">
    <fb>1473</fb>
    <v>30</v>
  </rv>
  <rv s="0">
    <fb>267.69099999999997</fb>
    <v>9</v>
  </rv>
  <rv s="0">
    <fb>107.426261562601</fb>
    <v>31</v>
  </rv>
  <rv s="0">
    <fb>8.0410231327703689E-3</fb>
    <v>28</v>
  </rv>
  <rv s="0">
    <fb>2.0630000000000002</fb>
    <v>29</v>
  </rv>
  <rv s="0">
    <fb>0.49970587562112401</fb>
    <v>28</v>
  </rv>
  <rv s="0">
    <fb>1228170370.3703699</fb>
    <v>33</v>
  </rv>
  <rv s="0">
    <fb>1.0685076</fb>
    <v>28</v>
  </rv>
  <rv s="0">
    <fb>1.0456188</fb>
    <v>28</v>
  </rv>
  <rv s="2">
    <v>129</v>
    <v>7</v>
    <v>630</v>
    <v>7</v>
    <v>0</v>
    <v>Image of Grenada</v>
  </rv>
  <rv s="0">
    <fb>13.7</fb>
    <v>34</v>
  </rv>
  <rv s="1">
    <v>805306368</v>
    <v>Dickon Mitchell (Prime minister)</v>
    <v>bba0682a-f34e-26ab-7ac2-760e8493971f</v>
    <v>en-US</v>
    <v>Generic</v>
  </rv>
  <rv s="3">
    <v>279</v>
  </rv>
  <rv s="4">
    <v>https://www.bing.com/search?q=grenada&amp;form=skydnc</v>
    <v>Learn more on Bing</v>
  </rv>
  <rv s="0">
    <fb>72.384</fb>
    <v>34</v>
  </rv>
  <rv s="3">
    <v>280</v>
  </rv>
  <rv s="0">
    <fb>0.57040789580000006</fb>
    <v>28</v>
  </rv>
  <rv s="0">
    <fb>1.4067000000000001</fb>
    <v>29</v>
  </rv>
  <rv s="0">
    <fb>125438</fb>
    <v>9</v>
  </rv>
  <rv s="1">
    <v>536870912</v>
    <v>Saint Andrew Parish, Grenada</v>
    <v>c1baed76-ac7e-68e5-cc47-cb4380f84d26</v>
    <v>en-US</v>
    <v>Map</v>
  </rv>
  <rv s="1">
    <v>536870912</v>
    <v>Saint David Parish, Grenada</v>
    <v>79cabe30-ee00-4f5f-1b51-2b4cfbd6c06b</v>
    <v>en-US</v>
    <v>Map</v>
  </rv>
  <rv s="1">
    <v>536870912</v>
    <v>Saint George Parish, Grenada</v>
    <v>fc34f2e6-1800-59ea-2500-e757fcc49aeb</v>
    <v>en-US</v>
    <v>Map</v>
  </rv>
  <rv s="1">
    <v>536870912</v>
    <v>Saint John Parish, Grenada</v>
    <v>fea02f06-cb6e-e0e6-3c93-932d3a056e44</v>
    <v>en-US</v>
    <v>Map</v>
  </rv>
  <rv s="1">
    <v>536870912</v>
    <v>Saint Mark Parish, Grenada</v>
    <v>69d95d49-862b-aeb5-8f55-c8ea83f85597</v>
    <v>en-US</v>
    <v>Map</v>
  </rv>
  <rv s="1">
    <v>536870912</v>
    <v>Saint Patrick Parish, Grenada</v>
    <v>d062a181-8310-aefa-6814-282491080af8</v>
    <v>en-US</v>
    <v>Map</v>
  </rv>
  <rv s="1">
    <v>536870912</v>
    <v>Carriacou</v>
    <v>d9bdca7d-761e-4d50-e817-c07d085ce21c</v>
    <v>en-US</v>
    <v>Map</v>
  </rv>
  <rv s="3">
    <v>281</v>
  </rv>
  <rv s="0">
    <fb>0.194292612759041</fb>
    <v>28</v>
  </rv>
  <rv s="0">
    <fb>40765</fb>
    <v>9</v>
  </rv>
  <rv s="52">
    <v>#VALUE!</v>
    <v>en-US</v>
    <v>f367a9c3-32b7-139d-25fe-4f100eba17ca</v>
    <v>536870912</v>
    <v>1</v>
    <v>633</v>
    <v>634</v>
    <v>Grenada</v>
    <v>5</v>
    <v>6</v>
    <v>Map</v>
    <v>7</v>
    <v>635</v>
    <v>GD</v>
    <v>4004</v>
    <v>4005</v>
    <v>4006</v>
    <v>4007</v>
    <v>3995</v>
    <v>4008</v>
    <v>4009</v>
    <v>4010</v>
    <v>XCD</v>
    <v>Grenada is an island country of the West Indies in the eastern Caribbean Sea. The southernmost of the Windward Islands, Grenada is directly south of Saint Vincent and the Grenadines and about 100 miles north of Trinidad and the South American ...</v>
    <v>4011</v>
    <v>4012</v>
    <v>434</v>
    <v>167</v>
    <v>4013</v>
    <v>4014</v>
    <v>4015</v>
    <v>4016</v>
    <v>4017</v>
    <v>3995</v>
    <v>4019</v>
    <v>4020</v>
    <v>4021</v>
    <v>3786</v>
    <v>Grenada</v>
    <v>Hail Grenada</v>
    <v>4022</v>
    <v>Grenada</v>
    <v>4023</v>
    <v>4024</v>
    <v>4025</v>
    <v>4033</v>
    <v>4034</v>
    <v>462</v>
    <v>2584</v>
    <v>Grenada</v>
    <v>4035</v>
    <v>mdp/vdpid/91</v>
  </rv>
  <rv s="1">
    <v>536870912</v>
    <v>Guatemala City</v>
    <v>e595416a-1039-c34c-75ac-9ed87ae194b0</v>
    <v>en-US</v>
    <v>Map</v>
  </rv>
  <rv s="1">
    <v>536870912</v>
    <v>Guatemala Department</v>
    <v>1a31de51-7ef1-3e03-6240-dde1a488e191</v>
    <v>en-US</v>
    <v>Map</v>
  </rv>
  <rv s="0">
    <fb>692</fb>
    <v>9</v>
  </rv>
  <rv s="1">
    <v>536870912</v>
    <v>Guatemala</v>
    <v>3d01de6a-8ed9-25cb-a652-cd408b2f3daf</v>
    <v>en-US</v>
    <v>Map</v>
  </rv>
  <rv s="2">
    <v>130</v>
    <v>7</v>
    <v>636</v>
    <v>7</v>
    <v>0</v>
    <v>Image of Guatemala City</v>
  </rv>
  <rv s="0">
    <fb>14.609861111111</fb>
    <v>0</v>
  </rv>
  <rv s="1">
    <v>805306368</v>
    <v>Ricardo Quiñónez Lemus (Mayor)</v>
    <v>18aca5e1-1b77-922d-7225-33e555323781</v>
    <v>en-US</v>
    <v>Generic</v>
  </rv>
  <rv s="3">
    <v>282</v>
  </rv>
  <rv s="4">
    <v>https://www.bing.com/search?q=guatemala+city&amp;form=skydnc</v>
    <v>Learn more on Bing</v>
  </rv>
  <rv s="0">
    <fb>-90.52525</fb>
    <v>0</v>
  </rv>
  <rv s="0">
    <fb>1221739</fb>
    <v>9</v>
  </rv>
  <rv s="7">
    <v>#VALUE!</v>
    <v>en-US</v>
    <v>e595416a-1039-c34c-75ac-9ed87ae194b0</v>
    <v>536870912</v>
    <v>1</v>
    <v>637</v>
    <v>38</v>
    <v>Guatemala City</v>
    <v>5</v>
    <v>6</v>
    <v>Map</v>
    <v>7</v>
    <v>111</v>
    <v>4038</v>
    <v>4039</v>
    <v>4040</v>
    <v>Guatemala City, is the national capital and largest city of the Republic of Guatemala. It is also the municipal capital of the Guatemala Department and the most populous urban metropolitan area in Central America. The city is located in a ...</v>
    <v>4041</v>
    <v>4042</v>
    <v>4044</v>
    <v>4045</v>
    <v>4046</v>
    <v>Guatemala City</v>
    <v>4047</v>
    <v>1176</v>
    <v>Guatemala City</v>
    <v>mdp/vdpid/5168976715120115713</v>
  </rv>
  <rv s="0">
    <fb>0.35983575961179498</fb>
    <v>28</v>
  </rv>
  <rv s="0">
    <fb>108889</fb>
    <v>9</v>
  </rv>
  <rv s="0">
    <fb>43000</fb>
    <v>9</v>
  </rv>
  <rv s="0">
    <fb>24.561</fb>
    <v>29</v>
  </rv>
  <rv s="0">
    <fb>502</fb>
    <v>30</v>
  </rv>
  <rv s="0">
    <fb>16776.525000000001</fb>
    <v>9</v>
  </rv>
  <rv s="0">
    <fb>142.921394880398</fb>
    <v>31</v>
  </rv>
  <rv s="0">
    <fb>3.69998398008601E-2</fb>
    <v>28</v>
  </rv>
  <rv s="0">
    <fb>577.897354201025</fb>
    <v>9</v>
  </rv>
  <rv s="0">
    <fb>2.87</fb>
    <v>29</v>
  </rv>
  <rv s="0">
    <fb>0.32695036372305403</fb>
    <v>28</v>
  </rv>
  <rv s="0">
    <fb>37.378596963442199</fb>
    <v>34</v>
  </rv>
  <rv s="0">
    <fb>0.79</fb>
    <v>32</v>
  </rv>
  <rv s="0">
    <fb>76710385879.662704</fb>
    <v>33</v>
  </rv>
  <rv s="0">
    <fb>1.0190261999999999</fb>
    <v>28</v>
  </rv>
  <rv s="0">
    <fb>0.2178329</fb>
    <v>28</v>
  </rv>
  <rv s="2">
    <v>131</v>
    <v>7</v>
    <v>639</v>
    <v>7</v>
    <v>0</v>
    <v>Image of Guatemala</v>
  </rv>
  <rv s="0">
    <fb>22.1</fb>
    <v>34</v>
  </rv>
  <rv s="1">
    <v>805306368</v>
    <v>Bernardo Arévalo (President)</v>
    <v>c2c1360c-29d1-67d6-e0f9-970455468a7c</v>
    <v>en-US</v>
    <v>Generic</v>
  </rv>
  <rv s="1">
    <v>805306368</v>
    <v>Karin Herrera (Vice president)</v>
    <v>a5c52e4b-f5c7-0673-7166-7aa516a307d9</v>
    <v>en-US</v>
    <v>Generic</v>
  </rv>
  <rv s="3">
    <v>283</v>
  </rv>
  <rv s="4">
    <v>https://www.bing.com/search?q=guatemala&amp;form=skydnc</v>
    <v>Learn more on Bing</v>
  </rv>
  <rv s="0">
    <fb>74.063000000000002</fb>
    <v>34</v>
  </rv>
  <rv s="0">
    <fb>1.6</fb>
    <v>32</v>
  </rv>
  <rv s="3">
    <v>284</v>
  </rv>
  <rv s="0">
    <fb>0.5576571736</fb>
    <v>28</v>
  </rv>
  <rv s="0">
    <fb>0.35489999999999999</fb>
    <v>29</v>
  </rv>
  <rv s="0">
    <fb>17357886</fb>
    <v>9</v>
  </rv>
  <rv s="0">
    <fb>0.20100000000000001</fb>
    <v>28</v>
  </rv>
  <rv s="0">
    <fb>0.38100000000000001</fb>
    <v>28</v>
  </rv>
  <rv s="0">
    <fb>0.53600000000000003</fb>
    <v>28</v>
  </rv>
  <rv s="0">
    <fb>0.62349998474121104</fb>
    <v>28</v>
  </rv>
  <rv s="1">
    <v>536870912</v>
    <v>Alta Verapaz Department</v>
    <v>381e3e42-7a15-a354-6dad-f74a02232a41</v>
    <v>en-US</v>
    <v>Map</v>
  </rv>
  <rv s="1">
    <v>536870912</v>
    <v>Baja Verapaz Department</v>
    <v>bca3ec95-4821-ade2-b0fc-b75f833ca51c</v>
    <v>en-US</v>
    <v>Map</v>
  </rv>
  <rv s="1">
    <v>536870912</v>
    <v>Chimaltenango Department</v>
    <v>f1745554-5ae8-ecf1-59fd-6af2aea988c5</v>
    <v>en-US</v>
    <v>Map</v>
  </rv>
  <rv s="1">
    <v>536870912</v>
    <v>Chiquimula Department</v>
    <v>30bc9e99-0043-87fc-8f3b-fb0cef9bf2b4</v>
    <v>en-US</v>
    <v>Map</v>
  </rv>
  <rv s="1">
    <v>536870912</v>
    <v>Petén Department</v>
    <v>8c865c1e-04d4-5790-f140-3438b0dbe8a6</v>
    <v>en-US</v>
    <v>Map</v>
  </rv>
  <rv s="1">
    <v>536870912</v>
    <v>El Progreso Department</v>
    <v>7ff89c33-8b3c-0bd8-77f9-ec7248ec720f</v>
    <v>en-US</v>
    <v>Map</v>
  </rv>
  <rv s="1">
    <v>536870912</v>
    <v>Quiché Department</v>
    <v>eecce26d-daad-373e-55f4-f2740f42f402</v>
    <v>en-US</v>
    <v>Map</v>
  </rv>
  <rv s="1">
    <v>536870912</v>
    <v>Escuintla Department</v>
    <v>abd75e25-b2c9-90ca-4fac-de9b4c5a7cf0</v>
    <v>en-US</v>
    <v>Map</v>
  </rv>
  <rv s="1">
    <v>536870912</v>
    <v>Huehuetenango Department</v>
    <v>dc427828-8884-d89b-5e20-9c4db48d9311</v>
    <v>en-US</v>
    <v>Map</v>
  </rv>
  <rv s="1">
    <v>536870912</v>
    <v>Izabal Department</v>
    <v>581acd22-c156-0dd0-2ea5-99fd7da38105</v>
    <v>en-US</v>
    <v>Map</v>
  </rv>
  <rv s="1">
    <v>536870912</v>
    <v>Jalapa Department</v>
    <v>9fa1196a-5717-1cb6-b7c0-d4892a1d4ba8</v>
    <v>en-US</v>
    <v>Map</v>
  </rv>
  <rv s="1">
    <v>536870912</v>
    <v>Jutiapa Department</v>
    <v>6d800b28-dad5-b072-ee37-b3bc5daa8c5e</v>
    <v>en-US</v>
    <v>Map</v>
  </rv>
  <rv s="1">
    <v>536870912</v>
    <v>Quetzaltenango Department</v>
    <v>edf55a6e-f9fe-9c89-7273-2cb88cf661db</v>
    <v>en-US</v>
    <v>Map</v>
  </rv>
  <rv s="1">
    <v>536870912</v>
    <v>Retalhuleu Department</v>
    <v>46dc9f99-5d18-06c3-57f0-f505e44ea577</v>
    <v>en-US</v>
    <v>Map</v>
  </rv>
  <rv s="1">
    <v>536870912</v>
    <v>Sacatepéquez Department</v>
    <v>f55da8fc-713d-49b9-9940-4a56ca5b71ee</v>
    <v>en-US</v>
    <v>Map</v>
  </rv>
  <rv s="1">
    <v>536870912</v>
    <v>San Marcos Department</v>
    <v>44adc098-6846-0dd7-959c-6919902ece12</v>
    <v>en-US</v>
    <v>Map</v>
  </rv>
  <rv s="1">
    <v>536870912</v>
    <v>Santa Rosa Department, Guatemala</v>
    <v>8a56ff9f-689c-51b6-2d01-8c101a4a5a90</v>
    <v>en-US</v>
    <v>Map</v>
  </rv>
  <rv s="1">
    <v>536870912</v>
    <v>Sololá Department</v>
    <v>362640e8-1f00-a696-287f-7e08764c4b97</v>
    <v>en-US</v>
    <v>Map</v>
  </rv>
  <rv s="1">
    <v>536870912</v>
    <v>Suchitepéquez Department</v>
    <v>ee120c09-4352-be58-fb89-611858334f29</v>
    <v>en-US</v>
    <v>Map</v>
  </rv>
  <rv s="1">
    <v>536870912</v>
    <v>Totonicapán Department</v>
    <v>ffdfafdc-be79-3444-f809-ee868b4472da</v>
    <v>en-US</v>
    <v>Map</v>
  </rv>
  <rv s="1">
    <v>536870912</v>
    <v>Zacapa Department</v>
    <v>8a303b4e-cd02-ab4a-5331-66b5ede5f123</v>
    <v>en-US</v>
    <v>Map</v>
  </rv>
  <rv s="3">
    <v>285</v>
  </rv>
  <rv s="0">
    <fb>0.10591263848138499</fb>
    <v>28</v>
  </rv>
  <rv s="0">
    <fb>2.4590001106262197E-2</fb>
    <v>35</v>
  </rv>
  <rv s="0">
    <fb>8540945</fb>
    <v>9</v>
  </rv>
  <rv s="8">
    <v>#VALUE!</v>
    <v>en-US</v>
    <v>3d01de6a-8ed9-25cb-a652-cd408b2f3daf</v>
    <v>536870912</v>
    <v>1</v>
    <v>642</v>
    <v>46</v>
    <v>Guatemala</v>
    <v>5</v>
    <v>6</v>
    <v>Map</v>
    <v>7</v>
    <v>643</v>
    <v>GT</v>
    <v>4049</v>
    <v>4050</v>
    <v>4051</v>
    <v>4052</v>
    <v>4053</v>
    <v>4037</v>
    <v>4054</v>
    <v>4055</v>
    <v>4056</v>
    <v>GTQ</v>
    <v>Guatemala, officially the Republic of Guatemala, is a country in Central America. It is bordered to the north and west by Mexico, to the northeast by Belize, to the east by Honduras, and to the southeast by El Salvador. It is hydrologically ...</v>
    <v>4057</v>
    <v>4058</v>
    <v>4059</v>
    <v>4060</v>
    <v>4061</v>
    <v>4062</v>
    <v>4063</v>
    <v>4064</v>
    <v>4065</v>
    <v>4066</v>
    <v>4037</v>
    <v>4069</v>
    <v>4070</v>
    <v>4071</v>
    <v>2924</v>
    <v>4072</v>
    <v>Guatemala</v>
    <v>National anthem of Guatemala</v>
    <v>4073</v>
    <v>Guatemala</v>
    <v>4074</v>
    <v>4075</v>
    <v>4076</v>
    <v>4077</v>
    <v>4078</v>
    <v>4079</v>
    <v>1954</v>
    <v>1955</v>
    <v>939</v>
    <v>2471</v>
    <v>4080</v>
    <v>4102</v>
    <v>4103</v>
    <v>1176</v>
    <v>2929</v>
    <v>4104</v>
    <v>Guatemala</v>
    <v>4105</v>
    <v>mdp/vdpid/99</v>
  </rv>
  <rv s="1">
    <v>536870912</v>
    <v>Conakry</v>
    <v>684c5718-8371-c14b-92c9-6af66425dc35</v>
    <v>en-US</v>
    <v>Map</v>
  </rv>
  <rv s="0">
    <fb>450</fb>
    <v>9</v>
  </rv>
  <rv s="1">
    <v>536870912</v>
    <v>Guinea</v>
    <v>fb286d30-98bc-03ec-5a8c-021c49f1009b</v>
    <v>en-US</v>
    <v>Map</v>
  </rv>
  <rv s="2">
    <v>132</v>
    <v>7</v>
    <v>644</v>
    <v>7</v>
    <v>0</v>
    <v>Image of Conakry</v>
  </rv>
  <rv s="1">
    <v>805306368</v>
    <v>M'Mahawa Sylla (Governor)</v>
    <v>5ae87577-81fa-8f2b-2e33-ce9f22cd3669</v>
    <v>en-US</v>
    <v>Generic</v>
  </rv>
  <rv s="3">
    <v>286</v>
  </rv>
  <rv s="4">
    <v>https://www.bing.com/search?q=conakry&amp;form=skydnc</v>
    <v>Learn more on Bing</v>
  </rv>
  <rv s="0">
    <fb>1660973</fb>
    <v>9</v>
  </rv>
  <rv s="16">
    <v>#VALUE!</v>
    <v>en-US</v>
    <v>684c5718-8371-c14b-92c9-6af66425dc35</v>
    <v>536870912</v>
    <v>1</v>
    <v>646</v>
    <v>92</v>
    <v>Conakry</v>
    <v>5</v>
    <v>6</v>
    <v>Map</v>
    <v>7</v>
    <v>158</v>
    <v>GN-C</v>
    <v>4108</v>
    <v>4109</v>
    <v>Conakry is the capital and largest city of Guinea. A port city, it serves as the economic, financial and cultural centre of Guinea. Its population as of the 2014 Guinea census was 1,660,973. The current population of Conakry is difficult to ...</v>
    <v>4110</v>
    <v>4112</v>
    <v>4113</v>
    <v>Conakry</v>
    <v>4114</v>
    <v>3884</v>
    <v>Conakry</v>
    <v>mdp/vdpid/5749709373328850945</v>
  </rv>
  <rv s="0">
    <fb>0.59010255575451698</fb>
    <v>28</v>
  </rv>
  <rv s="0">
    <fb>245857</fb>
    <v>9</v>
  </rv>
  <rv s="0">
    <fb>36.363999999999997</fb>
    <v>29</v>
  </rv>
  <rv s="0">
    <fb>224</fb>
    <v>30</v>
  </rv>
  <rv s="0">
    <fb>2995.9389999999999</fb>
    <v>9</v>
  </rv>
  <rv s="0">
    <fb>262.949692139783</fb>
    <v>31</v>
  </rv>
  <rv s="0">
    <fb>9.4706971640204307E-2</fb>
    <v>28</v>
  </rv>
  <rv s="0">
    <fb>4.7</fb>
    <v>29</v>
  </rv>
  <rv s="0">
    <fb>0.25752889467686801</fb>
    <v>28</v>
  </rv>
  <rv s="0">
    <fb>13590281808.692801</fb>
    <v>33</v>
  </rv>
  <rv s="0">
    <fb>0.91509169999999995</fb>
    <v>28</v>
  </rv>
  <rv s="0">
    <fb>0.1155931</fb>
    <v>28</v>
  </rv>
  <rv s="2">
    <v>133</v>
    <v>7</v>
    <v>648</v>
    <v>7</v>
    <v>0</v>
    <v>Image of Guinea</v>
  </rv>
  <rv s="0">
    <fb>64.900000000000006</fb>
    <v>34</v>
  </rv>
  <rv s="1">
    <v>805306368</v>
    <v>Mamady Doumbouya (President)</v>
    <v>4b4da2bd-4ed5-009f-0d86-fb9a1b35f25e</v>
    <v>en-US</v>
    <v>Generic</v>
  </rv>
  <rv s="1">
    <v>805306368</v>
    <v>Mamady Doumbouya (Chairman)</v>
    <v>4b4da2bd-4ed5-009f-0d86-fb9a1b35f25e</v>
    <v>en-US</v>
    <v>Generic</v>
  </rv>
  <rv s="1">
    <v>805306368</v>
    <v>Bah Oury (Prime minister)</v>
    <v>22c59910-48fa-249a-6489-fdd76f285cd3</v>
    <v>en-US</v>
    <v>Generic</v>
  </rv>
  <rv s="3">
    <v>287</v>
  </rv>
  <rv s="4">
    <v>https://www.bing.com/search?q=guinea&amp;form=skydnc</v>
    <v>Learn more on Bing</v>
  </rv>
  <rv s="0">
    <fb>61.185000000000002</fb>
    <v>34</v>
  </rv>
  <rv s="0">
    <fb>576</fb>
    <v>34</v>
  </rv>
  <rv s="0">
    <fb>0.54494895890000006</fb>
    <v>28</v>
  </rv>
  <rv s="0">
    <fb>7.8799999999999995E-2</fb>
    <v>29</v>
  </rv>
  <rv s="0">
    <fb>13859341</fb>
    <v>9</v>
  </rv>
  <rv s="0">
    <fb>0.26400000000000001</fb>
    <v>28</v>
  </rv>
  <rv s="0">
    <fb>0.16399999999999998</fb>
    <v>28</v>
  </rv>
  <rv s="0">
    <fb>0.61534000396728505</fb>
    <v>28</v>
  </rv>
  <rv s="3">
    <v>288</v>
  </rv>
  <rv s="0">
    <fb>0.10841783867052399</fb>
    <v>28</v>
  </rv>
  <rv s="3">
    <v>289</v>
  </rv>
  <rv s="0">
    <fb>0.69299999999999995</fb>
    <v>28</v>
  </rv>
  <rv s="0">
    <fb>4.2960000038146998E-2</fb>
    <v>35</v>
  </rv>
  <rv s="0">
    <fb>4661505</fb>
    <v>9</v>
  </rv>
  <rv s="29">
    <v>#VALUE!</v>
    <v>en-US</v>
    <v>fb286d30-98bc-03ec-5a8c-021c49f1009b</v>
    <v>536870912</v>
    <v>1</v>
    <v>651</v>
    <v>281</v>
    <v>Guinea</v>
    <v>5</v>
    <v>6</v>
    <v>Map</v>
    <v>7</v>
    <v>652</v>
    <v>GN</v>
    <v>4116</v>
    <v>4117</v>
    <v>2802</v>
    <v>4118</v>
    <v>4119</v>
    <v>4107</v>
    <v>4120</v>
    <v>4121</v>
    <v>4122</v>
    <v>GNF</v>
    <v>Guinea, officially the Republic of Guinea, is a coastal country in West Africa. It borders the Atlantic Ocean to the west, Guinea-Bissau to the northwest, Senegal to the north, Mali to the northeast, Côte d'Ivoire to the southeast, and Sierra ...</v>
    <v>4123</v>
    <v>4124</v>
    <v>1867</v>
    <v>4125</v>
    <v>4126</v>
    <v>4127</v>
    <v>4128</v>
    <v>4129</v>
    <v>4107</v>
    <v>4133</v>
    <v>4134</v>
    <v>4135</v>
    <v>4136</v>
    <v>Guinea</v>
    <v>Liberté</v>
    <v>1220</v>
    <v>Guinée</v>
    <v>4137</v>
    <v>4138</v>
    <v>4139</v>
    <v>2771</v>
    <v>4140</v>
    <v>1470</v>
    <v>3400</v>
    <v>3851</v>
    <v>589</v>
    <v>4141</v>
    <v>4142</v>
    <v>4143</v>
    <v>4144</v>
    <v>4145</v>
    <v>4146</v>
    <v>4147</v>
    <v>Guinea</v>
    <v>4148</v>
    <v>mdp/vdpid/100</v>
  </rv>
  <rv s="1">
    <v>536870912</v>
    <v>Bissau</v>
    <v>a9a6f15c-2262-bdda-140c-f882d9b20de0</v>
    <v>en-US</v>
    <v>Map</v>
  </rv>
  <rv s="0">
    <fb>77.5</fb>
    <v>9</v>
  </rv>
  <rv s="1">
    <v>536870912</v>
    <v>Guinea-Bissau</v>
    <v>2b158349-90cf-0644-1c79-0fcc7dc16938</v>
    <v>en-US</v>
    <v>Map</v>
  </rv>
  <rv s="2">
    <v>134</v>
    <v>7</v>
    <v>653</v>
    <v>7</v>
    <v>0</v>
    <v>Image of Bissau</v>
  </rv>
  <rv s="4">
    <v>https://www.bing.com/search?q=bissau&amp;form=skydnc</v>
    <v>Learn more on Bing</v>
  </rv>
  <rv s="0">
    <fb>492004</fb>
    <v>9</v>
  </rv>
  <rv s="10">
    <v>#VALUE!</v>
    <v>en-US</v>
    <v>a9a6f15c-2262-bdda-140c-f882d9b20de0</v>
    <v>536870912</v>
    <v>1</v>
    <v>655</v>
    <v>60</v>
    <v>Bissau</v>
    <v>5</v>
    <v>6</v>
    <v>Map</v>
    <v>7</v>
    <v>253</v>
    <v>GW-BS</v>
    <v>4151</v>
    <v>4152</v>
    <v>Bissau is the capital and largest city of Guinea-Bissau. As of 2015, it had a population of 492,004. Bissau is located on the Geba River estuary, off the Atlantic Ocean, and is Guinea-Bissau's largest city, major port, its administrative and ...</v>
    <v>4153</v>
    <v>4154</v>
    <v>Bissau</v>
    <v>4155</v>
    <v>1712</v>
    <v>Bissau</v>
    <v>mdp/vdpid/5736859313943609345</v>
  </rv>
  <rv s="0">
    <fb>0.579658605974395</fb>
    <v>28</v>
  </rv>
  <rv s="0">
    <fb>36125</fb>
    <v>9</v>
  </rv>
  <rv s="0">
    <fb>35.125</fb>
    <v>29</v>
  </rv>
  <rv s="0">
    <fb>245</fb>
    <v>30</v>
  </rv>
  <rv s="0">
    <fb>293.36</fb>
    <v>9</v>
  </rv>
  <rv s="0">
    <fb>111.65129924559901</fb>
    <v>31</v>
  </rv>
  <rv s="0">
    <fb>1.3621489993150999E-2</fb>
    <v>28</v>
  </rv>
  <rv s="0">
    <fb>4.476</fb>
    <v>29</v>
  </rv>
  <rv s="0">
    <fb>0.69772403982930298</fb>
    <v>28</v>
  </rv>
  <rv s="0">
    <fb>1340389410.76003</fb>
    <v>33</v>
  </rv>
  <rv s="0">
    <fb>1.1868518000000001</fb>
    <v>28</v>
  </rv>
  <rv s="0">
    <fb>2.6432500000000001E-2</fb>
    <v>28</v>
  </rv>
  <rv s="2">
    <v>135</v>
    <v>7</v>
    <v>657</v>
    <v>7</v>
    <v>0</v>
    <v>Image of Guinea-Bissau</v>
  </rv>
  <rv s="0">
    <fb>54</fb>
    <v>34</v>
  </rv>
  <rv s="1">
    <v>805306368</v>
    <v>Umaro Sissoco Embaló (President)</v>
    <v>b670d334-80a0-a14b-2ad2-281d6f32acfa</v>
    <v>en-US</v>
    <v>Generic</v>
  </rv>
  <rv s="1">
    <v>805306368</v>
    <v>Rui Duarte de Barros (Prime minister)</v>
    <v>c0996aaf-2a40-8c4f-a3b5-c2f5faff7114</v>
    <v>en-US</v>
    <v>Generic</v>
  </rv>
  <rv s="3">
    <v>290</v>
  </rv>
  <rv s="4">
    <v>https://www.bing.com/search?q=guinea-bissau&amp;form=skydnc</v>
    <v>Learn more on Bing</v>
  </rv>
  <rv s="0">
    <fb>58.003</fb>
    <v>34</v>
  </rv>
  <rv s="0">
    <fb>667</fb>
    <v>34</v>
  </rv>
  <rv s="0">
    <fb>0.16</fb>
    <v>32</v>
  </rv>
  <rv s="3">
    <v>291</v>
  </rv>
  <rv s="0">
    <fb>0.371643746</fb>
    <v>28</v>
  </rv>
  <rv s="0">
    <fb>0.12740000000000001</fb>
    <v>29</v>
  </rv>
  <rv s="0">
    <fb>2105566</fb>
    <v>9</v>
  </rv>
  <rv s="0">
    <fb>0.183</fb>
    <v>28</v>
  </rv>
  <rv s="0">
    <fb>0.42</fb>
    <v>28</v>
  </rv>
  <rv s="0">
    <fb>0.56700000000000006</fb>
    <v>28</v>
  </rv>
  <rv s="0">
    <fb>8.3000000000000004E-2</fb>
    <v>28</v>
  </rv>
  <rv s="0">
    <fb>0.71963996887207005</fb>
    <v>28</v>
  </rv>
  <rv s="1">
    <v>536870912</v>
    <v>Bafatá region</v>
    <v>91605cf5-93cc-80a3-a10c-015c377ae137</v>
    <v>en-US</v>
    <v>Map</v>
  </rv>
  <rv s="1">
    <v>536870912</v>
    <v>Biombo region</v>
    <v>e208f786-1204-e391-34ca-fb9ba563ae4b</v>
    <v>en-US</v>
    <v>Map</v>
  </rv>
  <rv s="1">
    <v>536870912</v>
    <v>Bolama region</v>
    <v>302fd795-7e47-9d8d-4aab-f796383f8d94</v>
    <v>en-US</v>
    <v>Map</v>
  </rv>
  <rv s="1">
    <v>536870912</v>
    <v>Cacheu region</v>
    <v>e372f4d7-f49b-89e1-140b-9cf8e7757317</v>
    <v>en-US</v>
    <v>Map</v>
  </rv>
  <rv s="1">
    <v>536870912</v>
    <v>Gabú region</v>
    <v>71cfda47-3a17-3b1b-9890-f7fd85fb7011</v>
    <v>en-US</v>
    <v>Map</v>
  </rv>
  <rv s="1">
    <v>536870912</v>
    <v>Oio region</v>
    <v>f2d6f99f-a3fb-0995-d131-ad205eb7e831</v>
    <v>en-US</v>
    <v>Map</v>
  </rv>
  <rv s="1">
    <v>536870912</v>
    <v>Quinara region</v>
    <v>6baa62bc-a0a2-ad90-8d9a-0486878af1f7</v>
    <v>en-US</v>
    <v>Map</v>
  </rv>
  <rv s="1">
    <v>536870912</v>
    <v>Tombali region</v>
    <v>3d55c159-5567-abc5-bdef-a07165cd7299</v>
    <v>en-US</v>
    <v>Map</v>
  </rv>
  <rv s="3">
    <v>292</v>
  </rv>
  <rv s="0">
    <fb>0.10322833200828101</fb>
    <v>28</v>
  </rv>
  <rv s="3">
    <v>293</v>
  </rv>
  <rv s="0">
    <fb>0.45500000000000002</fb>
    <v>28</v>
  </rv>
  <rv s="0">
    <fb>2.46600008010864E-2</fb>
    <v>35</v>
  </rv>
  <rv s="0">
    <fb>840922</fb>
    <v>9</v>
  </rv>
  <rv s="53">
    <v>#VALUE!</v>
    <v>en-US</v>
    <v>2b158349-90cf-0644-1c79-0fcc7dc16938</v>
    <v>536870912</v>
    <v>1</v>
    <v>660</v>
    <v>661</v>
    <v>Guinea-Bissau</v>
    <v>5</v>
    <v>6</v>
    <v>Map</v>
    <v>7</v>
    <v>662</v>
    <v>GW</v>
    <v>4157</v>
    <v>4158</v>
    <v>3462</v>
    <v>4159</v>
    <v>4160</v>
    <v>4150</v>
    <v>4161</v>
    <v>4162</v>
    <v>4163</v>
    <v>XOF</v>
    <v>Guinea-Bissau, officially the Republic of Guinea-Bissau, is a country in West Africa that covers 36,125 square kilometres with an estimated population of 2,026,778. It borders Senegal to its north and Guinea to its southeast.</v>
    <v>4164</v>
    <v>4165</v>
    <v>434</v>
    <v>4166</v>
    <v>4167</v>
    <v>4168</v>
    <v>4169</v>
    <v>4170</v>
    <v>4150</v>
    <v>4173</v>
    <v>4174</v>
    <v>4175</v>
    <v>4176</v>
    <v>4177</v>
    <v>Guinea-Bissau</v>
    <v>Esta É a Nossa Pátria Bem Amada</v>
    <v>4178</v>
    <v>Guinea-Bissau</v>
    <v>4179</v>
    <v>4180</v>
    <v>4181</v>
    <v>4182</v>
    <v>4183</v>
    <v>4184</v>
    <v>2420</v>
    <v>1955</v>
    <v>4185</v>
    <v>589</v>
    <v>4186</v>
    <v>4195</v>
    <v>4196</v>
    <v>4197</v>
    <v>4198</v>
    <v>4199</v>
    <v>Guinea-Bissau</v>
    <v>4200</v>
    <v>mdp/vdpid/196</v>
  </rv>
  <rv s="1">
    <v>536870912</v>
    <v>Georgetown, Guyana</v>
    <v>4255bbcd-c419-9eb3-19b7-e9a409467e93</v>
    <v>en-US</v>
    <v>Map</v>
  </rv>
  <rv s="1">
    <v>536870912</v>
    <v>Demerara-Mahaica</v>
    <v>6a8a16e1-c0d0-c195-8010-a9e048ab9bad</v>
    <v>en-US</v>
    <v>Map</v>
  </rv>
  <rv s="0">
    <fb>147.6</fb>
    <v>9</v>
  </rv>
  <rv s="1">
    <v>536870912</v>
    <v>Guyana</v>
    <v>83aef9d2-d59b-ac2c-09fe-89520b805d03</v>
    <v>en-US</v>
    <v>Map</v>
  </rv>
  <rv s="2">
    <v>136</v>
    <v>7</v>
    <v>663</v>
    <v>7</v>
    <v>0</v>
    <v>Image of Georgetown, Guyana</v>
  </rv>
  <rv s="0">
    <fb>6.8058333333333296</fb>
    <v>0</v>
  </rv>
  <rv s="1">
    <v>805306368</v>
    <v>Alfred Mentore (Mayor)</v>
    <v>73b8cd93-c449-3b77-67e7-519b401a7ddb</v>
    <v>en-US</v>
    <v>Generic</v>
  </rv>
  <rv s="3">
    <v>294</v>
  </rv>
  <rv s="4">
    <v>https://www.bing.com/search?q=georgetown+guyana&amp;form=skydnc</v>
    <v>Learn more on Bing</v>
  </rv>
  <rv s="0">
    <fb>-58.150833333333303</fb>
    <v>0</v>
  </rv>
  <rv s="0">
    <fb>200500</fb>
    <v>9</v>
  </rv>
  <rv s="24">
    <v>#VALUE!</v>
    <v>en-US</v>
    <v>4255bbcd-c419-9eb3-19b7-e9a409467e93</v>
    <v>536870912</v>
    <v>1</v>
    <v>664</v>
    <v>189</v>
    <v>Georgetown, Guyana</v>
    <v>5</v>
    <v>6</v>
    <v>Map</v>
    <v>7</v>
    <v>372</v>
    <v>4203</v>
    <v>4204</v>
    <v>4205</v>
    <v>Georgetown is the capital and largest city of Guyana. It is situated in Demerara-Mahaica, region 4, on the Atlantic Ocean coast, at the mouth of the Demerara River. It is nicknamed the "Garden City of the Caribbean." It is the retail, ...</v>
    <v>4206</v>
    <v>4207</v>
    <v>4209</v>
    <v>4210</v>
    <v>4211</v>
    <v>Georgetown, Guyana</v>
    <v>4212</v>
    <v>Georgetown, Guyana</v>
    <v>mdp/vdpid/5606742110574215169</v>
  </rv>
  <rv s="0">
    <fb>8.6360172720345393E-2</fb>
    <v>28</v>
  </rv>
  <rv s="0">
    <fb>214970</fb>
    <v>9</v>
  </rv>
  <rv s="0">
    <fb>3000</fb>
    <v>9</v>
  </rv>
  <rv s="0">
    <fb>19.966999999999999</fb>
    <v>29</v>
  </rv>
  <rv s="0">
    <fb>592</fb>
    <v>30</v>
  </rv>
  <rv s="0">
    <fb>2383.5500000000002</fb>
    <v>9</v>
  </rv>
  <rv s="0">
    <fb>116.191475510903</fb>
    <v>31</v>
  </rv>
  <rv s="0">
    <fb>2.0872308916201999E-2</fb>
    <v>28</v>
  </rv>
  <rv s="0">
    <fb>2.4620000000000002</fb>
    <v>29</v>
  </rv>
  <rv s="0">
    <fb>0.83901447802895601</fb>
    <v>28</v>
  </rv>
  <rv s="0">
    <fb>4280443645.08393</fb>
    <v>33</v>
  </rv>
  <rv s="0">
    <fb>0.9781164</fb>
    <v>28</v>
  </rv>
  <rv s="0">
    <fb>0.1162275</fb>
    <v>28</v>
  </rv>
  <rv s="2">
    <v>137</v>
    <v>7</v>
    <v>666</v>
    <v>7</v>
    <v>0</v>
    <v>Image of Guyana</v>
  </rv>
  <rv s="1">
    <v>805306368</v>
    <v>Irfaan Ali (President)</v>
    <v>e9f3c86e-214e-7ba4-4f7f-360814656335</v>
    <v>en-US</v>
    <v>Generic</v>
  </rv>
  <rv s="1">
    <v>805306368</v>
    <v>Mark Phillips (Vice president)</v>
    <v>c7675577-a6f3-5a9f-8a39-7c7286cc7a3a</v>
    <v>en-US</v>
    <v>Generic</v>
  </rv>
  <rv s="1">
    <v>805306368</v>
    <v>Mark Phillips (Prime minister)</v>
    <v>c7675577-a6f3-5a9f-8a39-7c7286cc7a3a</v>
    <v>en-US</v>
    <v>Generic</v>
  </rv>
  <rv s="1">
    <v>805306368</v>
    <v>Roxane George-Wiltshire (Chief justice)</v>
    <v>ddf21e5e-fa02-6e21-c023-0fa22a018c1b</v>
    <v>en-US</v>
    <v>Generic</v>
  </rv>
  <rv s="3">
    <v>295</v>
  </rv>
  <rv s="4">
    <v>https://www.bing.com/search?q=guyana&amp;form=skydnc</v>
    <v>Learn more on Bing</v>
  </rv>
  <rv s="0">
    <fb>69.774000000000001</fb>
    <v>34</v>
  </rv>
  <rv s="0">
    <fb>169</fb>
    <v>34</v>
  </rv>
  <rv s="0">
    <fb>0.40506672180000003</fb>
    <v>28</v>
  </rv>
  <rv s="0">
    <fb>0.79900000000000004</fb>
    <v>29</v>
  </rv>
  <rv s="0">
    <fb>808726</fb>
    <v>9</v>
  </rv>
  <rv s="0">
    <fb>0.34100000000000003</fb>
    <v>28</v>
  </rv>
  <rv s="0">
    <fb>0.496</fb>
    <v>28</v>
  </rv>
  <rv s="0">
    <fb>0.14699999999999999</fb>
    <v>28</v>
  </rv>
  <rv s="0">
    <fb>0.56182998657226602</fb>
    <v>28</v>
  </rv>
  <rv s="1">
    <v>536870912</v>
    <v>Barima-Waini</v>
    <v>54063ce5-d167-290e-7e7a-a8da815df236</v>
    <v>en-US</v>
    <v>Map</v>
  </rv>
  <rv s="1">
    <v>536870912</v>
    <v>Cuyuni-Mazaruni</v>
    <v>1ce78efc-ee08-bee6-9af2-3d35f3a75d31</v>
    <v>en-US</v>
    <v>Map</v>
  </rv>
  <rv s="1">
    <v>536870912</v>
    <v>East Berbice-Corentyne</v>
    <v>1c97e84a-4294-4d24-23f4-bb391c4d8927</v>
    <v>en-US</v>
    <v>Map</v>
  </rv>
  <rv s="1">
    <v>536870912</v>
    <v>Essequibo Islands-West Demerara</v>
    <v>d87a0bf1-5efd-3957-3cc8-5507a36ed4c9</v>
    <v>en-US</v>
    <v>Map</v>
  </rv>
  <rv s="1">
    <v>536870912</v>
    <v>Mahaica-Berbice</v>
    <v>d3978ae1-ef18-d91a-47ba-41848cbfe455</v>
    <v>en-US</v>
    <v>Map</v>
  </rv>
  <rv s="1">
    <v>536870912</v>
    <v>Pomeroon-Supenaam</v>
    <v>ea2a2fbe-4ff2-f5a8-0be3-69be504202d5</v>
    <v>en-US</v>
    <v>Map</v>
  </rv>
  <rv s="1">
    <v>536870912</v>
    <v>Potaro-Siparuni</v>
    <v>c3836d29-90ff-c694-e747-62b928c341dd</v>
    <v>en-US</v>
    <v>Map</v>
  </rv>
  <rv s="1">
    <v>536870912</v>
    <v>Upper Demerara-Berbice</v>
    <v>9a1a14f0-a9af-98b1-b5ba-75cb62fac1a9</v>
    <v>en-US</v>
    <v>Map</v>
  </rv>
  <rv s="1">
    <v>536870912</v>
    <v>Upper Takutu-Upper Essequibo</v>
    <v>1406ad7a-ebab-f092-cdda-bf04525e69af</v>
    <v>en-US</v>
    <v>Map</v>
  </rv>
  <rv s="3">
    <v>296</v>
  </rv>
  <rv s="0">
    <fb>0.30599999999999999</fb>
    <v>28</v>
  </rv>
  <rv s="0">
    <fb>0.11852000236511201</fb>
    <v>35</v>
  </rv>
  <rv s="0">
    <fb>208912</fb>
    <v>9</v>
  </rv>
  <rv s="54">
    <v>#VALUE!</v>
    <v>en-US</v>
    <v>83aef9d2-d59b-ac2c-09fe-89520b805d03</v>
    <v>536870912</v>
    <v>1</v>
    <v>669</v>
    <v>670</v>
    <v>Guyana</v>
    <v>5</v>
    <v>6</v>
    <v>Map</v>
    <v>7</v>
    <v>671</v>
    <v>GY</v>
    <v>4214</v>
    <v>4215</v>
    <v>4216</v>
    <v>4217</v>
    <v>4218</v>
    <v>4202</v>
    <v>4219</v>
    <v>4220</v>
    <v>4221</v>
    <v>GYD</v>
    <v>Guyana, officially the Co-operative Republic of Guyana, is a country on the northern coast of South America, part of the historic mainland British West Indies. Georgetown is the capital of Guyana and is also the country's largest city. Guyana is ...</v>
    <v>4222</v>
    <v>4223</v>
    <v>434</v>
    <v>1867</v>
    <v>4224</v>
    <v>4225</v>
    <v>4226</v>
    <v>4227</v>
    <v>922</v>
    <v>4202</v>
    <v>4232</v>
    <v>4233</v>
    <v>4234</v>
    <v>4235</v>
    <v>1269</v>
    <v>Guyana</v>
    <v>Dear Land of Guyana, of Rivers and Plains</v>
    <v>448</v>
    <v>Co-operative Republic of Guyana</v>
    <v>4236</v>
    <v>4237</v>
    <v>4238</v>
    <v>2825</v>
    <v>4239</v>
    <v>4240</v>
    <v>1358</v>
    <v>1955</v>
    <v>1820</v>
    <v>4241</v>
    <v>4242</v>
    <v>4252</v>
    <v>462</v>
    <v>4253</v>
    <v>4254</v>
    <v>Guyana</v>
    <v>4255</v>
    <v>mdp/vdpid/101</v>
  </rv>
  <rv s="1">
    <v>536870912</v>
    <v>Port-au-Prince</v>
    <v>4b781579-db0f-2658-a031-a07878e36f2a</v>
    <v>en-US</v>
    <v>Map</v>
  </rv>
  <rv s="1">
    <v>536870912</v>
    <v>Ouest</v>
    <v>c4250950-865b-209a-127b-d68800a778a8</v>
    <v>en-US</v>
    <v>Map</v>
  </rv>
  <rv s="0">
    <fb>36.04</fb>
    <v>9</v>
  </rv>
  <rv s="1">
    <v>536870912</v>
    <v>Haiti</v>
    <v>47bf785f-7dcc-ee2e-0dee-ca3b949b1845</v>
    <v>en-US</v>
    <v>Map</v>
  </rv>
  <rv s="2">
    <v>138</v>
    <v>7</v>
    <v>673</v>
    <v>7</v>
    <v>0</v>
    <v>Image of Port-au-Prince</v>
  </rv>
  <rv s="0">
    <fb>18.5425</fb>
    <v>0</v>
  </rv>
  <rv s="1">
    <v>805306368</v>
    <v>Lucsonne Janvier (Mayor)</v>
    <v>7b9ace46-9904-e14e-293f-6ae6b1e49e25</v>
    <v>en-US</v>
    <v>Generic</v>
  </rv>
  <rv s="3">
    <v>297</v>
  </rv>
  <rv s="4">
    <v>https://www.bing.com/search?q=port-au-prince&amp;form=skydnc</v>
    <v>Learn more on Bing</v>
  </rv>
  <rv s="0">
    <fb>-72.338611111111007</fb>
    <v>0</v>
  </rv>
  <rv s="0">
    <fb>987310</fb>
    <v>9</v>
  </rv>
  <rv s="23">
    <v>#VALUE!</v>
    <v>en-US</v>
    <v>4b781579-db0f-2658-a031-a07878e36f2a</v>
    <v>536870912</v>
    <v>1</v>
    <v>674</v>
    <v>179</v>
    <v>Port-au-Prince</v>
    <v>5</v>
    <v>6</v>
    <v>Map</v>
    <v>7</v>
    <v>253</v>
    <v>4258</v>
    <v>4258</v>
    <v>4259</v>
    <v>4260</v>
    <v>Port-au-Prince is the capital and most populous city of Haiti. The city's population was estimated at 1,200,000 in 2022 with the metropolitan area estimated at a population of 2,618,894. The metropolitan area is defined by the IHSI as including ...</v>
    <v>4261</v>
    <v>4262</v>
    <v>4264</v>
    <v>4265</v>
    <v>4266</v>
    <v>Port-au-Prince</v>
    <v>4267</v>
    <v>Port-au-Prince</v>
    <v>mdp/vdpid/5560944076523569153</v>
  </rv>
  <rv s="0">
    <fb>0.66763425253991304</fb>
    <v>28</v>
  </rv>
  <rv s="0">
    <fb>27750</fb>
    <v>9</v>
  </rv>
  <rv s="0">
    <fb>24.349</fb>
    <v>29</v>
  </rv>
  <rv s="0">
    <fb>509</fb>
    <v>30</v>
  </rv>
  <rv s="0">
    <fb>2977.6039999999998</fb>
    <v>9</v>
  </rv>
  <rv s="0">
    <fb>179.291095505561</fb>
    <v>31</v>
  </rv>
  <rv s="0">
    <fb>0.124814111170435</fb>
    <v>28</v>
  </rv>
  <rv s="0">
    <fb>39.055805057688801</fb>
    <v>9</v>
  </rv>
  <rv s="0">
    <fb>2.9350000000000001</fb>
    <v>29</v>
  </rv>
  <rv s="0">
    <fb>3.4905659270044298E-2</fb>
    <v>28</v>
  </rv>
  <rv s="0">
    <fb>22.0158940416487</fb>
    <v>34</v>
  </rv>
  <rv s="0">
    <fb>8498981820.87012</fb>
    <v>33</v>
  </rv>
  <rv s="0">
    <fb>1.1357151000000001</fb>
    <v>28</v>
  </rv>
  <rv s="0">
    <fb>1.0534300000000002E-2</fb>
    <v>28</v>
  </rv>
  <rv s="2">
    <v>139</v>
    <v>7</v>
    <v>676</v>
    <v>7</v>
    <v>0</v>
    <v>Image of Haiti</v>
  </rv>
  <rv s="0">
    <fb>49.5</fb>
    <v>34</v>
  </rv>
  <rv s="1">
    <v>805306368</v>
    <v>Alix Didier Fils-Aimé (Prime minister)</v>
    <v>e056086f-fdb9-299d-0e6c-69f62cf4a661</v>
    <v>en-US</v>
    <v>Generic</v>
  </rv>
  <rv s="3">
    <v>298</v>
  </rv>
  <rv s="4">
    <v>https://www.bing.com/search?q=haiti&amp;form=skydnc</v>
    <v>Learn more on Bing</v>
  </rv>
  <rv s="0">
    <fb>63.66</fb>
    <v>34</v>
  </rv>
  <rv s="0">
    <fb>480</fb>
    <v>34</v>
  </rv>
  <rv s="0">
    <fb>0.25</fb>
    <v>32</v>
  </rv>
  <rv s="3">
    <v>299</v>
  </rv>
  <rv s="0">
    <fb>0.36272460369999998</fb>
    <v>28</v>
  </rv>
  <rv s="0">
    <fb>0.23430000000000001</fb>
    <v>29</v>
  </rv>
  <rv s="0">
    <fb>11584996</fb>
    <v>9</v>
  </rv>
  <rv s="0">
    <fb>0.312</fb>
    <v>28</v>
  </rv>
  <rv s="0">
    <fb>0.10300000000000001</fb>
    <v>28</v>
  </rv>
  <rv s="0">
    <fb>0.67183998107910203</fb>
    <v>28</v>
  </rv>
  <rv s="1">
    <v>536870912</v>
    <v>Artibonite</v>
    <v>b0ab565f-30b3-44e3-aa9c-5269f1a4cb3e</v>
    <v>en-US</v>
    <v>Map</v>
  </rv>
  <rv s="1">
    <v>536870912</v>
    <v>Centre</v>
    <v>8aeb0f89-7bc5-0cfa-ada9-52a301afac3e</v>
    <v>en-US</v>
    <v>Map</v>
  </rv>
  <rv s="1">
    <v>536870912</v>
    <v>Grand'Anse</v>
    <v>35acff3e-ed0d-c876-abe3-74bf0007d13a</v>
    <v>en-US</v>
    <v>Map</v>
  </rv>
  <rv s="1">
    <v>536870912</v>
    <v>Nippes</v>
    <v>741d6e84-7892-134f-a9ec-3be6a7d592b0</v>
    <v>en-US</v>
    <v>Map</v>
  </rv>
  <rv s="1">
    <v>536870912</v>
    <v>Nord</v>
    <v>340e6a72-a122-33e3-cdc5-cb4cda82ce11</v>
    <v>en-US</v>
    <v>Map</v>
  </rv>
  <rv s="1">
    <v>536870912</v>
    <v>Nord-Est</v>
    <v>35e46ad6-b977-3dfa-4160-778d80c108aa</v>
    <v>en-US</v>
    <v>Map</v>
  </rv>
  <rv s="1">
    <v>536870912</v>
    <v>Nord-Ouest</v>
    <v>0a705a98-d338-5363-2bf9-8b37776ad26c</v>
    <v>en-US</v>
    <v>Map</v>
  </rv>
  <rv s="1">
    <v>536870912</v>
    <v>Sud-Est</v>
    <v>2e30aee8-ff11-ac44-b8f2-95c77b15952f</v>
    <v>en-US</v>
    <v>Map</v>
  </rv>
  <rv s="1">
    <v>536870912</v>
    <v>Sud</v>
    <v>5d417cae-e968-2b61-858a-cf87b57bb814</v>
    <v>en-US</v>
    <v>Map</v>
  </rv>
  <rv s="3">
    <v>300</v>
  </rv>
  <rv s="0">
    <fb>0.42700000000000005</fb>
    <v>28</v>
  </rv>
  <rv s="0">
    <fb>0.137810001373291</fb>
    <v>35</v>
  </rv>
  <rv s="0">
    <fb>6328948</fb>
    <v>9</v>
  </rv>
  <rv s="55">
    <v>#VALUE!</v>
    <v>en-US</v>
    <v>47bf785f-7dcc-ee2e-0dee-ca3b949b1845</v>
    <v>536870912</v>
    <v>1</v>
    <v>679</v>
    <v>680</v>
    <v>Haiti</v>
    <v>5</v>
    <v>6</v>
    <v>Map</v>
    <v>7</v>
    <v>681</v>
    <v>HT</v>
    <v>4269</v>
    <v>4270</v>
    <v>426</v>
    <v>4271</v>
    <v>4272</v>
    <v>4257</v>
    <v>4273</v>
    <v>4274</v>
    <v>4275</v>
    <v>HTG</v>
    <v>Haiti, officially the Republic of Haiti, is a country on the island of Hispaniola in the Caribbean Sea, east of Cuba and Jamaica, and south of The Bahamas. It occupies the western three-eighths of the island, which it shares with the Dominican ...</v>
    <v>4276</v>
    <v>4277</v>
    <v>4278</v>
    <v>4279</v>
    <v>1995</v>
    <v>4280</v>
    <v>4281</v>
    <v>4282</v>
    <v>4283</v>
    <v>4284</v>
    <v>4257</v>
    <v>4286</v>
    <v>4287</v>
    <v>4288</v>
    <v>4289</v>
    <v>4290</v>
    <v>Haiti</v>
    <v>La Dessalinienne</v>
    <v>4291</v>
    <v>Haïti</v>
    <v>4292</v>
    <v>4293</v>
    <v>4294</v>
    <v>1109</v>
    <v>4295</v>
    <v>3698</v>
    <v>2585</v>
    <v>3006</v>
    <v>4296</v>
    <v>3491</v>
    <v>4297</v>
    <v>4307</v>
    <v>876</v>
    <v>4308</v>
    <v>4309</v>
    <v>Haiti</v>
    <v>4310</v>
    <v>mdp/vdpid/103</v>
  </rv>
  <rv s="1">
    <v>536870912</v>
    <v>Tegucigalpa</v>
    <v>78ddeef7-86f1-2ff0-29ca-386d442656c1</v>
    <v>en-US</v>
    <v>Map</v>
  </rv>
  <rv s="1">
    <v>536870912</v>
    <v>Francisco Morazán Department</v>
    <v>e7bd130b-3daf-ad30-732a-07bfe91c1866</v>
    <v>en-US</v>
    <v>Map</v>
  </rv>
  <rv s="1">
    <v>536870912</v>
    <v>Distrito Central</v>
    <v>e30f049b-5477-1fc9-fed9-f8c03d38c17b</v>
    <v>en-US</v>
    <v>Map</v>
  </rv>
  <rv s="0">
    <fb>201.5</fb>
    <v>9</v>
  </rv>
  <rv s="1">
    <v>536870912</v>
    <v>Honduras</v>
    <v>f3535c6b-be45-301f-41bd-b224e60e78e7</v>
    <v>en-US</v>
    <v>Map</v>
  </rv>
  <rv s="2">
    <v>140</v>
    <v>7</v>
    <v>682</v>
    <v>7</v>
    <v>0</v>
    <v>Image of Tegucigalpa</v>
  </rv>
  <rv s="0">
    <fb>14.1057138888889</fb>
    <v>0</v>
  </rv>
  <rv s="1">
    <v>805306368</v>
    <v>Jorge Aldana (Mayor)</v>
    <v>1a7a60a9-b7cd-6b7d-f90a-d29bd990eae8</v>
    <v>en-US</v>
    <v>Generic</v>
  </rv>
  <rv s="3">
    <v>301</v>
  </rv>
  <rv s="4">
    <v>https://www.bing.com/search?q=tegucigalpa&amp;form=skydnc</v>
    <v>Learn more on Bing</v>
  </rv>
  <rv s="0">
    <fb>-87.204008333333306</fb>
    <v>0</v>
  </rv>
  <rv s="0">
    <fb>1326460</fb>
    <v>9</v>
  </rv>
  <rv s="5">
    <v>#VALUE!</v>
    <v>en-US</v>
    <v>78ddeef7-86f1-2ff0-29ca-386d442656c1</v>
    <v>536870912</v>
    <v>1</v>
    <v>683</v>
    <v>3</v>
    <v>Tegucigalpa</v>
    <v>5</v>
    <v>6</v>
    <v>Map</v>
    <v>7</v>
    <v>111</v>
    <v>4313</v>
    <v>4314</v>
    <v>4315</v>
    <v>4316</v>
    <v>Tegucigalpa —formally Tegucigalpa, Municipality of the Central District, and colloquially referred to as Tegus or Teguz—is the capital and largest city of Honduras along with its sister city, Comayagüela.</v>
    <v>4317</v>
    <v>4318</v>
    <v>4320</v>
    <v>4321</v>
    <v>4322</v>
    <v>Tegucigalpa</v>
    <v>4323</v>
    <v>1176</v>
    <v>Tegucigalpa</v>
    <v>mdp/vdpid/5553500909121568769</v>
  </rv>
  <rv s="0">
    <fb>0.28912324604522299</fb>
    <v>28</v>
  </rv>
  <rv s="0">
    <fb>112492</fb>
    <v>9</v>
  </rv>
  <rv s="0">
    <fb>23000</fb>
    <v>9</v>
  </rv>
  <rv s="0">
    <fb>21.599</fb>
    <v>29</v>
  </rv>
  <rv s="0">
    <fb>504</fb>
    <v>30</v>
  </rv>
  <rv s="0">
    <fb>9812.8919999999998</fb>
    <v>9</v>
  </rv>
  <rv s="0">
    <fb>150.34435782941</fb>
    <v>31</v>
  </rv>
  <rv s="0">
    <fb>4.3658715981927193E-2</fb>
    <v>28</v>
  </rv>
  <rv s="0">
    <fb>619.83639490378596</fb>
    <v>9</v>
  </rv>
  <rv s="0">
    <fb>2.46</fb>
    <v>29</v>
  </rv>
  <rv s="0">
    <fb>0.39967825542943997</fb>
    <v>28</v>
  </rv>
  <rv s="0">
    <fb>52.479312528490702</fb>
    <v>34</v>
  </rv>
  <rv s="0">
    <fb>25095395475.039299</fb>
    <v>33</v>
  </rv>
  <rv s="0">
    <fb>0.91534959999999999</fb>
    <v>28</v>
  </rv>
  <rv s="0">
    <fb>0.26164219999999999</fb>
    <v>28</v>
  </rv>
  <rv s="2">
    <v>141</v>
    <v>7</v>
    <v>685</v>
    <v>7</v>
    <v>0</v>
    <v>Image of Honduras</v>
  </rv>
  <rv s="0">
    <fb>15.1</fb>
    <v>34</v>
  </rv>
  <rv s="1">
    <v>805306368</v>
    <v>Xiomara Castro (President)</v>
    <v>a8bfe5aa-953e-ce39-1149-dc28366dcd2e</v>
    <v>en-US</v>
    <v>Generic</v>
  </rv>
  <rv s="3">
    <v>302</v>
  </rv>
  <rv s="4">
    <v>https://www.bing.com/search?q=honduras&amp;form=skydnc</v>
    <v>Learn more on Bing</v>
  </rv>
  <rv s="0">
    <fb>75.087999999999994</fb>
    <v>34</v>
  </rv>
  <rv s="0">
    <fb>65</fb>
    <v>34</v>
  </rv>
  <rv s="0">
    <fb>1.01</fb>
    <v>32</v>
  </rv>
  <rv s="3">
    <v>303</v>
  </rv>
  <rv s="0">
    <fb>0.49125813399999996</fb>
    <v>28</v>
  </rv>
  <rv s="0">
    <fb>0.30890000000000001</fb>
    <v>29</v>
  </rv>
  <rv s="0">
    <fb>10432860</fb>
    <v>9</v>
  </rv>
  <rv s="0">
    <fb>0.39100000000000001</fb>
    <v>28</v>
  </rv>
  <rv s="0">
    <fb>0.56100000000000005</fb>
    <v>28</v>
  </rv>
  <rv s="0">
    <fb>0.127</fb>
    <v>28</v>
  </rv>
  <rv s="1">
    <v>536870912</v>
    <v>Atlántida Department</v>
    <v>702947cc-d6b1-39ba-53d0-8fb30bcdd562</v>
    <v>en-US</v>
    <v>Map</v>
  </rv>
  <rv s="1">
    <v>536870912</v>
    <v>Choluteca Department</v>
    <v>3a599964-e799-949b-eec1-79c52dfe6662</v>
    <v>en-US</v>
    <v>Map</v>
  </rv>
  <rv s="1">
    <v>536870912</v>
    <v>Colón Department</v>
    <v>11442aed-534d-e11a-22b2-8603ec21c516</v>
    <v>en-US</v>
    <v>Map</v>
  </rv>
  <rv s="1">
    <v>536870912</v>
    <v>Comayagua Department</v>
    <v>34e8270a-3e9c-399e-dbc3-2630d4ee1cc1</v>
    <v>en-US</v>
    <v>Map</v>
  </rv>
  <rv s="1">
    <v>536870912</v>
    <v>Copán Department</v>
    <v>1af5f116-a30f-a7cb-60d0-538ffaa52ce7</v>
    <v>en-US</v>
    <v>Map</v>
  </rv>
  <rv s="1">
    <v>536870912</v>
    <v>Cortés Department</v>
    <v>bd450a11-8f2d-a557-ddd8-d690f789ec15</v>
    <v>en-US</v>
    <v>Map</v>
  </rv>
  <rv s="1">
    <v>536870912</v>
    <v>El Paraíso Department</v>
    <v>835ccc7d-9cd0-4825-3241-e863c5ee620c</v>
    <v>en-US</v>
    <v>Map</v>
  </rv>
  <rv s="1">
    <v>536870912</v>
    <v>Gracias a Dios Department</v>
    <v>5e961e8d-37a6-4d49-b36b-67fa593570b4</v>
    <v>en-US</v>
    <v>Map</v>
  </rv>
  <rv s="1">
    <v>536870912</v>
    <v>Intibucá Department</v>
    <v>83637919-1982-883b-fa06-8f8cc8eba408</v>
    <v>en-US</v>
    <v>Map</v>
  </rv>
  <rv s="1">
    <v>536870912</v>
    <v>Bay Islands Department</v>
    <v>a7916980-24be-26fa-f6f7-b5c870314dd2</v>
    <v>en-US</v>
    <v>Map</v>
  </rv>
  <rv s="1">
    <v>536870912</v>
    <v>La Paz Department</v>
    <v>4cc8a0d3-6ccb-deaf-3e9c-319f9a1e4d3f</v>
    <v>en-US</v>
    <v>Map</v>
  </rv>
  <rv s="1">
    <v>536870912</v>
    <v>Lempira Department</v>
    <v>c3662aac-be52-19ab-0e84-e079f9c30864</v>
    <v>en-US</v>
    <v>Map</v>
  </rv>
  <rv s="1">
    <v>536870912</v>
    <v>Ocotepeque Department</v>
    <v>74343f94-e279-d415-175d-5ecd79a96e5b</v>
    <v>en-US</v>
    <v>Map</v>
  </rv>
  <rv s="1">
    <v>536870912</v>
    <v>Olancho Department</v>
    <v>54749fcd-cd46-1f0d-4ee5-eefcee6aaf96</v>
    <v>en-US</v>
    <v>Map</v>
  </rv>
  <rv s="1">
    <v>536870912</v>
    <v>Santa Bárbara Department, Honduras</v>
    <v>cc6de462-4175-44da-add7-a6a5a9da364b</v>
    <v>en-US</v>
    <v>Map</v>
  </rv>
  <rv s="1">
    <v>536870912</v>
    <v>Valle Department</v>
    <v>ae3793e1-89eb-3067-b403-878e49f4a98b</v>
    <v>en-US</v>
    <v>Map</v>
  </rv>
  <rv s="1">
    <v>536870912</v>
    <v>Yoro Department</v>
    <v>04bfd889-117b-4702-bd02-438635d2decb</v>
    <v>en-US</v>
    <v>Map</v>
  </rv>
  <rv s="3">
    <v>304</v>
  </rv>
  <rv s="0">
    <fb>0.17344472061159399</fb>
    <v>28</v>
  </rv>
  <rv s="0">
    <fb>5.38600015640259E-2</fb>
    <v>35</v>
  </rv>
  <rv s="0">
    <fb>5626433</fb>
    <v>9</v>
  </rv>
  <rv s="8">
    <v>#VALUE!</v>
    <v>en-US</v>
    <v>f3535c6b-be45-301f-41bd-b224e60e78e7</v>
    <v>536870912</v>
    <v>1</v>
    <v>688</v>
    <v>46</v>
    <v>Honduras</v>
    <v>5</v>
    <v>6</v>
    <v>Map</v>
    <v>7</v>
    <v>689</v>
    <v>HN</v>
    <v>4325</v>
    <v>4326</v>
    <v>4327</v>
    <v>4328</v>
    <v>4329</v>
    <v>4312</v>
    <v>4330</v>
    <v>4331</v>
    <v>4332</v>
    <v>HNL</v>
    <v>Honduras, officially the Republic of Honduras, is a country in Central America. It is bordered to the west by Guatemala, to the southwest by El Salvador, to the southeast by Nicaragua, to the south by the Pacific Ocean at the Gulf of Fonseca, ...</v>
    <v>4333</v>
    <v>4334</v>
    <v>4335</v>
    <v>4336</v>
    <v>1269</v>
    <v>4337</v>
    <v>4338</v>
    <v>4339</v>
    <v>4340</v>
    <v>4341</v>
    <v>4312</v>
    <v>4343</v>
    <v>4344</v>
    <v>4345</v>
    <v>4346</v>
    <v>4347</v>
    <v>Honduras</v>
    <v>National Anthem of Honduras</v>
    <v>4348</v>
    <v>Honduras</v>
    <v>4349</v>
    <v>4350</v>
    <v>4351</v>
    <v>585</v>
    <v>4352</v>
    <v>4353</v>
    <v>1166</v>
    <v>3400</v>
    <v>652</v>
    <v>4354</v>
    <v>2347</v>
    <v>4372</v>
    <v>4373</v>
    <v>1176</v>
    <v>4352</v>
    <v>4374</v>
    <v>Honduras</v>
    <v>4375</v>
    <v>mdp/vdpid/106</v>
  </rv>
  <rv s="1">
    <v>536870912</v>
    <v>Budapest</v>
    <v>cc987de1-03c9-4967-a1a2-ada14f9ee10f</v>
    <v>en-US</v>
    <v>Map</v>
  </rv>
  <rv s="0">
    <fb>525.20000000000005</fb>
    <v>9</v>
  </rv>
  <rv s="1">
    <v>536870912</v>
    <v>Hungary</v>
    <v>3dd659a3-ba3c-d100-7fb4-69db91e7837f</v>
    <v>en-US</v>
    <v>Map</v>
  </rv>
  <rv s="2">
    <v>142</v>
    <v>7</v>
    <v>691</v>
    <v>7</v>
    <v>0</v>
    <v>Image of Budapest</v>
  </rv>
  <rv s="1">
    <v>805306368</v>
    <v>Gergely Karácsony (Mayor)</v>
    <v>8d2dc4f1-d264-4830-9d0c-c08a2fc13bcb</v>
    <v>en-US</v>
    <v>Generic</v>
  </rv>
  <rv s="3">
    <v>305</v>
  </rv>
  <rv s="4">
    <v>https://www.bing.com/search?q=budapest+hungary&amp;form=skydnc</v>
    <v>Learn more on Bing</v>
  </rv>
  <rv s="3">
    <v>306</v>
  </rv>
  <rv s="0">
    <fb>1671004</fb>
    <v>9</v>
  </rv>
  <rv s="50">
    <v>#VALUE!</v>
    <v>en-US</v>
    <v>cc987de1-03c9-4967-a1a2-ada14f9ee10f</v>
    <v>536870912</v>
    <v>1</v>
    <v>692</v>
    <v>590</v>
    <v>Budapest</v>
    <v>5</v>
    <v>6</v>
    <v>Map</v>
    <v>7</v>
    <v>111</v>
    <v>HU-BU</v>
    <v>4378</v>
    <v>4379</v>
    <v>Budapest is the capital and most populous city of Hungary. It is the ninth-largest city in the European Union by population within city limits and the largest city on the Danube river; the city has an estimated population of 1,752,286 over a ...</v>
    <v>4380</v>
    <v>4382</v>
    <v>4383</v>
    <v>Budapest</v>
    <v>4384</v>
    <v>4385</v>
    <v>Budapest</v>
    <v>mdp/vdpid/7024670108073066497</v>
  </rv>
  <rv s="0">
    <fb>0.58356345962664302</fb>
    <v>28</v>
  </rv>
  <rv s="0">
    <fb>93011.4</fb>
    <v>9</v>
  </rv>
  <rv s="0">
    <fb>40000</fb>
    <v>9</v>
  </rv>
  <rv s="0">
    <fb>9.6</fb>
    <v>29</v>
  </rv>
  <rv s="0">
    <fb>36</fb>
    <v>30</v>
  </rv>
  <rv s="0">
    <fb>45536.805999999997</fb>
    <v>9</v>
  </rv>
  <rv s="0">
    <fb>121.64204740639001</fb>
    <v>31</v>
  </rv>
  <rv s="0">
    <fb>3.3385863538200999E-2</fb>
    <v>28</v>
  </rv>
  <rv s="0">
    <fb>3965.9582334833499</fb>
    <v>9</v>
  </rv>
  <rv s="0">
    <fb>1.54</fb>
    <v>29</v>
  </rv>
  <rv s="0">
    <fb>0.229051154054595</fb>
    <v>28</v>
  </rv>
  <rv s="0">
    <fb>69.549793691077994</fb>
    <v>34</v>
  </rv>
  <rv s="0">
    <fb>160967157503.612</fb>
    <v>33</v>
  </rv>
  <rv s="0">
    <fb>1.0080547</fb>
    <v>28</v>
  </rv>
  <rv s="0">
    <fb>0.48500379999999998</fb>
    <v>28</v>
  </rv>
  <rv s="2">
    <v>143</v>
    <v>7</v>
    <v>694</v>
    <v>7</v>
    <v>0</v>
    <v>Image of Hungary</v>
  </rv>
  <rv s="1">
    <v>805306368</v>
    <v>Tamás Sulyok (President)</v>
    <v>4981ad79-1c7e-7496-6c46-6aa0b91e04ef</v>
    <v>en-US</v>
    <v>Generic</v>
  </rv>
  <rv s="1">
    <v>805306368</v>
    <v>Viktor Orbán (Prime minister)</v>
    <v>b3bb0533-687c-7694-18f7-fceabd0caa60</v>
    <v>en-US</v>
    <v>Generic</v>
  </rv>
  <rv s="1">
    <v>805306368</v>
    <v>László Kövér (Speaker)</v>
    <v>9c6cdeac-a3a5-6220-a1b1-9b9fa11b251e</v>
    <v>en-US</v>
    <v>Generic</v>
  </rv>
  <rv s="3">
    <v>307</v>
  </rv>
  <rv s="4">
    <v>https://www.bing.com/search?q=hungary&amp;form=skydnc</v>
    <v>Learn more on Bing</v>
  </rv>
  <rv s="0">
    <fb>75.817073170731703</fb>
    <v>34</v>
  </rv>
  <rv s="0">
    <fb>32886530000</fb>
    <v>33</v>
  </rv>
  <rv s="0">
    <fb>12</fb>
    <v>34</v>
  </rv>
  <rv s="0">
    <fb>2.62</fb>
    <v>32</v>
  </rv>
  <rv s="0">
    <fb>0.29037430120000002</fb>
    <v>28</v>
  </rv>
  <rv s="0">
    <fb>3.4075000000000002</fb>
    <v>29</v>
  </rv>
  <rv s="0">
    <fb>9683505</fb>
    <v>9</v>
  </rv>
  <rv s="0">
    <fb>0.23899999999999999</fb>
    <v>28</v>
  </rv>
  <rv s="0">
    <fb>0.38500000000000001</fb>
    <v>28</v>
  </rv>
  <rv s="0">
    <fb>7.9000000000000001E-2</fb>
    <v>28</v>
  </rv>
  <rv s="0">
    <fb>0.17600000000000002</fb>
    <v>28</v>
  </rv>
  <rv s="0">
    <fb>0.56467998504638706</fb>
    <v>28</v>
  </rv>
  <rv s="1">
    <v>536870912</v>
    <v>Bács-Kiskun County</v>
    <v>b7a38187-7574-9ab1-60e3-10f075d0d186</v>
    <v>en-US</v>
    <v>Map</v>
  </rv>
  <rv s="1">
    <v>536870912</v>
    <v>Baranya County</v>
    <v>c29a86bb-05fb-e0aa-70c0-c89b04a205bb</v>
    <v>en-US</v>
    <v>Map</v>
  </rv>
  <rv s="1">
    <v>536870912</v>
    <v>Békés County</v>
    <v>848bb2e8-13c2-096d-c51d-47364012f987</v>
    <v>en-US</v>
    <v>Map</v>
  </rv>
  <rv s="1">
    <v>536870912</v>
    <v>Borsod–Abaúj–Zemplén County</v>
    <v>e2f94cf9-e52b-dcec-0b41-93c58264a52a</v>
    <v>en-US</v>
    <v>Map</v>
  </rv>
  <rv s="1">
    <v>536870912</v>
    <v>Fejér County</v>
    <v>c9455473-fae3-8259-0fcc-374407d47514</v>
    <v>en-US</v>
    <v>Map</v>
  </rv>
  <rv s="1">
    <v>536870912</v>
    <v>Győr–Moson–Sopron County</v>
    <v>30c528b5-300e-148a-c926-85bd637d2587</v>
    <v>en-US</v>
    <v>Map</v>
  </rv>
  <rv s="1">
    <v>536870912</v>
    <v>Hajdú–Bihar County</v>
    <v>b70c0013-fffd-b397-9ca3-b1e52f8af589</v>
    <v>en-US</v>
    <v>Map</v>
  </rv>
  <rv s="1">
    <v>536870912</v>
    <v>Heves County</v>
    <v>a7ad20ca-e33c-48b6-afb2-98eb81ed9668</v>
    <v>en-US</v>
    <v>Map</v>
  </rv>
  <rv s="1">
    <v>536870912</v>
    <v>Jász–Nagykun–Szolnok County</v>
    <v>1b96677d-3a39-e8b7-4b15-24ba76df96c7</v>
    <v>en-US</v>
    <v>Map</v>
  </rv>
  <rv s="1">
    <v>536870912</v>
    <v>Komárom-Esztergom County</v>
    <v>ba328245-04ca-053f-f5ae-0a6c17390c1a</v>
    <v>en-US</v>
    <v>Map</v>
  </rv>
  <rv s="1">
    <v>536870912</v>
    <v>Nógrád County</v>
    <v>ce5ebf6b-45ff-4332-80f6-12b85a86fcde</v>
    <v>en-US</v>
    <v>Map</v>
  </rv>
  <rv s="1">
    <v>536870912</v>
    <v>Pest County</v>
    <v>284af297-159a-8cd4-a286-f4e49da94d80</v>
    <v>en-US</v>
    <v>Map</v>
  </rv>
  <rv s="1">
    <v>536870912</v>
    <v>Somogy County</v>
    <v>25b3ce64-3ab0-ff3e-12a5-ac94a5403262</v>
    <v>en-US</v>
    <v>Map</v>
  </rv>
  <rv s="1">
    <v>536870912</v>
    <v>Szabolcs–Szatmár–Bereg County</v>
    <v>f67c1ad1-2da0-d53a-b6ac-d1ed5dda4cfe</v>
    <v>en-US</v>
    <v>Map</v>
  </rv>
  <rv s="1">
    <v>536870912</v>
    <v>Tolna County</v>
    <v>c8e4c3cc-af05-c5ae-b6ae-492a9374c5f0</v>
    <v>en-US</v>
    <v>Map</v>
  </rv>
  <rv s="1">
    <v>536870912</v>
    <v>Vas County</v>
    <v>1e048783-39f2-51e9-3d34-5fe13eb88de5</v>
    <v>en-US</v>
    <v>Map</v>
  </rv>
  <rv s="1">
    <v>536870912</v>
    <v>Veszprém County</v>
    <v>c6f1a586-70f6-b7ad-6ae3-390ab10bf610</v>
    <v>en-US</v>
    <v>Map</v>
  </rv>
  <rv s="1">
    <v>536870912</v>
    <v>Zala County</v>
    <v>fa69d523-1961-04ce-4e98-b156ea8336f2</v>
    <v>en-US</v>
    <v>Map</v>
  </rv>
  <rv s="3">
    <v>308</v>
  </rv>
  <rv s="0">
    <fb>0.22953377148482101</fb>
    <v>28</v>
  </rv>
  <rv s="0">
    <fb>3.3989999294281002E-2</fb>
    <v>35</v>
  </rv>
  <rv s="0">
    <fb>6999582</fb>
    <v>9</v>
  </rv>
  <rv s="9">
    <v>#VALUE!</v>
    <v>en-US</v>
    <v>3dd659a3-ba3c-d100-7fb4-69db91e7837f</v>
    <v>536870912</v>
    <v>1</v>
    <v>697</v>
    <v>55</v>
    <v>Hungary</v>
    <v>5</v>
    <v>6</v>
    <v>Map</v>
    <v>7</v>
    <v>346</v>
    <v>HU</v>
    <v>4387</v>
    <v>4388</v>
    <v>4389</v>
    <v>4390</v>
    <v>4391</v>
    <v>4377</v>
    <v>4392</v>
    <v>4393</v>
    <v>4394</v>
    <v>HUF</v>
    <v>Hungary is a landlocked country in Central Europe. Spanning much of the Carpathian Basin, it is bordered by Slovakia to the north, Ukraine to the northeast, Romania to the east and southeast, Serbia to the south, Croatia and Slovenia to the ...</v>
    <v>4395</v>
    <v>4396</v>
    <v>4397</v>
    <v>4398</v>
    <v>3721</v>
    <v>4399</v>
    <v>4400</v>
    <v>4401</v>
    <v>4402</v>
    <v>3961</v>
    <v>4377</v>
    <v>4406</v>
    <v>4407</v>
    <v>4408</v>
    <v>4409</v>
    <v>4410</v>
    <v>4411</v>
    <v>Hungary</v>
    <v>Himnusz</v>
    <v>4384</v>
    <v>Magyarország</v>
    <v>4412</v>
    <v>4413</v>
    <v>4414</v>
    <v>3849</v>
    <v>4415</v>
    <v>4416</v>
    <v>3400</v>
    <v>4417</v>
    <v>2471</v>
    <v>4418</v>
    <v>4419</v>
    <v>4438</v>
    <v>4439</v>
    <v>193</v>
    <v>2467</v>
    <v>4440</v>
    <v>Hungary</v>
    <v>4441</v>
    <v>mdp/vdpid/109</v>
  </rv>
  <rv s="1">
    <v>536870912</v>
    <v>Reykjavík</v>
    <v>8b129243-97ea-2b6a-4e18-4d73fc81ebf1</v>
    <v>en-US</v>
    <v>Map</v>
  </rv>
  <rv s="1">
    <v>536870912</v>
    <v>Capital Region</v>
    <v>d2dc41c5-6862-b127-c3f3-e44b773cc325</v>
    <v>en-US</v>
    <v>Map</v>
  </rv>
  <rv s="0">
    <fb>274.53873969599999</fb>
    <v>9</v>
  </rv>
  <rv s="1">
    <v>536870912</v>
    <v>Iceland</v>
    <v>78349f27-a762-88a8-61d6-3bc8a5b105b5</v>
    <v>en-US</v>
    <v>Map</v>
  </rv>
  <rv s="2">
    <v>144</v>
    <v>7</v>
    <v>699</v>
    <v>7</v>
    <v>0</v>
    <v>Image of Reykjavík</v>
  </rv>
  <rv s="1">
    <v>805306368</v>
    <v>Dagur B. Eggertsson (Mayor)</v>
    <v>6fdc1913-cf77-4e9c-a4f1-54fb748f52ad</v>
    <v>en-US</v>
    <v>Generic</v>
  </rv>
  <rv s="3">
    <v>309</v>
  </rv>
  <rv s="4">
    <v>https://www.bing.com/search?q=reykjavik+iceland&amp;form=skydnc</v>
    <v>Learn more on Bing</v>
  </rv>
  <rv s="0">
    <fb>139875</fb>
    <v>9</v>
  </rv>
  <rv s="24">
    <v>#VALUE!</v>
    <v>en-US</v>
    <v>8b129243-97ea-2b6a-4e18-4d73fc81ebf1</v>
    <v>536870912</v>
    <v>1</v>
    <v>700</v>
    <v>189</v>
    <v>Reykjavík</v>
    <v>5</v>
    <v>6</v>
    <v>Map</v>
    <v>7</v>
    <v>111</v>
    <v>4444</v>
    <v>4445</v>
    <v>4446</v>
    <v>Reykjavík is the capital and largest city of Iceland. It is located in southwestern Iceland, on the southern shore of Faxaflói bay. With a latitude of 64°08′ N, the city is the world's northernmost capital of a sovereign state. Reykjavík has a ...</v>
    <v>4447</v>
    <v>16</v>
    <v>4449</v>
    <v>4450</v>
    <v>17</v>
    <v>Reykjavík</v>
    <v>4451</v>
    <v>Reykjavík</v>
    <v>mdp/vdpid/5441531491869786113</v>
  </rv>
  <rv s="1">
    <v>536870912</v>
    <v>New Delhi</v>
    <v>b474d3c7-a39a-d5ba-7426-18e00042f03e</v>
    <v>en-US</v>
    <v>Map</v>
  </rv>
  <rv s="0">
    <fb>42.7</fb>
    <v>9</v>
  </rv>
  <rv s="1">
    <v>536870912</v>
    <v>British Raj</v>
    <v>20193abe-79a7-473f-979c-a3cfdac8639a</v>
    <v>en-US</v>
    <v>Map</v>
  </rv>
  <rv s="2">
    <v>145</v>
    <v>7</v>
    <v>701</v>
    <v>7</v>
    <v>0</v>
    <v>Image of New Delhi</v>
  </rv>
  <rv s="1">
    <v>805306368</v>
    <v>Amit Yadav (Chairman)</v>
    <v>116fdc0c-9bcb-b0ae-7608-c344b83a929b</v>
    <v>en-US</v>
    <v>Generic</v>
  </rv>
  <rv s="3">
    <v>310</v>
  </rv>
  <rv s="4">
    <v>https://www.bing.com/search?q=new+delhi&amp;form=skydnc</v>
    <v>Learn more on Bing</v>
  </rv>
  <rv s="0">
    <fb>249998</fb>
    <v>9</v>
  </rv>
  <rv s="56">
    <v>#VALUE!</v>
    <v>en-US</v>
    <v>b474d3c7-a39a-d5ba-7426-18e00042f03e</v>
    <v>536870912</v>
    <v>1</v>
    <v>702</v>
    <v>703</v>
    <v>New Delhi</v>
    <v>5</v>
    <v>6</v>
    <v>Map</v>
    <v>7</v>
    <v>39</v>
    <v>4454</v>
    <v>4455</v>
    <v>New Delhi, is the capital of India and a part of the National Capital Territory of Delhi. New Delhi is the seat of all three branches of the Government of India, hosting the Rashtrapati Bhavan, Sansad Bhavan, and the Supreme Court. New Delhi is ...</v>
    <v>4456</v>
    <v>18</v>
    <v>4458</v>
    <v>4459</v>
    <v>19</v>
    <v>New Delhi</v>
    <v>4460</v>
    <v>New Delhi</v>
    <v>mdp/vdpid/7408261014405251079</v>
  </rv>
  <rv s="1">
    <v>536870912</v>
    <v>Jakarta</v>
    <v>6261fc72-a172-5cdd-9c67-a7644a026c29</v>
    <v>en-US</v>
    <v>Map</v>
  </rv>
  <rv s="0">
    <fb>662</fb>
    <v>9</v>
  </rv>
  <rv s="1">
    <v>536870912</v>
    <v>Central Jakarta</v>
    <v>287625b8-c95d-8116-da92-667aa68e2074</v>
    <v>en-US</v>
    <v>Map</v>
  </rv>
  <rv s="1">
    <v>536870912</v>
    <v>Indonesia</v>
    <v>b4a5bd62-2259-21e3-4627-bf249ae6ee84</v>
    <v>en-US</v>
    <v>Map</v>
  </rv>
  <rv s="0">
    <fb>2508869</fb>
    <v>9</v>
  </rv>
  <rv s="2">
    <v>146</v>
    <v>7</v>
    <v>704</v>
    <v>7</v>
    <v>0</v>
    <v>Image of Jakarta</v>
  </rv>
  <rv s="1">
    <v>805306368</v>
    <v>Pramono Anung (Governor)</v>
    <v>7515c420-9bf7-7646-826a-069a21096893</v>
    <v>en-US</v>
    <v>Generic</v>
  </rv>
  <rv s="3">
    <v>311</v>
  </rv>
  <rv s="4">
    <v>https://www.bing.com/search?q=jakarta&amp;form=skydnc</v>
    <v>Learn more on Bing</v>
  </rv>
  <rv s="3">
    <v>312</v>
  </rv>
  <rv s="0">
    <fb>3.83</fb>
    <v>29</v>
  </rv>
  <rv s="0">
    <fb>10562088</fb>
    <v>9</v>
  </rv>
  <rv s="3">
    <v>313</v>
  </rv>
  <rv s="57">
    <v>#VALUE!</v>
    <v>en-US</v>
    <v>6261fc72-a172-5cdd-9c67-a7644a026c29</v>
    <v>536870912</v>
    <v>1</v>
    <v>707</v>
    <v>708</v>
    <v>Jakarta</v>
    <v>5</v>
    <v>6</v>
    <v>Map</v>
    <v>7</v>
    <v>709</v>
    <v>ID-JK</v>
    <v>4463</v>
    <v>4464</v>
    <v>4465</v>
    <v>Jakarta, officially the Special Capital Region of Jakarta and formerly known as Batavia until 1949, is the capital city of Indonesia and an autonomous region at the provincial level. Lying on the northwest coast of Java, the world's most ...</v>
    <v>4466</v>
    <v>4467</v>
    <v>4469</v>
    <v>4470</v>
    <v>Jakarta</v>
    <v>4471</v>
    <v>4472</v>
    <v>4473</v>
    <v>4474</v>
    <v>Jakarta</v>
    <v>mdp/vdpid/8661190776430002177</v>
  </rv>
  <rv s="0">
    <fb>0.31464420364656098</fb>
    <v>28</v>
  </rv>
  <rv s="0">
    <fb>1904570</fb>
    <v>9</v>
  </rv>
  <rv s="0">
    <fb>676000</fb>
    <v>9</v>
  </rv>
  <rv s="0">
    <fb>18.071999999999999</fb>
    <v>29</v>
  </rv>
  <rv s="0">
    <fb>62</fb>
    <v>30</v>
  </rv>
  <rv s="0">
    <fb>563324.54</fb>
    <v>9</v>
  </rv>
  <rv s="0">
    <fb>151.17667507135201</fb>
    <v>31</v>
  </rv>
  <rv s="0">
    <fb>3.0305866496949097E-2</fb>
    <v>28</v>
  </rv>
  <rv s="0">
    <fb>811.90690494758496</fb>
    <v>9</v>
  </rv>
  <rv s="0">
    <fb>2.3109999999999999</fb>
    <v>29</v>
  </rv>
  <rv s="0">
    <fb>0.49860398197419897</fb>
    <v>28</v>
  </rv>
  <rv s="0">
    <fb>66.089475456589</fb>
    <v>34</v>
  </rv>
  <rv s="0">
    <fb>0.63</fb>
    <v>32</v>
  </rv>
  <rv s="0">
    <fb>1119190780752.8</fb>
    <v>33</v>
  </rv>
  <rv s="0">
    <fb>1.0641081999999999</fb>
    <v>28</v>
  </rv>
  <rv s="0">
    <fb>0.3631104</fb>
    <v>28</v>
  </rv>
  <rv s="2">
    <v>147</v>
    <v>7</v>
    <v>711</v>
    <v>7</v>
    <v>0</v>
    <v>Image of Indonesia</v>
  </rv>
  <rv s="0">
    <fb>21.1</fb>
    <v>34</v>
  </rv>
  <rv s="1">
    <v>805306368</v>
    <v>Prabowo Subianto (President)</v>
    <v>0356dbb9-1da7-3c83-437a-0e7f85c9b902</v>
    <v>en-US</v>
    <v>Generic</v>
  </rv>
  <rv s="1">
    <v>805306368</v>
    <v>Gibran Rakabuming Raka (Vice president)</v>
    <v>014321a1-e983-74ac-d4a9-648e88776d13</v>
    <v>en-US</v>
    <v>Generic</v>
  </rv>
  <rv s="1">
    <v>805306368</v>
    <v>Puan Maharani (Speaker)</v>
    <v>bce5e50c-23e7-f796-fb15-4e7093b47fbe</v>
    <v>en-US</v>
    <v>Generic</v>
  </rv>
  <rv s="3">
    <v>314</v>
  </rv>
  <rv s="4">
    <v>https://www.bing.com/search?q=indonesia&amp;form=skydnc</v>
    <v>Learn more on Bing</v>
  </rv>
  <rv s="0">
    <fb>71.509</fb>
    <v>34</v>
  </rv>
  <rv s="0">
    <fb>523321860000</fb>
    <v>33</v>
  </rv>
  <rv s="0">
    <fb>177</fb>
    <v>34</v>
  </rv>
  <rv s="0">
    <fb>0.48</fb>
    <v>32</v>
  </rv>
  <rv s="0">
    <fb>0.48302203660000004</fb>
    <v>28</v>
  </rv>
  <rv s="0">
    <fb>0.4269</fb>
    <v>29</v>
  </rv>
  <rv s="0">
    <fb>275501339</fb>
    <v>9</v>
  </rv>
  <rv s="0">
    <fb>0.217</fb>
    <v>28</v>
  </rv>
  <rv s="0">
    <fb>0.46100000000000002</fb>
    <v>28</v>
  </rv>
  <rv s="0">
    <fb>0.105</fb>
    <v>28</v>
  </rv>
  <rv s="0">
    <fb>0.14899999999999999</fb>
    <v>28</v>
  </rv>
  <rv s="0">
    <fb>0.67496002197265592</fb>
    <v>28</v>
  </rv>
  <rv s="1">
    <v>536870912</v>
    <v>Bali</v>
    <v>c4f6d9fa-e141-4316-1f4b-6dff75b71985</v>
    <v>en-US</v>
    <v>Map</v>
  </rv>
  <rv s="1">
    <v>536870912</v>
    <v>Bangka Belitung Islands</v>
    <v>3af40073-e8c1-5118-afe5-3cbc63eec4de</v>
    <v>en-US</v>
    <v>Map</v>
  </rv>
  <rv s="1">
    <v>536870912</v>
    <v>Banten</v>
    <v>b4e3eb01-c9fd-7eab-acf2-789027f22206</v>
    <v>en-US</v>
    <v>Map</v>
  </rv>
  <rv s="1">
    <v>536870912</v>
    <v>Bengkulu</v>
    <v>ca439385-218f-1525-c930-ce7acb910fd2</v>
    <v>en-US</v>
    <v>Map</v>
  </rv>
  <rv s="1">
    <v>536870912</v>
    <v>West Java</v>
    <v>931eb2be-2b48-b0ff-4997-05f06cf85b18</v>
    <v>en-US</v>
    <v>Map</v>
  </rv>
  <rv s="1">
    <v>536870912</v>
    <v>Central Java</v>
    <v>39b12ecc-e3fb-184d-0602-e36314b32c5d</v>
    <v>en-US</v>
    <v>Map</v>
  </rv>
  <rv s="1">
    <v>536870912</v>
    <v>East Java</v>
    <v>f76a129e-0160-9c71-d6b5-fb788a91af78</v>
    <v>en-US</v>
    <v>Map</v>
  </rv>
  <rv s="1">
    <v>536870912</v>
    <v>Riau Islands</v>
    <v>e3471e28-8f42-6ecf-4ccf-4698fdb6ba7b</v>
    <v>en-US</v>
    <v>Map</v>
  </rv>
  <rv s="1">
    <v>536870912</v>
    <v>Jambi</v>
    <v>f9f17551-f6f4-8e98-3914-364646c1f529</v>
    <v>en-US</v>
    <v>Map</v>
  </rv>
  <rv s="1">
    <v>536870912</v>
    <v>Central Kalimantan</v>
    <v>8d3f7094-f4c0-94dc-e426-1fcab06739ff</v>
    <v>en-US</v>
    <v>Map</v>
  </rv>
  <rv s="1">
    <v>536870912</v>
    <v>South Kalimantan</v>
    <v>d0e9b3fa-cc83-7afb-07e9-c2d457864e16</v>
    <v>en-US</v>
    <v>Map</v>
  </rv>
  <rv s="1">
    <v>536870912</v>
    <v>West Kalimantan</v>
    <v>5febf7f0-5901-95c6-deac-984325a2c927</v>
    <v>en-US</v>
    <v>Map</v>
  </rv>
  <rv s="1">
    <v>536870912</v>
    <v>East Kalimantan</v>
    <v>1c25ef68-f0fa-78fc-107b-520cea759d8a</v>
    <v>en-US</v>
    <v>Map</v>
  </rv>
  <rv s="1">
    <v>536870912</v>
    <v>Lampung</v>
    <v>c37bf0bc-29d7-8a9d-c9ca-5d41aeee72da</v>
    <v>en-US</v>
    <v>Map</v>
  </rv>
  <rv s="1">
    <v>536870912</v>
    <v>West Nusa Tenggara</v>
    <v>0407c75f-c808-9cce-028b-f2d85975e54a</v>
    <v>en-US</v>
    <v>Map</v>
  </rv>
  <rv s="1">
    <v>536870912</v>
    <v>East Nusa Tenggara</v>
    <v>0f9a80a8-52fa-396b-9da0-b9128a05870d</v>
    <v>en-US</v>
    <v>Map</v>
  </rv>
  <rv s="1">
    <v>536870912</v>
    <v>Gorontalo</v>
    <v>e2330abd-3509-8dcd-5446-d0bdb068233e</v>
    <v>en-US</v>
    <v>Map</v>
  </rv>
  <rv s="1">
    <v>536870912</v>
    <v>Maluku</v>
    <v>39a3c290-4f4b-b61e-f197-a09ae7642267</v>
    <v>en-US</v>
    <v>Map</v>
  </rv>
  <rv s="1">
    <v>536870912</v>
    <v>North Maluku</v>
    <v>4d1d7c2d-e3a4-666c-5b1d-1a8b18de3a5c</v>
    <v>en-US</v>
    <v>Map</v>
  </rv>
  <rv s="1">
    <v>536870912</v>
    <v>Papua</v>
    <v>0f2c1326-0491-269f-31e1-74488078a32a</v>
    <v>en-US</v>
    <v>Map</v>
  </rv>
  <rv s="1">
    <v>536870912</v>
    <v>West Papua</v>
    <v>2bd66757-1154-0845-4ab3-b533eaafb66a</v>
    <v>en-US</v>
    <v>Map</v>
  </rv>
  <rv s="1">
    <v>536870912</v>
    <v>Central Sulawesi</v>
    <v>fca0651b-c50d-6497-3564-cf378d76f7ca</v>
    <v>en-US</v>
    <v>Map</v>
  </rv>
  <rv s="1">
    <v>536870912</v>
    <v>West Sulawesi</v>
    <v>50e1c5b6-8c37-abe2-96fd-7b0ddfe17455</v>
    <v>en-US</v>
    <v>Map</v>
  </rv>
  <rv s="1">
    <v>536870912</v>
    <v>South Sulawesi</v>
    <v>f6bf6682-f96f-24d6-1b1b-b05c77b899cd</v>
    <v>en-US</v>
    <v>Map</v>
  </rv>
  <rv s="1">
    <v>536870912</v>
    <v>North Sulawesi</v>
    <v>70a8dc2d-0ecd-0471-3c78-516c671329a4</v>
    <v>en-US</v>
    <v>Map</v>
  </rv>
  <rv s="1">
    <v>536870912</v>
    <v>Southeast Sulawesi</v>
    <v>4aff599f-5e3f-801e-344a-16dcaacba1b8</v>
    <v>en-US</v>
    <v>Map</v>
  </rv>
  <rv s="1">
    <v>536870912</v>
    <v>South Sumatra</v>
    <v>3f0b33c1-6f1e-a592-3d72-2b8e053c5609</v>
    <v>en-US</v>
    <v>Map</v>
  </rv>
  <rv s="1">
    <v>536870912</v>
    <v>West Sumatra</v>
    <v>3ad5cdb7-7630-6662-ae72-367bbd112dc0</v>
    <v>en-US</v>
    <v>Map</v>
  </rv>
  <rv s="1">
    <v>536870912</v>
    <v>North Sumatra</v>
    <v>42ca1f6c-e43e-bf42-fe72-4ad9e000d932</v>
    <v>en-US</v>
    <v>Map</v>
  </rv>
  <rv s="1">
    <v>536870912</v>
    <v>Aceh</v>
    <v>a7512e23-3525-d514-b5ee-6adb3af70ca0</v>
    <v>en-US</v>
    <v>Map</v>
  </rv>
  <rv s="1">
    <v>536870912</v>
    <v>Special Region of Yogyakarta</v>
    <v>7a5ea5db-f9d5-434b-8ed3-d1dbe5b4e377</v>
    <v>en-US</v>
    <v>Map</v>
  </rv>
  <rv s="1">
    <v>536870912</v>
    <v>North Kalimantan</v>
    <v>669e45da-91e6-45ec-af06-a29b2ed52f69</v>
    <v>en-US</v>
    <v>Map</v>
  </rv>
  <rv s="1">
    <v>536870912</v>
    <v>Riau</v>
    <v>f537ab07-cdad-a175-50d8-b58eb136e125</v>
    <v>en-US</v>
    <v>Map</v>
  </rv>
  <rv s="3">
    <v>315</v>
  </rv>
  <rv s="0">
    <fb>0.10230449477737399</fb>
    <v>28</v>
  </rv>
  <rv s="3">
    <v>316</v>
  </rv>
  <rv s="0">
    <fb>0.30099999999999999</fb>
    <v>28</v>
  </rv>
  <rv s="0">
    <fb>4.6869997978210398E-2</fb>
    <v>35</v>
  </rv>
  <rv s="0">
    <fb>151509724</fb>
    <v>9</v>
  </rv>
  <rv s="9">
    <v>#VALUE!</v>
    <v>en-US</v>
    <v>b4a5bd62-2259-21e3-4627-bf249ae6ee84</v>
    <v>536870912</v>
    <v>1</v>
    <v>714</v>
    <v>55</v>
    <v>Indonesia</v>
    <v>5</v>
    <v>6</v>
    <v>Map</v>
    <v>7</v>
    <v>369</v>
    <v>ID</v>
    <v>4476</v>
    <v>4477</v>
    <v>4478</v>
    <v>4479</v>
    <v>4480</v>
    <v>4462</v>
    <v>4481</v>
    <v>4482</v>
    <v>4483</v>
    <v>IDR</v>
    <v>Indonesia, officially the Republic of Indonesia, is a country in Southeast Asia and Oceania, between the Indian and Pacific oceans. Comprising over 17,000 islands, including Sumatra, Java, Sulawesi, and parts of Borneo and New Guinea, Indonesia ...</v>
    <v>4484</v>
    <v>4485</v>
    <v>4486</v>
    <v>4487</v>
    <v>4488</v>
    <v>4489</v>
    <v>4490</v>
    <v>4491</v>
    <v>4492</v>
    <v>4493</v>
    <v>4462</v>
    <v>4497</v>
    <v>4498</v>
    <v>4499</v>
    <v>4500</v>
    <v>4501</v>
    <v>4502</v>
    <v>Indonesia</v>
    <v>Indonesia Raya</v>
    <v>4471</v>
    <v>Republik Indonesia</v>
    <v>4503</v>
    <v>4504</v>
    <v>4505</v>
    <v>4506</v>
    <v>1356</v>
    <v>4507</v>
    <v>651</v>
    <v>1288</v>
    <v>4508</v>
    <v>4509</v>
    <v>4510</v>
    <v>4544</v>
    <v>4545</v>
    <v>4546</v>
    <v>4547</v>
    <v>4548</v>
    <v>Indonesia</v>
    <v>4549</v>
    <v>mdp/vdpid/111</v>
  </rv>
  <rv s="1">
    <v>536870912</v>
    <v>Tehran</v>
    <v>08033170-d738-6401-e42a-fb99d1cdb464</v>
    <v>en-US</v>
    <v>Map</v>
  </rv>
  <rv s="0">
    <fb>686</fb>
    <v>9</v>
  </rv>
  <rv s="1">
    <v>536870912</v>
    <v>Iran</v>
    <v>9068fc21-9e9a-69b8-2e84-cf64e495213e</v>
    <v>en-US</v>
    <v>Map</v>
  </rv>
  <rv s="2">
    <v>148</v>
    <v>7</v>
    <v>715</v>
    <v>7</v>
    <v>0</v>
    <v>Image of Tehran</v>
  </rv>
  <rv s="1">
    <v>805306368</v>
    <v>Alireza Zakani (Mayor)</v>
    <v>29dc17c2-71e3-4d06-8b28-cbe9efeb0bc5</v>
    <v>en-US</v>
    <v>Generic</v>
  </rv>
  <rv s="3">
    <v>317</v>
  </rv>
  <rv s="4">
    <v>https://www.bing.com/search?q=tehran+iran&amp;form=skydnc</v>
    <v>Learn more on Bing</v>
  </rv>
  <rv s="0">
    <fb>9039000</fb>
    <v>9</v>
  </rv>
  <rv s="3">
    <v>318</v>
  </rv>
  <rv s="45">
    <v>#VALUE!</v>
    <v>en-US</v>
    <v>08033170-d738-6401-e42a-fb99d1cdb464</v>
    <v>536870912</v>
    <v>1</v>
    <v>716</v>
    <v>505</v>
    <v>Tehran</v>
    <v>5</v>
    <v>6</v>
    <v>Map</v>
    <v>7</v>
    <v>216</v>
    <v>4552</v>
    <v>4553</v>
    <v>Tehran is the capital and largest city of Iran. In addition to serving as the capital of Tehran province, the city is the administrative center for Tehran County and its Central District. With a population of around 9.8 million in the city as of ...</v>
    <v>4554</v>
    <v>20</v>
    <v>4556</v>
    <v>4557</v>
    <v>21</v>
    <v>Tehran</v>
    <v>4558</v>
    <v>4559</v>
    <v>Tehran</v>
    <v>mdp/vdpid/7357863082678288385</v>
  </rv>
  <rv s="1">
    <v>536870912</v>
    <v>Baghdad</v>
    <v>b7cfa129-5958-3a59-439a-4802f071eeac</v>
    <v>en-US</v>
    <v>Map</v>
  </rv>
  <rv s="1">
    <v>536870912</v>
    <v>Baghdad Governorate</v>
    <v>6d053cd1-96c7-e036-c501-d0fe961f607a</v>
    <v>en-US</v>
    <v>Map</v>
  </rv>
  <rv s="0">
    <fb>204.2</fb>
    <v>9</v>
  </rv>
  <rv s="1">
    <v>536870912</v>
    <v>Ottoman Empire</v>
    <v>0c338db5-c8ae-34d9-8c36-b66fbb5a1277</v>
    <v>en-US</v>
    <v>Map</v>
  </rv>
  <rv s="2">
    <v>149</v>
    <v>7</v>
    <v>717</v>
    <v>7</v>
    <v>0</v>
    <v>Image of Baghdad</v>
  </rv>
  <rv s="0">
    <fb>33.315277777777801</fb>
    <v>0</v>
  </rv>
  <rv s="1">
    <v>805306368</v>
    <v>Alaa Al-Amari (Mayor)</v>
    <v>b841380d-897b-c409-db93-341530beeb9e</v>
    <v>en-US</v>
    <v>Generic</v>
  </rv>
  <rv s="3">
    <v>319</v>
  </rv>
  <rv s="4">
    <v>https://www.bing.com/search?q=baghdad&amp;form=skydnc</v>
    <v>Learn more on Bing</v>
  </rv>
  <rv s="0">
    <fb>44.366111111111103</fb>
    <v>0</v>
  </rv>
  <rv s="0">
    <fb>8126755</fb>
    <v>9</v>
  </rv>
  <rv s="24">
    <v>#VALUE!</v>
    <v>en-US</v>
    <v>b7cfa129-5958-3a59-439a-4802f071eeac</v>
    <v>536870912</v>
    <v>1</v>
    <v>718</v>
    <v>189</v>
    <v>Baghdad</v>
    <v>5</v>
    <v>6</v>
    <v>Map</v>
    <v>7</v>
    <v>442</v>
    <v>4562</v>
    <v>4563</v>
    <v>4564</v>
    <v>Baghdad is the capital of Iraq and the second-largest city in the Arab world after Cairo. It is located on the Tigris river. In 762 AD, Baghdad was founded as the capital of the Abbasid Caliphate, and became its most notable major development ...</v>
    <v>4565</v>
    <v>4566</v>
    <v>4568</v>
    <v>4569</v>
    <v>4570</v>
    <v>Baghdad</v>
    <v>4571</v>
    <v>Baghdad</v>
    <v>mdp/vdpid/7271808439951556609</v>
  </rv>
  <rv s="1">
    <v>536870912</v>
    <v>Dublin</v>
    <v>7e7d2832-97c8-afa4-d282-865c20a549c9</v>
    <v>en-US</v>
    <v>Map</v>
  </rv>
  <rv s="0">
    <fb>114.99</fb>
    <v>9</v>
  </rv>
  <rv s="1">
    <v>536870912</v>
    <v>Republic of Ireland</v>
    <v>77f28672-5669-4775-a58a-b62b17779010</v>
    <v>en-US</v>
    <v>Map</v>
  </rv>
  <rv s="2">
    <v>150</v>
    <v>7</v>
    <v>720</v>
    <v>7</v>
    <v>0</v>
    <v>Image of Dublin</v>
  </rv>
  <rv s="1">
    <v>805306368</v>
    <v>Emma Blain (Mayor)</v>
    <v>b5d63317-690f-39b5-8ae9-56eaac5c2452</v>
    <v>en-US</v>
    <v>Generic</v>
  </rv>
  <rv s="3">
    <v>320</v>
  </rv>
  <rv s="4">
    <v>https://www.bing.com/search?q=dublin+ireland&amp;form=skydnc</v>
    <v>Learn more on Bing</v>
  </rv>
  <rv s="0">
    <fb>592713</fb>
    <v>9</v>
  </rv>
  <rv s="45">
    <v>#VALUE!</v>
    <v>en-US</v>
    <v>7e7d2832-97c8-afa4-d282-865c20a549c9</v>
    <v>536870912</v>
    <v>1</v>
    <v>721</v>
    <v>505</v>
    <v>Dublin</v>
    <v>5</v>
    <v>6</v>
    <v>Map</v>
    <v>7</v>
    <v>61</v>
    <v>4574</v>
    <v>4575</v>
    <v>Dublin is the capital city of Ireland. On a bay at the mouth of the River Liffey, it is in the province of Leinster, bordered on the south by the Dublin Mountains, a part of the Wicklow Mountains range. At the 2022 census, the city council area ...</v>
    <v>4576</v>
    <v>22</v>
    <v>4578</v>
    <v>4579</v>
    <v>23</v>
    <v>Dublin</v>
    <v>4580</v>
    <v>1712</v>
    <v>Dublin</v>
    <v>mdp/vdpid/5469235680884293633</v>
  </rv>
  <rv s="0">
    <fb>0.64537668747278298</fb>
    <v>28</v>
  </rv>
  <rv s="0">
    <fb>69797</fb>
    <v>9</v>
  </rv>
  <rv s="0">
    <fb>12.5</fb>
    <v>29</v>
  </rv>
  <rv s="0">
    <fb>353</fb>
    <v>30</v>
  </rv>
  <rv s="0">
    <fb>37711.428</fb>
    <v>9</v>
  </rv>
  <rv s="0">
    <fb>106.584326346003</fb>
    <v>31</v>
  </rv>
  <rv s="0">
    <fb>9.3904448105434097E-3</fb>
    <v>28</v>
  </rv>
  <rv s="0">
    <fb>5672.0641341079599</fb>
    <v>9</v>
  </rv>
  <rv s="0">
    <fb>1.75</fb>
    <v>29</v>
  </rv>
  <rv s="0">
    <fb>0.110277255364644</fb>
    <v>28</v>
  </rv>
  <rv s="0">
    <fb>85.342819766444293</fb>
    <v>34</v>
  </rv>
  <rv s="0">
    <fb>1.37</fb>
    <v>32</v>
  </rv>
  <rv s="0">
    <fb>388698711348.15601</fb>
    <v>33</v>
  </rv>
  <rv s="0">
    <fb>1.0085278</fb>
    <v>28</v>
  </rv>
  <rv s="0">
    <fb>0.7778062</fb>
    <v>28</v>
  </rv>
  <rv s="2">
    <v>151</v>
    <v>7</v>
    <v>723</v>
    <v>7</v>
    <v>0</v>
    <v>Image of Republic of Ireland</v>
  </rv>
  <rv s="1">
    <v>805306368</v>
    <v>Michael D. Higgins (President)</v>
    <v>66da4ccd-5e5c-25af-1ee8-8bc26bc581fe</v>
    <v>en-US</v>
    <v>Generic</v>
  </rv>
  <rv s="1">
    <v>805306368</v>
    <v>Micheál Martin (Taoiseach)</v>
    <v>d1e155ab-47ab-8ddd-669d-6583e3acba47</v>
    <v>en-US</v>
    <v>Generic</v>
  </rv>
  <rv s="1">
    <v>805306368</v>
    <v>Donal O'Donnell (Chief justice)</v>
    <v>e19e8bb7-3a15-4389-9ca9-f25cb75bc3b7</v>
    <v>en-US</v>
    <v>Generic</v>
  </rv>
  <rv s="3">
    <v>321</v>
  </rv>
  <rv s="4">
    <v>https://www.bing.com/search?q=republic+of+ireland&amp;form=skydnc</v>
    <v>Learn more on Bing</v>
  </rv>
  <rv s="0">
    <fb>82.256097560975604</fb>
    <v>34</v>
  </rv>
  <rv s="0">
    <fb>110154370000</fb>
    <v>33</v>
  </rv>
  <rv s="0">
    <fb>10.79</fb>
    <v>32</v>
  </rv>
  <rv s="3">
    <v>322</v>
  </rv>
  <rv s="0">
    <fb>0.15164452009999999</fb>
    <v>28</v>
  </rv>
  <rv s="0">
    <fb>3.3125</fb>
    <v>29</v>
  </rv>
  <rv s="0">
    <fb>5086988</fb>
    <v>9</v>
  </rv>
  <rv s="0">
    <fb>0.22</fb>
    <v>28</v>
  </rv>
  <rv s="0">
    <fb>0.62067001342773398</fb>
    <v>28</v>
  </rv>
  <rv s="1">
    <v>536870912</v>
    <v>County Cork</v>
    <v>bb6ad608-a731-417f-8fb4-3b29c7a06023</v>
    <v>en-US</v>
    <v>Map</v>
  </rv>
  <rv s="1">
    <v>536870912</v>
    <v>County Kerry</v>
    <v>e281d492-542b-4c66-83a2-ec093a5cc247</v>
    <v>en-US</v>
    <v>Map</v>
  </rv>
  <rv s="1">
    <v>536870912</v>
    <v>County Waterford</v>
    <v>a5aedce9-d905-4473-a32e-cd606469c5aa</v>
    <v>en-US</v>
    <v>Map</v>
  </rv>
  <rv s="1">
    <v>536870912</v>
    <v>County Wexford</v>
    <v>99e6a13e-c2b2-40d9-b651-20d465421019</v>
    <v>en-US</v>
    <v>Map</v>
  </rv>
  <rv s="1">
    <v>536870912</v>
    <v>County Galway</v>
    <v>73d9290c-2300-4ebd-98b6-0f77a242e08d</v>
    <v>en-US</v>
    <v>Map</v>
  </rv>
  <rv s="1">
    <v>536870912</v>
    <v>County Laois</v>
    <v>c781c434-2a24-4f3d-a510-636b54663792</v>
    <v>en-US</v>
    <v>Map</v>
  </rv>
  <rv s="1">
    <v>536870912</v>
    <v>County Kildare</v>
    <v>de3b8ce7-c7bc-4504-b970-d00c510d4ad6</v>
    <v>en-US</v>
    <v>Map</v>
  </rv>
  <rv s="1">
    <v>536870912</v>
    <v>County Donegal</v>
    <v>b645d938-5d54-43e6-a821-1b0a55668a19</v>
    <v>en-US</v>
    <v>Map</v>
  </rv>
  <rv s="1">
    <v>536870912</v>
    <v>County Westmeath</v>
    <v>54d058c5-8802-4485-8280-3d1537c6ff67</v>
    <v>en-US</v>
    <v>Map</v>
  </rv>
  <rv s="1">
    <v>536870912</v>
    <v>County Leitrim</v>
    <v>5bdfc913-2ad8-446b-b3f9-e2e5bceeeafa</v>
    <v>en-US</v>
    <v>Map</v>
  </rv>
  <rv s="1">
    <v>536870912</v>
    <v>County Mayo</v>
    <v>66ce3cb4-58f3-4497-b907-d42613782718</v>
    <v>en-US</v>
    <v>Map</v>
  </rv>
  <rv s="1">
    <v>536870912</v>
    <v>County Roscommon</v>
    <v>b8c54237-085b-4bce-94ae-a61830948221</v>
    <v>en-US</v>
    <v>Map</v>
  </rv>
  <rv s="1">
    <v>536870912</v>
    <v>County Clare</v>
    <v>085afbf1-6f94-4dcc-b587-444630726c9d</v>
    <v>en-US</v>
    <v>Map</v>
  </rv>
  <rv s="1">
    <v>536870912</v>
    <v>County Tipperary</v>
    <v>9fc814a7-4b18-a287-d374-0875740a332b</v>
    <v>en-US</v>
    <v>Map</v>
  </rv>
  <rv s="1">
    <v>536870912</v>
    <v>County Carlow</v>
    <v>344c1010-7d51-b5ad-141b-1b033e5928e0</v>
    <v>en-US</v>
    <v>Map</v>
  </rv>
  <rv s="1">
    <v>536870912</v>
    <v>County Longford</v>
    <v>b606fd50-b140-461d-8499-0a2f15477c3f</v>
    <v>en-US</v>
    <v>Map</v>
  </rv>
  <rv s="1">
    <v>536870912</v>
    <v>County Louth</v>
    <v>b3be5d39-0c24-438c-8cc9-4f47b53ee145</v>
    <v>en-US</v>
    <v>Map</v>
  </rv>
  <rv s="1">
    <v>536870912</v>
    <v>County Offaly</v>
    <v>a2b6e818-7b54-4481-a69c-4b2490dcfe0c</v>
    <v>en-US</v>
    <v>Map</v>
  </rv>
  <rv s="1">
    <v>536870912</v>
    <v>County Wicklow</v>
    <v>5cd59f89-1103-45a7-b3b9-0e04f5a8806b</v>
    <v>en-US</v>
    <v>Map</v>
  </rv>
  <rv s="1">
    <v>536870912</v>
    <v>County Cavan</v>
    <v>e04372f9-a714-ff4d-9b13-bd083769ac5c</v>
    <v>en-US</v>
    <v>Map</v>
  </rv>
  <rv s="1">
    <v>536870912</v>
    <v>County Monaghan</v>
    <v>fc43fd90-de92-49b3-bf37-7c577555fac7</v>
    <v>en-US</v>
    <v>Map</v>
  </rv>
  <rv s="1">
    <v>536870912</v>
    <v>County Meath</v>
    <v>ff3f7e83-2ccd-4a6f-ac4f-9cfbc30014d6</v>
    <v>en-US</v>
    <v>Map</v>
  </rv>
  <rv s="1">
    <v>536870912</v>
    <v>County Kilkenny</v>
    <v>1e943eb7-cca5-478d-b38d-39f3df9d3cb1</v>
    <v>en-US</v>
    <v>Map</v>
  </rv>
  <rv s="1">
    <v>536870912</v>
    <v>County Limerick</v>
    <v>a20328c4-ef10-4fd7-bd04-5fe56806534e</v>
    <v>en-US</v>
    <v>Map</v>
  </rv>
  <rv s="1">
    <v>536870912</v>
    <v>County Sligo</v>
    <v>f380e360-16e6-4512-b449-7900cf9b1aa7</v>
    <v>en-US</v>
    <v>Map</v>
  </rv>
  <rv s="1">
    <v>536870912</v>
    <v>Connacht</v>
    <v>ef4b0f22-1de8-46c2-be90-c31bfbcc6a14</v>
    <v>en-US</v>
    <v>Map</v>
  </rv>
  <rv s="3">
    <v>323</v>
  </rv>
  <rv s="0">
    <fb>0.18262353633181699</fb>
    <v>28</v>
  </rv>
  <rv s="3">
    <v>324</v>
  </rv>
  <rv s="0">
    <fb>0.26100000000000001</fb>
    <v>28</v>
  </rv>
  <rv s="0">
    <fb>4.9279999732971203E-2</fb>
    <v>35</v>
  </rv>
  <rv s="0">
    <fb>3133123</fb>
    <v>9</v>
  </rv>
  <rv s="58">
    <v>#VALUE!</v>
    <v>en-US</v>
    <v>77f28672-5669-4775-a58a-b62b17779010</v>
    <v>536870912</v>
    <v>1</v>
    <v>726</v>
    <v>727</v>
    <v>Republic of Ireland</v>
    <v>5</v>
    <v>6</v>
    <v>Map</v>
    <v>7</v>
    <v>728</v>
    <v>4582</v>
    <v>4583</v>
    <v>145</v>
    <v>4584</v>
    <v>4585</v>
    <v>4573</v>
    <v>4586</v>
    <v>4587</v>
    <v>4588</v>
    <v>EUR</v>
    <v>Ireland, also known as the Republic of Ireland, is a country in Northwestern Europe consisting of 26 of the 32 counties of the island of Ireland, with a population of about 5.4 million. Its capital and largest city is Dublin, on the eastern side ...</v>
    <v>4589</v>
    <v>4590</v>
    <v>4591</v>
    <v>4592</v>
    <v>4593</v>
    <v>4594</v>
    <v>4595</v>
    <v>4596</v>
    <v>4597</v>
    <v>635</v>
    <v>4573</v>
    <v>4601</v>
    <v>4602</v>
    <v>4603</v>
    <v>4604</v>
    <v>440</v>
    <v>4605</v>
    <v>Republic of Ireland</v>
    <v>Amhrán na bhFiann</v>
    <v>4606</v>
    <v>Ireland</v>
    <v>4607</v>
    <v>4608</v>
    <v>4609</v>
    <v>4610</v>
    <v>3973</v>
    <v>1775</v>
    <v>175</v>
    <v>4417</v>
    <v>388</v>
    <v>3332</v>
    <v>4611</v>
    <v>4638</v>
    <v>4639</v>
    <v>4640</v>
    <v>4641</v>
    <v>4642</v>
    <v>Republic of Ireland</v>
    <v>4643</v>
    <v>mdp/vdpid/68</v>
  </rv>
  <rv s="1">
    <v>536870912</v>
    <v>Jerusalem</v>
    <v>f723d141-8609-b204-3b1d-30bfcbfb9dcb</v>
    <v>en-US</v>
    <v>Map</v>
  </rv>
  <rv s="1">
    <v>536870912</v>
    <v>Jerusalem District</v>
    <v>dcd9b1e0-1b32-7e66-c4c1-f534cad85a11</v>
    <v>en-US</v>
    <v>Map</v>
  </rv>
  <rv s="0">
    <fb>125.42</fb>
    <v>9</v>
  </rv>
  <rv s="1">
    <v>536870912</v>
    <v>Israel</v>
    <v>1ffafed3-2b37-b871-c271-aa855d98449a</v>
    <v>en-US</v>
    <v>Map</v>
  </rv>
  <rv s="2">
    <v>152</v>
    <v>7</v>
    <v>729</v>
    <v>7</v>
    <v>0</v>
    <v>Image of Jerusalem</v>
  </rv>
  <rv s="0">
    <fb>31.778888888888901</fb>
    <v>0</v>
  </rv>
  <rv s="1">
    <v>805306368</v>
    <v>Moshe Lion (Mayor)</v>
    <v>7c1ddd3a-f81c-e31c-3fd3-a57e8f4d7fa0</v>
    <v>en-US</v>
    <v>Generic</v>
  </rv>
  <rv s="3">
    <v>325</v>
  </rv>
  <rv s="4">
    <v>https://www.bing.com/search?q=jerusalem&amp;form=skydnc</v>
    <v>Learn more on Bing</v>
  </rv>
  <rv s="0">
    <fb>35.225555555555601</fb>
    <v>0</v>
  </rv>
  <rv s="0">
    <fb>981711</fb>
    <v>9</v>
  </rv>
  <rv s="7">
    <v>#VALUE!</v>
    <v>en-US</v>
    <v>f723d141-8609-b204-3b1d-30bfcbfb9dcb</v>
    <v>536870912</v>
    <v>1</v>
    <v>730</v>
    <v>38</v>
    <v>Jerusalem</v>
    <v>5</v>
    <v>6</v>
    <v>Map</v>
    <v>7</v>
    <v>61</v>
    <v>4646</v>
    <v>4647</v>
    <v>4648</v>
    <v>This page is subject to the extended confirmed restriction related to the Arab-Israeli conflict. Jerusalem is a city in the Southern Levant, on a plateau in the Judaean Mountains between the Mediterranean and the Dead Sea. It is one of the ...</v>
    <v>4649</v>
    <v>4650</v>
    <v>4652</v>
    <v>4653</v>
    <v>4654</v>
    <v>Jerusalem</v>
    <v>4655</v>
    <v>3369</v>
    <v>Jerusalem</v>
    <v>mdp/vdpid/7269254169767182338</v>
  </rv>
  <rv s="0">
    <fb>0.24584103512014799</fb>
    <v>28</v>
  </rv>
  <rv s="0">
    <fb>20770</fb>
    <v>9</v>
  </rv>
  <rv s="0">
    <fb>178000</fb>
    <v>9</v>
  </rv>
  <rv s="0">
    <fb>20.8</fb>
    <v>29</v>
  </rv>
  <rv s="0">
    <fb>972</fb>
    <v>30</v>
  </rv>
  <rv s="0">
    <fb>65166.256999999998</fb>
    <v>9</v>
  </rv>
  <rv s="0">
    <fb>108.150134048257</fb>
    <v>31</v>
  </rv>
  <rv s="0">
    <fb>8.4159653362219401E-3</fb>
    <v>28</v>
  </rv>
  <rv s="0">
    <fb>6600.8982801222</fb>
    <v>9</v>
  </rv>
  <rv s="0">
    <fb>3.09</fb>
    <v>29</v>
  </rv>
  <rv s="0">
    <fb>7.7264323913235705E-2</fb>
    <v>28</v>
  </rv>
  <rv s="0">
    <fb>97.382124126026198</fb>
    <v>34</v>
  </rv>
  <rv s="0">
    <fb>395098666121.61603</fb>
    <v>33</v>
  </rv>
  <rv s="0">
    <fb>1.0490112</fb>
    <v>28</v>
  </rv>
  <rv s="0">
    <fb>0.63354690000000002</fb>
    <v>28</v>
  </rv>
  <rv s="2">
    <v>153</v>
    <v>7</v>
    <v>732</v>
    <v>7</v>
    <v>0</v>
    <v>Image of Israel</v>
  </rv>
  <rv s="1">
    <v>805306368</v>
    <v>Isaac Herzog (President)</v>
    <v>6ec2eb61-c901-7fbe-05ae-d176e780a498</v>
    <v>en-US</v>
    <v>Generic</v>
  </rv>
  <rv s="1">
    <v>805306368</v>
    <v>Benjamin Netanyahu (Prime minister)</v>
    <v>7ce1e366-2545-8063-de37-56de6515eb11</v>
    <v>en-US</v>
    <v>Generic</v>
  </rv>
  <rv s="1">
    <v>805306368</v>
    <v>Yitzhak Amit (Chief justice)</v>
    <v>a9aa79ed-3ba6-c4d9-960a-095feb7831ab</v>
    <v>en-US</v>
    <v>Generic</v>
  </rv>
  <rv s="3">
    <v>326</v>
  </rv>
  <rv s="4">
    <v>https://www.bing.com/search?q=israel&amp;form=skydnc</v>
    <v>Learn more on Bing</v>
  </rv>
  <rv s="0">
    <fb>82.802439024390296</fb>
    <v>34</v>
  </rv>
  <rv s="0">
    <fb>237371160000</fb>
    <v>33</v>
  </rv>
  <rv s="0">
    <fb>7.58</fb>
    <v>32</v>
  </rv>
  <rv s="3">
    <v>327</v>
  </rv>
  <rv s="0">
    <fb>0.24369154550000002</fb>
    <v>28</v>
  </rv>
  <rv s="0">
    <fb>4.6249000000000002</fb>
    <v>29</v>
  </rv>
  <rv s="0">
    <fb>9550600</fb>
    <v>9</v>
  </rv>
  <rv s="0">
    <fb>0.23600000000000002</fb>
    <v>28</v>
  </rv>
  <rv s="0">
    <fb>0.442</fb>
    <v>28</v>
  </rv>
  <rv s="0">
    <fb>5.0999999999999997E-2</fb>
    <v>28</v>
  </rv>
  <rv s="0">
    <fb>0.106</fb>
    <v>28</v>
  </rv>
  <rv s="0">
    <fb>0.64041999816894501</fb>
    <v>28</v>
  </rv>
  <rv s="1">
    <v>536870912</v>
    <v>Tel Aviv District</v>
    <v>d6015b27-4dd3-610b-2fbd-43bf89e90313</v>
    <v>en-US</v>
    <v>Map</v>
  </rv>
  <rv s="1">
    <v>536870912</v>
    <v>Central District</v>
    <v>b8c7175b-f887-8fa0-637f-e2e7e8ae8040</v>
    <v>en-US</v>
    <v>Map</v>
  </rv>
  <rv s="1">
    <v>536870912</v>
    <v>Haifa District</v>
    <v>dbc45f9b-a63f-a09b-d54c-697c99324074</v>
    <v>en-US</v>
    <v>Map</v>
  </rv>
  <rv s="1">
    <v>536870912</v>
    <v>Northern District</v>
    <v>22ac91a9-f743-acdf-4359-b436f384753b</v>
    <v>en-US</v>
    <v>Map</v>
  </rv>
  <rv s="1">
    <v>536870912</v>
    <v>Southern District</v>
    <v>970325e2-3c4e-8bc8-62a8-400202e79fc2</v>
    <v>en-US</v>
    <v>Map</v>
  </rv>
  <rv s="3">
    <v>328</v>
  </rv>
  <rv s="0">
    <fb>0.23067846531370401</fb>
    <v>28</v>
  </rv>
  <rv s="3">
    <v>329</v>
  </rv>
  <rv s="0">
    <fb>0.253</fb>
    <v>28</v>
  </rv>
  <rv s="0">
    <fb>3.8610000610351601E-2</fb>
    <v>35</v>
  </rv>
  <rv s="0">
    <fb>8374393</fb>
    <v>9</v>
  </rv>
  <rv s="9">
    <v>#VALUE!</v>
    <v>en-US</v>
    <v>1ffafed3-2b37-b871-c271-aa855d98449a</v>
    <v>536870912</v>
    <v>1</v>
    <v>735</v>
    <v>55</v>
    <v>Israel</v>
    <v>5</v>
    <v>6</v>
    <v>Map</v>
    <v>7</v>
    <v>736</v>
    <v>IL</v>
    <v>4657</v>
    <v>4658</v>
    <v>4659</v>
    <v>4660</v>
    <v>4661</v>
    <v>4645</v>
    <v>4662</v>
    <v>4663</v>
    <v>4664</v>
    <v>ILS</v>
    <v>This page is subject to the extended confirmed restriction related to the Arab-Israeli conflict. Israel, officially the State of Israel, is a country in West Asia. It is situated in the Southern Levant of the Middle East; and shares borders with ...</v>
    <v>4665</v>
    <v>4666</v>
    <v>4667</v>
    <v>4668</v>
    <v>1654</v>
    <v>4669</v>
    <v>4670</v>
    <v>4671</v>
    <v>4672</v>
    <v>3540</v>
    <v>4645</v>
    <v>4676</v>
    <v>4677</v>
    <v>4678</v>
    <v>4679</v>
    <v>3540</v>
    <v>4680</v>
    <v>Israel</v>
    <v>Hatikvah</v>
    <v>4681</v>
    <v>ישראל</v>
    <v>4682</v>
    <v>4683</v>
    <v>4684</v>
    <v>4685</v>
    <v>3684</v>
    <v>4686</v>
    <v>1662</v>
    <v>4687</v>
    <v>4688</v>
    <v>4141</v>
    <v>4689</v>
    <v>4695</v>
    <v>4696</v>
    <v>4697</v>
    <v>4698</v>
    <v>4699</v>
    <v>Israel</v>
    <v>4700</v>
    <v>mdp/vdpid/117</v>
  </rv>
  <rv s="1">
    <v>536870912</v>
    <v>Rome</v>
    <v>5ed498af-fa85-2a88-874d-212494ddb06f</v>
    <v>en-US</v>
    <v>Map</v>
  </rv>
  <rv s="1">
    <v>536870912</v>
    <v>Lazio</v>
    <v>e5d48b4e-72f5-da43-7854-da4784df7b51</v>
    <v>en-US</v>
    <v>Map</v>
  </rv>
  <rv s="1">
    <v>536870912</v>
    <v>Metropolitan City of Rome Capital</v>
    <v>76a6fcae-8c89-adab-ce40-a0d52e665024</v>
    <v>en-US</v>
    <v>Map</v>
  </rv>
  <rv s="0">
    <fb>1287.3599999999999</fb>
    <v>9</v>
  </rv>
  <rv s="1">
    <v>536870912</v>
    <v>Italy</v>
    <v>09e8f885-427b-8850-947d-202e0287b9e8</v>
    <v>en-US</v>
    <v>Map</v>
  </rv>
  <rv s="2">
    <v>154</v>
    <v>7</v>
    <v>737</v>
    <v>7</v>
    <v>0</v>
    <v>Image of Rome</v>
  </rv>
  <rv s="1">
    <v>805306368</v>
    <v>Roberto Gualtieri (Mayor)</v>
    <v>451ff490-7a31-bc00-90b3-d0724d4c0c03</v>
    <v>en-US</v>
    <v>Generic</v>
  </rv>
  <rv s="3">
    <v>330</v>
  </rv>
  <rv s="4">
    <v>https://www.bing.com/search?q=rome+italy&amp;form=skydnc</v>
    <v>Learn more on Bing</v>
  </rv>
  <rv s="0">
    <fb>2872800</fb>
    <v>9</v>
  </rv>
  <rv s="23">
    <v>#VALUE!</v>
    <v>en-US</v>
    <v>5ed498af-fa85-2a88-874d-212494ddb06f</v>
    <v>536870912</v>
    <v>1</v>
    <v>738</v>
    <v>179</v>
    <v>Rome</v>
    <v>5</v>
    <v>6</v>
    <v>Map</v>
    <v>7</v>
    <v>442</v>
    <v>4703</v>
    <v>4704</v>
    <v>4705</v>
    <v>4706</v>
    <v>Rome is the capital city of Italy. It is also the capital of the Lazio region, the centre of the Metropolitan City of Rome Capital, and a special comune named Comune di Roma Capitale. With 2,860,009 residents in 1,285 km², Rome is the country's ...</v>
    <v>4707</v>
    <v>24</v>
    <v>4709</v>
    <v>4710</v>
    <v>25</v>
    <v>Rome</v>
    <v>4711</v>
    <v>Rome</v>
    <v>mdp/vdpid/7215943137045250049</v>
  </rv>
  <rv s="0">
    <fb>0.432345141769226</fb>
    <v>28</v>
  </rv>
  <rv s="0">
    <fb>302068</fb>
    <v>9</v>
  </rv>
  <rv s="0">
    <fb>347000</fb>
    <v>9</v>
  </rv>
  <rv s="0">
    <fb>7.3</fb>
    <v>29</v>
  </rv>
  <rv s="0">
    <fb>39</fb>
    <v>30</v>
  </rv>
  <rv s="0">
    <fb>320411.45899999997</fb>
    <v>9</v>
  </rv>
  <rv s="0">
    <fb>110.623595648239</fb>
    <v>31</v>
  </rv>
  <rv s="0">
    <fb>6.1124694376529102E-3</fb>
    <v>28</v>
  </rv>
  <rv s="0">
    <fb>5002.4066798773601</fb>
    <v>9</v>
  </rv>
  <rv s="0">
    <fb>1.29</fb>
    <v>29</v>
  </rv>
  <rv s="0">
    <fb>0.31790303272888798</fb>
    <v>28</v>
  </rv>
  <rv s="0">
    <fb>79.948454735494707</fb>
    <v>34</v>
  </rv>
  <rv s="0">
    <fb>1.61</fb>
    <v>32</v>
  </rv>
  <rv s="0">
    <fb>2001244392041.5701</fb>
    <v>33</v>
  </rv>
  <rv s="0">
    <fb>1.0187936</fb>
    <v>28</v>
  </rv>
  <rv s="0">
    <fb>0.61933000000000005</fb>
    <v>28</v>
  </rv>
  <rv s="2">
    <v>155</v>
    <v>7</v>
    <v>740</v>
    <v>7</v>
    <v>0</v>
    <v>Image of Italy</v>
  </rv>
  <rv s="1">
    <v>805306368</v>
    <v>Sergio Mattarella (President)</v>
    <v>7b09388e-8b92-1261-db16-7c6882735fe1</v>
    <v>en-US</v>
    <v>Generic</v>
  </rv>
  <rv s="1">
    <v>805306368</v>
    <v>Giorgia Meloni (Prime minister)</v>
    <v>5c9bb82e-e08f-f5eb-9f29-f20e75e8eb8f</v>
    <v>en-US</v>
    <v>Generic</v>
  </rv>
  <rv s="3">
    <v>331</v>
  </rv>
  <rv s="4">
    <v>https://www.bing.com/search?q=italy&amp;form=skydnc</v>
    <v>Learn more on Bing</v>
  </rv>
  <rv s="0">
    <fb>82.946341463414697</fb>
    <v>34</v>
  </rv>
  <rv s="0">
    <fb>522087790000</fb>
    <v>33</v>
  </rv>
  <rv s="3">
    <v>332</v>
  </rv>
  <rv s="0">
    <fb>0.2283268819</fb>
    <v>28</v>
  </rv>
  <rv s="0">
    <fb>3.9773999999999998</fb>
    <v>29</v>
  </rv>
  <rv s="0">
    <fb>58856847</fb>
    <v>9</v>
  </rv>
  <rv s="0">
    <fb>0.26700000000000002</fb>
    <v>28</v>
  </rv>
  <rv s="0">
    <fb>0.495550003051758</fb>
    <v>28</v>
  </rv>
  <rv s="1">
    <v>536870912</v>
    <v>Abruzzo</v>
    <v>6d07734f-0734-da73-bda9-a2e9e44c1042</v>
    <v>en-US</v>
    <v>Map</v>
  </rv>
  <rv s="1">
    <v>536870912</v>
    <v>Basilicata</v>
    <v>c286f639-68f8-3ed2-0119-87142c109b42</v>
    <v>en-US</v>
    <v>Map</v>
  </rv>
  <rv s="1">
    <v>536870912</v>
    <v>Calabria</v>
    <v>87d05176-c03a-c209-fa72-dfafed738418</v>
    <v>en-US</v>
    <v>Map</v>
  </rv>
  <rv s="1">
    <v>536870912</v>
    <v>Campania</v>
    <v>9933ef2b-24f2-a29d-6e4f-fe6bffe78694</v>
    <v>en-US</v>
    <v>Map</v>
  </rv>
  <rv s="1">
    <v>536870912</v>
    <v>Emilia-Romagna</v>
    <v>129d3426-cfe5-9154-2989-f246e1aa5cec</v>
    <v>en-US</v>
    <v>Map</v>
  </rv>
  <rv s="1">
    <v>536870912</v>
    <v>Friuli-Venezia Giulia</v>
    <v>dfe11af7-836d-40cf-b176-995500a2a2fb</v>
    <v>en-US</v>
    <v>Map</v>
  </rv>
  <rv s="1">
    <v>536870912</v>
    <v>Liguria</v>
    <v>bc9d0bc0-7501-9ea0-5ffc-8d29df64f153</v>
    <v>en-US</v>
    <v>Map</v>
  </rv>
  <rv s="1">
    <v>536870912</v>
    <v>Lombardy</v>
    <v>4e4d95c0-6e91-acd2-e10c-7165bc365e22</v>
    <v>en-US</v>
    <v>Map</v>
  </rv>
  <rv s="1">
    <v>536870912</v>
    <v>Marche</v>
    <v>262ac8bf-0bbd-ba85-aef3-2130493eaa9b</v>
    <v>en-US</v>
    <v>Map</v>
  </rv>
  <rv s="1">
    <v>536870912</v>
    <v>Molise</v>
    <v>048932e0-ef04-999e-a84f-326f5eaf1b11</v>
    <v>en-US</v>
    <v>Map</v>
  </rv>
  <rv s="1">
    <v>536870912</v>
    <v>Piedmont</v>
    <v>1a1b261b-a6b1-8503-5262-e2f707fe58ce</v>
    <v>en-US</v>
    <v>Map</v>
  </rv>
  <rv s="1">
    <v>536870912</v>
    <v>Apulia</v>
    <v>162619f7-7efb-76cc-0544-2da0306bd7c3</v>
    <v>en-US</v>
    <v>Map</v>
  </rv>
  <rv s="1">
    <v>536870912</v>
    <v>Sardinia</v>
    <v>2ac543b8-3c5f-c1c2-9c26-7153eb61c3d0</v>
    <v>en-US</v>
    <v>Map</v>
  </rv>
  <rv s="1">
    <v>536870912</v>
    <v>Sicily</v>
    <v>610fbc95-e594-a116-6d30-36286446a003</v>
    <v>en-US</v>
    <v>Map</v>
  </rv>
  <rv s="1">
    <v>536870912</v>
    <v>Tuscany</v>
    <v>a8854f08-da35-486d-5bd1-760f4eeb3da0</v>
    <v>en-US</v>
    <v>Map</v>
  </rv>
  <rv s="1">
    <v>536870912</v>
    <v>Trentino-Alto Adige/Südtirol</v>
    <v>b537e28d-6f0c-d8cf-1384-534def0737dd</v>
    <v>en-US</v>
    <v>Map</v>
  </rv>
  <rv s="1">
    <v>536870912</v>
    <v>Umbria</v>
    <v>a75c12d3-c6a9-ea7c-e844-577d1cfe72dd</v>
    <v>en-US</v>
    <v>Map</v>
  </rv>
  <rv s="1">
    <v>536870912</v>
    <v>Aosta Valley</v>
    <v>d9b216c7-5de6-eaf4-2383-5f7fc3075fdb</v>
    <v>en-US</v>
    <v>Map</v>
  </rv>
  <rv s="1">
    <v>536870912</v>
    <v>Veneto</v>
    <v>6809e680-9adc-134d-ebe9-70b79f5adb5f</v>
    <v>en-US</v>
    <v>Map</v>
  </rv>
  <rv s="3">
    <v>333</v>
  </rv>
  <rv s="0">
    <fb>0.24250464933068097</fb>
    <v>28</v>
  </rv>
  <rv s="0">
    <fb>0.59099999999999997</fb>
    <v>28</v>
  </rv>
  <rv s="0">
    <fb>9.8870000839233405E-2</fb>
    <v>35</v>
  </rv>
  <rv s="0">
    <fb>42651966</fb>
    <v>9</v>
  </rv>
  <rv s="40">
    <v>#VALUE!</v>
    <v>en-US</v>
    <v>09e8f885-427b-8850-947d-202e0287b9e8</v>
    <v>536870912</v>
    <v>1</v>
    <v>743</v>
    <v>433</v>
    <v>Italy</v>
    <v>5</v>
    <v>6</v>
    <v>Map</v>
    <v>7</v>
    <v>744</v>
    <v>IT</v>
    <v>4713</v>
    <v>4714</v>
    <v>4715</v>
    <v>4716</v>
    <v>4717</v>
    <v>4702</v>
    <v>4718</v>
    <v>4719</v>
    <v>4720</v>
    <v>EUR</v>
    <v>Italy, officially the Italian Republic, is a country in Southern and Western Europe. It consists of a peninsula that extends into the Mediterranean Sea, with the Alps on its northern land border, as well as nearly 800 islands, notably Sicily and ...</v>
    <v>4721</v>
    <v>4722</v>
    <v>4723</v>
    <v>4724</v>
    <v>4725</v>
    <v>4726</v>
    <v>4727</v>
    <v>4728</v>
    <v>4729</v>
    <v>1038</v>
    <v>4702</v>
    <v>4732</v>
    <v>4733</v>
    <v>4734</v>
    <v>4735</v>
    <v>1045</v>
    <v>Italy</v>
    <v>Il Canto degli Italiani</v>
    <v>4736</v>
    <v>Repubblica Italiana</v>
    <v>4737</v>
    <v>4738</v>
    <v>4739</v>
    <v>3683</v>
    <v>4740</v>
    <v>650</v>
    <v>1662</v>
    <v>3685</v>
    <v>177</v>
    <v>3612</v>
    <v>4741</v>
    <v>4761</v>
    <v>4762</v>
    <v>308</v>
    <v>4763</v>
    <v>4764</v>
    <v>Italy</v>
    <v>4765</v>
    <v>mdp/vdpid/118</v>
  </rv>
  <rv s="1">
    <v>536870912</v>
    <v>Kingston, Jamaica</v>
    <v>385a0e1e-d470-c7c3-8231-361da8105710</v>
    <v>en-US</v>
    <v>Map</v>
  </rv>
  <rv s="0">
    <fb>480</fb>
    <v>9</v>
  </rv>
  <rv s="1">
    <v>536870912</v>
    <v>Jamaica</v>
    <v>2562ea55-e766-cb17-7e1f-a957c9f8b966</v>
    <v>en-US</v>
    <v>Map</v>
  </rv>
  <rv s="2">
    <v>156</v>
    <v>7</v>
    <v>746</v>
    <v>7</v>
    <v>0</v>
    <v>Image of Kingston, Jamaica</v>
  </rv>
  <rv s="0">
    <fb>17.971388888888999</fb>
    <v>0</v>
  </rv>
  <rv s="1">
    <v>805306368</v>
    <v>Delroy Williams (Mayor)</v>
    <v>b325b71f-cfe6-b352-cedb-b20aaeafec4b</v>
    <v>en-US</v>
    <v>Generic</v>
  </rv>
  <rv s="3">
    <v>334</v>
  </rv>
  <rv s="4">
    <v>https://www.bing.com/search?q=kingston+jamaica&amp;form=skydnc</v>
    <v>Learn more on Bing</v>
  </rv>
  <rv s="0">
    <fb>-76.793055555555995</fb>
    <v>0</v>
  </rv>
  <rv s="0">
    <fb>580000</fb>
    <v>9</v>
  </rv>
  <rv s="45">
    <v>#VALUE!</v>
    <v>en-US</v>
    <v>385a0e1e-d470-c7c3-8231-361da8105710</v>
    <v>536870912</v>
    <v>1</v>
    <v>747</v>
    <v>505</v>
    <v>Kingston, Jamaica</v>
    <v>5</v>
    <v>6</v>
    <v>Map</v>
    <v>7</v>
    <v>331</v>
    <v>4768</v>
    <v>4769</v>
    <v>Kingston is the capital and largest city of Jamaica, located on the southeastern coast of the island. It faces a natural harbour protected by the Palisadoes, a long sand spit which connects the town of Port Royal and the Norman Manley ...</v>
    <v>4770</v>
    <v>4771</v>
    <v>4773</v>
    <v>4774</v>
    <v>4775</v>
    <v>Kingston, Jamaica</v>
    <v>4776</v>
    <v>876</v>
    <v>Kingston, Jamaica</v>
    <v>mdp/vdpid/5559019382107013121</v>
  </rv>
  <rv s="0">
    <fb>0.40997229916897504</fb>
    <v>28</v>
  </rv>
  <rv s="0">
    <fb>10991.909540000001</fb>
    <v>9</v>
  </rv>
  <rv s="0">
    <fb>16.103000000000002</fb>
    <v>29</v>
  </rv>
  <rv s="0">
    <fb>1876</fb>
    <v>30</v>
  </rv>
  <rv s="0">
    <fb>8225.0810000000001</fb>
    <v>9</v>
  </rv>
  <rv s="0">
    <fb>162.47402640959601</fb>
    <v>31</v>
  </rv>
  <rv s="0">
    <fb>3.8918759235825502E-2</fb>
    <v>28</v>
  </rv>
  <rv s="0">
    <fb>1050.73290446087</fb>
    <v>9</v>
  </rv>
  <rv s="0">
    <fb>1.9790000000000001</fb>
    <v>29</v>
  </rv>
  <rv s="0">
    <fb>0.30915974822180897</fb>
    <v>28</v>
  </rv>
  <rv s="0">
    <fb>80.971344808322698</fb>
    <v>34</v>
  </rv>
  <rv s="0">
    <fb>16458071067.8176</fb>
    <v>33</v>
  </rv>
  <rv s="0">
    <fb>0.90995389999999998</fb>
    <v>28</v>
  </rv>
  <rv s="0">
    <fb>0.27130609999999999</fb>
    <v>28</v>
  </rv>
  <rv s="2">
    <v>157</v>
    <v>7</v>
    <v>749</v>
    <v>7</v>
    <v>0</v>
    <v>Image of Jamaica</v>
  </rv>
  <rv s="0">
    <fb>12.4</fb>
    <v>34</v>
  </rv>
  <rv s="1">
    <v>805306368</v>
    <v>Andrew Holness (Prime minister)</v>
    <v>fc7eab19-7d03-0e23-d4ca-3413831f019e</v>
    <v>en-US</v>
    <v>Generic</v>
  </rv>
  <rv s="3">
    <v>335</v>
  </rv>
  <rv s="4">
    <v>https://www.bing.com/search?q=jamaica&amp;form=skydnc</v>
    <v>Learn more on Bing</v>
  </rv>
  <rv s="0">
    <fb>74.367999999999995</fb>
    <v>34</v>
  </rv>
  <rv s="0">
    <fb>15767450000</fb>
    <v>33</v>
  </rv>
  <rv s="0">
    <fb>80</fb>
    <v>34</v>
  </rv>
  <rv s="0">
    <fb>1.33</fb>
    <v>32</v>
  </rv>
  <rv s="3">
    <v>336</v>
  </rv>
  <rv s="0">
    <fb>0.23704219810000002</fb>
    <v>28</v>
  </rv>
  <rv s="0">
    <fb>1.3061</fb>
    <v>29</v>
  </rv>
  <rv s="0">
    <fb>2827377</fb>
    <v>9</v>
  </rv>
  <rv s="0">
    <fb>0.20600000000000002</fb>
    <v>28</v>
  </rv>
  <rv s="0">
    <fb>0.35799999999999998</fb>
    <v>28</v>
  </rv>
  <rv s="0">
    <fb>0.51600000000000001</fb>
    <v>28</v>
  </rv>
  <rv s="0">
    <fb>5.2999999999999999E-2</fb>
    <v>28</v>
  </rv>
  <rv s="0">
    <fb>0.66028999328613291</fb>
    <v>28</v>
  </rv>
  <rv s="1">
    <v>536870912</v>
    <v>Cornwall County, Jamaica</v>
    <v>845f0c8b-1a1e-7e8d-b0d5-7f725b594865</v>
    <v>en-US</v>
    <v>Map</v>
  </rv>
  <rv s="1">
    <v>536870912</v>
    <v>Middlesex County, Jamaica</v>
    <v>05e19e2c-d20d-e0d6-a906-7417f9138fbe</v>
    <v>en-US</v>
    <v>Map</v>
  </rv>
  <rv s="3">
    <v>337</v>
  </rv>
  <rv s="0">
    <fb>0.26809843578632003</fb>
    <v>28</v>
  </rv>
  <rv s="0">
    <fb>0.35100000000000003</fb>
    <v>28</v>
  </rv>
  <rv s="0">
    <fb>8.0019998550415E-2</fb>
    <v>35</v>
  </rv>
  <rv s="0">
    <fb>1650594</fb>
    <v>9</v>
  </rv>
  <rv s="9">
    <v>#VALUE!</v>
    <v>en-US</v>
    <v>2562ea55-e766-cb17-7e1f-a957c9f8b966</v>
    <v>536870912</v>
    <v>1</v>
    <v>752</v>
    <v>55</v>
    <v>Jamaica</v>
    <v>5</v>
    <v>6</v>
    <v>Map</v>
    <v>7</v>
    <v>753</v>
    <v>JM</v>
    <v>4778</v>
    <v>4779</v>
    <v>3462</v>
    <v>4780</v>
    <v>4781</v>
    <v>4767</v>
    <v>4782</v>
    <v>4783</v>
    <v>4784</v>
    <v>JMD</v>
    <v>Jamaica is an island country in the Caribbean Sea and the West Indies. At 10,990 square kilometres, it is the third-largest island—after Cuba and Hispaniola—of the Greater Antilles and the Caribbean. Jamaica lies about 145 km south of Cuba, 191 ...</v>
    <v>4785</v>
    <v>4786</v>
    <v>4787</v>
    <v>4788</v>
    <v>1641</v>
    <v>4789</v>
    <v>4790</v>
    <v>4791</v>
    <v>4792</v>
    <v>4793</v>
    <v>4767</v>
    <v>4795</v>
    <v>4796</v>
    <v>4797</v>
    <v>4798</v>
    <v>4799</v>
    <v>4800</v>
    <v>Jamaica</v>
    <v>Jamaica, Land We Love</v>
    <v>4801</v>
    <v>Jamaica</v>
    <v>4802</v>
    <v>4803</v>
    <v>4804</v>
    <v>4805</v>
    <v>4806</v>
    <v>4807</v>
    <v>2585</v>
    <v>4808</v>
    <v>3069</v>
    <v>2471</v>
    <v>4809</v>
    <v>4812</v>
    <v>4813</v>
    <v>876</v>
    <v>4814</v>
    <v>4815</v>
    <v>Jamaica</v>
    <v>4816</v>
    <v>mdp/vdpid/124</v>
  </rv>
  <rv s="1">
    <v>536870912</v>
    <v>Tokyo</v>
    <v>cb44a92f-6c6f-99c4-2ae3-51601fdc919a</v>
    <v>en-US</v>
    <v>Map</v>
  </rv>
  <rv s="0">
    <fb>2194.0500000000002</fb>
    <v>9</v>
  </rv>
  <rv s="1">
    <v>536870912</v>
    <v>Special wards of Tokyo</v>
    <v>991a398b-acba-89c9-84b8-4eb77b3886d7</v>
    <v>en-US</v>
    <v>Map</v>
  </rv>
  <rv s="1">
    <v>536870912</v>
    <v>Japan</v>
    <v>130d0438-fafb-cd2d-1a9e-1dd9c5aa87a9</v>
    <v>en-US</v>
    <v>Map</v>
  </rv>
  <rv s="2">
    <v>158</v>
    <v>7</v>
    <v>754</v>
    <v>7</v>
    <v>0</v>
    <v>Image of Tokyo</v>
  </rv>
  <rv s="1">
    <v>536870912</v>
    <v>Shinjuku</v>
    <v>5632a22f-8419-6fb3-4f39-59c7c6326f8c</v>
    <v>en-US</v>
    <v>Map</v>
  </rv>
  <rv s="1">
    <v>805306368</v>
    <v>Yuriko Koike (Governor)</v>
    <v>3529b845-857d-a726-e527-f3385928e06a</v>
    <v>en-US</v>
    <v>Generic</v>
  </rv>
  <rv s="3">
    <v>338</v>
  </rv>
  <rv s="4">
    <v>https://www.bing.com/search?q=tokyo&amp;form=skydnc</v>
    <v>Learn more on Bing</v>
  </rv>
  <rv s="0">
    <fb>14187176</fb>
    <v>9</v>
  </rv>
  <rv s="3">
    <v>339</v>
  </rv>
  <rv s="59">
    <v>#VALUE!</v>
    <v>en-US</v>
    <v>cb44a92f-6c6f-99c4-2ae3-51601fdc919a</v>
    <v>536870912</v>
    <v>1</v>
    <v>756</v>
    <v>757</v>
    <v>Tokyo</v>
    <v>5</v>
    <v>6</v>
    <v>Map</v>
    <v>7</v>
    <v>169</v>
    <v>JP-13</v>
    <v>4819</v>
    <v>4820</v>
    <v>4821</v>
    <v>Tokyo, officially the Tokyo Metropolis, is the capital city of Japan. With a population of over 14 million in the city proper in 2023, it is one of the most populous urban areas in the world. The Greater Tokyo Area, which includes Tokyo and ...</v>
    <v>4822</v>
    <v>4823</v>
    <v>4825</v>
    <v>4826</v>
    <v>Tokyo</v>
    <v>4827</v>
    <v>4828</v>
    <v>Tokyo</v>
    <v>mdp/vdpid/7932754762162765825</v>
  </rv>
  <rv s="0">
    <fb>0.122640991880623</fb>
    <v>28</v>
  </rv>
  <rv s="0">
    <fb>377972.28</fb>
    <v>9</v>
  </rv>
  <rv s="0">
    <fb>261000</fb>
    <v>9</v>
  </rv>
  <rv s="0">
    <fb>7.4</fb>
    <v>29</v>
  </rv>
  <rv s="0">
    <fb>81</fb>
    <v>30</v>
  </rv>
  <rv s="0">
    <fb>1135886.253</fb>
    <v>9</v>
  </rv>
  <rv s="0">
    <fb>105.482172148839</fb>
    <v>31</v>
  </rv>
  <rv s="0">
    <fb>4.7697368421052103E-3</fb>
    <v>28</v>
  </rv>
  <rv s="0">
    <fb>7819.7146359093604</fb>
    <v>9</v>
  </rv>
  <rv s="0">
    <fb>1.42</fb>
    <v>29</v>
  </rv>
  <rv s="0">
    <fb>0.68456222269653788</fb>
    <v>28</v>
  </rv>
  <rv s="0">
    <fb>93.026455107462894</fb>
    <v>34</v>
  </rv>
  <rv s="0">
    <fb>1.06</fb>
    <v>32</v>
  </rv>
  <rv s="0">
    <fb>5081769542379.7695</fb>
    <v>33</v>
  </rv>
  <rv s="0">
    <fb>0.98799942016601605</fb>
    <v>28</v>
  </rv>
  <rv s="0">
    <fb>0.63237579345703099</fb>
    <v>28</v>
  </rv>
  <rv s="2">
    <v>159</v>
    <v>7</v>
    <v>759</v>
    <v>7</v>
    <v>0</v>
    <v>Image of Japan</v>
  </rv>
  <rv s="0">
    <fb>1.8</fb>
    <v>34</v>
  </rv>
  <rv s="1">
    <v>805306368</v>
    <v>Naruhito (Emperor)</v>
    <v>35e4e13c-2b05-0c5c-8b77-bb62a3da4162</v>
    <v>en-US</v>
    <v>Generic</v>
  </rv>
  <rv s="1">
    <v>805306368</v>
    <v>Shigeru Ishiba (Prime minister)</v>
    <v>dddb9483-d8cc-cc64-0dc3-9b8261eb78ec</v>
    <v>en-US</v>
    <v>Generic</v>
  </rv>
  <rv s="3">
    <v>340</v>
  </rv>
  <rv s="4">
    <v>https://www.bing.com/search?q=japan&amp;form=skydnc</v>
    <v>Learn more on Bing</v>
  </rv>
  <rv s="0">
    <fb>84.210975609756105</fb>
    <v>34</v>
  </rv>
  <rv s="0">
    <fb>6191073290000</fb>
    <v>33</v>
  </rv>
  <rv s="0">
    <fb>6.77</fb>
    <v>32</v>
  </rv>
  <rv s="3">
    <v>341</v>
  </rv>
  <rv s="0">
    <fb>0.13097521000000001</fb>
    <v>28</v>
  </rv>
  <rv s="0">
    <fb>2.4115000000000002</fb>
    <v>29</v>
  </rv>
  <rv s="0">
    <fb>125124989</fb>
    <v>9</v>
  </rv>
  <rv s="0">
    <fb>0.61726001739502001</fb>
    <v>28</v>
  </rv>
  <rv s="1">
    <v>536870912</v>
    <v>Aichi Prefecture</v>
    <v>404b15c4-d9ae-5896-6d50-b1481f5dd5cd</v>
    <v>en-US</v>
    <v>Map</v>
  </rv>
  <rv s="1">
    <v>536870912</v>
    <v>Akita Prefecture</v>
    <v>23901f9e-0010-b10e-217f-76889688c150</v>
    <v>en-US</v>
    <v>Map</v>
  </rv>
  <rv s="1">
    <v>536870912</v>
    <v>Aomori Prefecture</v>
    <v>bdd4a43f-5a1f-1483-b74b-1c2e2d564a31</v>
    <v>en-US</v>
    <v>Map</v>
  </rv>
  <rv s="1">
    <v>536870912</v>
    <v>Chiba Prefecture</v>
    <v>0d6c59a9-daa8-57c7-3846-568b398d3c41</v>
    <v>en-US</v>
    <v>Map</v>
  </rv>
  <rv s="1">
    <v>536870912</v>
    <v>Fukui Prefecture</v>
    <v>e859104b-0d73-b8bf-c4f4-56888a2281cd</v>
    <v>en-US</v>
    <v>Map</v>
  </rv>
  <rv s="1">
    <v>536870912</v>
    <v>Fukushima Prefecture</v>
    <v>73791ec1-3b90-e21b-3cc7-0e8444934877</v>
    <v>en-US</v>
    <v>Map</v>
  </rv>
  <rv s="1">
    <v>536870912</v>
    <v>Gunma Prefecture</v>
    <v>b64077a0-378d-c23f-b45c-2b3a03cba119</v>
    <v>en-US</v>
    <v>Map</v>
  </rv>
  <rv s="1">
    <v>536870912</v>
    <v>Ibaraki Prefecture</v>
    <v>d16517c8-96b5-094f-f4ce-4aa391d6c7a2</v>
    <v>en-US</v>
    <v>Map</v>
  </rv>
  <rv s="1">
    <v>536870912</v>
    <v>Iwate Prefecture</v>
    <v>02eea5a7-6ae7-8bf6-a17a-c242b4162121</v>
    <v>en-US</v>
    <v>Map</v>
  </rv>
  <rv s="1">
    <v>536870912</v>
    <v>Miyagi Prefecture</v>
    <v>2df5e06d-7fb5-6da7-5d3b-29b4ff80395e</v>
    <v>en-US</v>
    <v>Map</v>
  </rv>
  <rv s="1">
    <v>536870912</v>
    <v>Saitama Prefecture</v>
    <v>03a81bc6-6fd0-fac9-0958-cd81fcf07a35</v>
    <v>en-US</v>
    <v>Map</v>
  </rv>
  <rv s="1">
    <v>536870912</v>
    <v>Tochigi Prefecture</v>
    <v>faae3362-0727-4ec5-6d01-3048e7e1526c</v>
    <v>en-US</v>
    <v>Map</v>
  </rv>
  <rv s="1">
    <v>536870912</v>
    <v>Kanagawa Prefecture</v>
    <v>d5976989-847c-bcca-3cb3-11bfacc55c5d</v>
    <v>en-US</v>
    <v>Map</v>
  </rv>
  <rv s="1">
    <v>536870912</v>
    <v>Niigata Prefecture</v>
    <v>d88c2b16-14cc-3861-9ddc-31ebd94b17d9</v>
    <v>en-US</v>
    <v>Map</v>
  </rv>
  <rv s="1">
    <v>536870912</v>
    <v>Toyama Prefecture</v>
    <v>3fd9a341-4706-cc8a-3953-779219c2cc10</v>
    <v>en-US</v>
    <v>Map</v>
  </rv>
  <rv s="1">
    <v>536870912</v>
    <v>Ishikawa Prefecture</v>
    <v>db2b14c2-e9db-32f7-5d44-025637689af0</v>
    <v>en-US</v>
    <v>Map</v>
  </rv>
  <rv s="1">
    <v>536870912</v>
    <v>Yamagata Prefecture</v>
    <v>74d18529-a623-a2f9-9e38-40891e57c7d8</v>
    <v>en-US</v>
    <v>Map</v>
  </rv>
  <rv s="1">
    <v>536870912</v>
    <v>Yamanashi Prefecture</v>
    <v>3e9e0d88-33e9-a04d-7fd7-a1679da279b5</v>
    <v>en-US</v>
    <v>Map</v>
  </rv>
  <rv s="1">
    <v>536870912</v>
    <v>Nagano Prefecture</v>
    <v>7afcd7d0-3729-6e2f-d60f-ace5cc191bd0</v>
    <v>en-US</v>
    <v>Map</v>
  </rv>
  <rv s="1">
    <v>536870912</v>
    <v>Gifu Prefecture</v>
    <v>2c82ed6b-33c4-4355-bd09-71939ba5ff4a</v>
    <v>en-US</v>
    <v>Map</v>
  </rv>
  <rv s="1">
    <v>536870912</v>
    <v>Shizuoka Prefecture</v>
    <v>ca8ec756-8a3c-20a2-7e11-d24e284b7258</v>
    <v>en-US</v>
    <v>Map</v>
  </rv>
  <rv s="1">
    <v>536870912</v>
    <v>Mie Prefecture</v>
    <v>36b5c190-9782-f717-071c-66ee3f0eab90</v>
    <v>en-US</v>
    <v>Map</v>
  </rv>
  <rv s="1">
    <v>536870912</v>
    <v>Shiga Prefecture</v>
    <v>a778bb7c-b03b-d571-1839-962c4dea2bb2</v>
    <v>en-US</v>
    <v>Map</v>
  </rv>
  <rv s="1">
    <v>536870912</v>
    <v>Kyoto Prefecture</v>
    <v>699d1960-1267-7c97-6c62-e139537430a0</v>
    <v>en-US</v>
    <v>Map</v>
  </rv>
  <rv s="1">
    <v>536870912</v>
    <v>Osaka Prefecture</v>
    <v>a583e9fe-2d16-b004-281e-4c6841471145</v>
    <v>en-US</v>
    <v>Map</v>
  </rv>
  <rv s="1">
    <v>536870912</v>
    <v>Hyōgo Prefecture</v>
    <v>018712db-aec7-3894-1042-cbf5df14fac5</v>
    <v>en-US</v>
    <v>Map</v>
  </rv>
  <rv s="1">
    <v>536870912</v>
    <v>Nara Prefecture</v>
    <v>99c4ba8c-9fb8-efe8-6368-0eb648372fb2</v>
    <v>en-US</v>
    <v>Map</v>
  </rv>
  <rv s="1">
    <v>536870912</v>
    <v>Wakayama Prefecture</v>
    <v>fa064941-15ba-eb91-63a1-7e13f0aaa879</v>
    <v>en-US</v>
    <v>Map</v>
  </rv>
  <rv s="1">
    <v>536870912</v>
    <v>Tottori Prefecture</v>
    <v>5bfbddb8-df0b-1d9c-3772-363d9be5878a</v>
    <v>en-US</v>
    <v>Map</v>
  </rv>
  <rv s="1">
    <v>536870912</v>
    <v>Shimane Prefecture</v>
    <v>580cd2e8-a550-7297-21b8-252fe27c1650</v>
    <v>en-US</v>
    <v>Map</v>
  </rv>
  <rv s="1">
    <v>536870912</v>
    <v>Okayama Prefecture</v>
    <v>e9792cdf-f004-a2bf-db55-28eabec2a7c0</v>
    <v>en-US</v>
    <v>Map</v>
  </rv>
  <rv s="1">
    <v>536870912</v>
    <v>Hiroshima Prefecture</v>
    <v>75de6a1b-763c-40ed-8e98-60dc318775fc</v>
    <v>en-US</v>
    <v>Map</v>
  </rv>
  <rv s="1">
    <v>536870912</v>
    <v>Yamaguchi Prefecture</v>
    <v>8a70f93f-b3cb-6430-8962-9b62c21575f3</v>
    <v>en-US</v>
    <v>Map</v>
  </rv>
  <rv s="1">
    <v>536870912</v>
    <v>Tokushima Prefecture</v>
    <v>90ca77f2-2c01-cf7e-fb1e-58a68f9fc0bf</v>
    <v>en-US</v>
    <v>Map</v>
  </rv>
  <rv s="1">
    <v>536870912</v>
    <v>Kagawa Prefecture</v>
    <v>bdd9ba22-f775-2984-6115-5438af268070</v>
    <v>en-US</v>
    <v>Map</v>
  </rv>
  <rv s="1">
    <v>536870912</v>
    <v>Ehime Prefecture</v>
    <v>0e0b1bbf-5926-d5dc-0e10-24f8c566ca8c</v>
    <v>en-US</v>
    <v>Map</v>
  </rv>
  <rv s="1">
    <v>536870912</v>
    <v>Kōchi Prefecture</v>
    <v>3fcb8073-d695-79de-cd11-91dc78fb0481</v>
    <v>en-US</v>
    <v>Map</v>
  </rv>
  <rv s="1">
    <v>536870912</v>
    <v>Fukuoka Prefecture</v>
    <v>a58bcb0e-97b3-0ac9-f0c0-e119441e5cba</v>
    <v>en-US</v>
    <v>Map</v>
  </rv>
  <rv s="1">
    <v>536870912</v>
    <v>Nagasaki Prefecture</v>
    <v>8caf62a2-006c-dde2-9c4d-e19d90ff2f0e</v>
    <v>en-US</v>
    <v>Map</v>
  </rv>
  <rv s="1">
    <v>536870912</v>
    <v>Kumamoto Prefecture</v>
    <v>52bcf337-792b-3880-8875-847fe25699df</v>
    <v>en-US</v>
    <v>Map</v>
  </rv>
  <rv s="1">
    <v>536870912</v>
    <v>Ōita Prefecture</v>
    <v>c81f03fa-05e5-d708-3db6-3b6d5ed92f67</v>
    <v>en-US</v>
    <v>Map</v>
  </rv>
  <rv s="1">
    <v>536870912</v>
    <v>Miyazaki Prefecture</v>
    <v>3bb91686-f345-53cf-6fb8-97d98890dc7d</v>
    <v>en-US</v>
    <v>Map</v>
  </rv>
  <rv s="1">
    <v>536870912</v>
    <v>Kagoshima Prefecture</v>
    <v>c3e1f2d9-0225-9e77-d77d-952bbf72ceb7</v>
    <v>en-US</v>
    <v>Map</v>
  </rv>
  <rv s="1">
    <v>536870912</v>
    <v>Okinawa Prefecture</v>
    <v>e26094bf-30f4-9d5e-ed21-f166be1cfad3</v>
    <v>en-US</v>
    <v>Map</v>
  </rv>
  <rv s="1">
    <v>536870912</v>
    <v>Saga Prefecture</v>
    <v>171c9320-6b1a-2ebc-2002-85b3d707f979</v>
    <v>en-US</v>
    <v>Map</v>
  </rv>
  <rv s="3">
    <v>342</v>
  </rv>
  <rv s="0">
    <fb>0.11905933830538</fb>
    <v>28</v>
  </rv>
  <rv s="0">
    <fb>0.46700000000000003</fb>
    <v>28</v>
  </rv>
  <rv s="0">
    <fb>2.2909998893737803E-2</fb>
    <v>35</v>
  </rv>
  <rv s="0">
    <fb>115782416</fb>
    <v>9</v>
  </rv>
  <rv s="9">
    <v>#VALUE!</v>
    <v>en-US</v>
    <v>130d0438-fafb-cd2d-1a9e-1dd9c5aa87a9</v>
    <v>536870912</v>
    <v>1</v>
    <v>762</v>
    <v>55</v>
    <v>Japan</v>
    <v>5</v>
    <v>6</v>
    <v>Map</v>
    <v>7</v>
    <v>763</v>
    <v>JP</v>
    <v>4830</v>
    <v>4831</v>
    <v>4832</v>
    <v>4833</v>
    <v>4834</v>
    <v>4818</v>
    <v>4835</v>
    <v>4836</v>
    <v>4837</v>
    <v>JPY</v>
    <v>Japan is an island country in East Asia. Located in the Pacific Ocean off the northeast coast of the Asian mainland, it is bordered on the west by the Sea of Japan and extends from the Sea of Okhotsk in the north to the East China Sea in the ...</v>
    <v>4838</v>
    <v>4839</v>
    <v>4840</v>
    <v>4841</v>
    <v>4842</v>
    <v>4843</v>
    <v>4844</v>
    <v>4845</v>
    <v>4846</v>
    <v>4847</v>
    <v>4818</v>
    <v>4850</v>
    <v>4851</v>
    <v>4852</v>
    <v>4853</v>
    <v>440</v>
    <v>4854</v>
    <v>Japan</v>
    <v>Kimigayo</v>
    <v>4855</v>
    <v>日本国</v>
    <v>4856</v>
    <v>4857</v>
    <v>4858</v>
    <v>4506</v>
    <v>4140</v>
    <v>3974</v>
    <v>1417</v>
    <v>387</v>
    <v>3141</v>
    <v>730</v>
    <v>4859</v>
    <v>4905</v>
    <v>4906</v>
    <v>4828</v>
    <v>4907</v>
    <v>4908</v>
    <v>Japan</v>
    <v>4909</v>
    <v>mdp/vdpid/122</v>
  </rv>
  <rv s="1">
    <v>536870912</v>
    <v>Amman</v>
    <v>05e784b3-b37b-bbfa-61a2-51fd431de2b9</v>
    <v>en-US</v>
    <v>Map</v>
  </rv>
  <rv s="1">
    <v>536870912</v>
    <v>Amman Governorate</v>
    <v>316ce6a3-9974-fe7d-c3ea-cbab3a103f87</v>
    <v>en-US</v>
    <v>Map</v>
  </rv>
  <rv s="0">
    <fb>1680</fb>
    <v>9</v>
  </rv>
  <rv s="1">
    <v>536870912</v>
    <v>Jordan</v>
    <v>111b516f-9a1d-0733-ed2d-cb194484fa44</v>
    <v>en-US</v>
    <v>Map</v>
  </rv>
  <rv s="2">
    <v>160</v>
    <v>7</v>
    <v>764</v>
    <v>7</v>
    <v>0</v>
    <v>Image of Amman</v>
  </rv>
  <rv s="0">
    <fb>31.95</fb>
    <v>0</v>
  </rv>
  <rv s="1">
    <v>805306368</v>
    <v>Yousef Shawarbeh (Mayor)</v>
    <v>044baef2-7636-0ea5-a610-c94b1d11046d</v>
    <v>en-US</v>
    <v>Generic</v>
  </rv>
  <rv s="3">
    <v>343</v>
  </rv>
  <rv s="4">
    <v>https://www.bing.com/search?q=amman&amp;form=skydnc</v>
    <v>Learn more on Bing</v>
  </rv>
  <rv s="0">
    <fb>35.933333333333003</fb>
    <v>0</v>
  </rv>
  <rv s="0">
    <fb>4007526</fb>
    <v>9</v>
  </rv>
  <rv s="7">
    <v>#VALUE!</v>
    <v>en-US</v>
    <v>05e784b3-b37b-bbfa-61a2-51fd431de2b9</v>
    <v>536870912</v>
    <v>1</v>
    <v>765</v>
    <v>38</v>
    <v>Amman</v>
    <v>5</v>
    <v>6</v>
    <v>Map</v>
    <v>7</v>
    <v>253</v>
    <v>4912</v>
    <v>4913</v>
    <v>4914</v>
    <v>Amman is the capital and the largest city of Jordan, and the country's economic, political, and cultural center. With a population of four million as of 2021, Amman is Jordan's primate city and is the largest city in the Levant region, the ...</v>
    <v>4915</v>
    <v>4916</v>
    <v>4918</v>
    <v>4919</v>
    <v>4920</v>
    <v>Amman</v>
    <v>4921</v>
    <v>3942</v>
    <v>Amman</v>
    <v>mdp/vdpid/7269292202004578305</v>
  </rv>
  <rv s="0">
    <fb>0.120067578388995</fb>
    <v>28</v>
  </rv>
  <rv s="0">
    <fb>89341</fb>
    <v>9</v>
  </rv>
  <rv s="0">
    <fb>116000</fb>
    <v>9</v>
  </rv>
  <rv s="0">
    <fb>21.978999999999999</fb>
    <v>29</v>
  </rv>
  <rv s="0">
    <fb>962</fb>
    <v>30</v>
  </rv>
  <rv s="0">
    <fb>25107.949000000001</fb>
    <v>9</v>
  </rv>
  <rv s="0">
    <fb>125.604002606804</fb>
    <v>31</v>
  </rv>
  <rv s="0">
    <fb>7.6151404726551297E-3</fb>
    <v>28</v>
  </rv>
  <rv s="0">
    <fb>1864.67585548017</fb>
    <v>9</v>
  </rv>
  <rv s="0">
    <fb>2.7610000000000001</fb>
    <v>29</v>
  </rv>
  <rv s="0">
    <fb>1.09822031989187E-2</fb>
    <v>28</v>
  </rv>
  <rv s="0">
    <fb>97.608446650523305</fb>
    <v>34</v>
  </rv>
  <rv s="0">
    <fb>43743661971.831001</fb>
    <v>33</v>
  </rv>
  <rv s="0">
    <fb>0.81458900000000001</fb>
    <v>28</v>
  </rv>
  <rv s="0">
    <fb>0.34415319999999999</fb>
    <v>28</v>
  </rv>
  <rv s="2">
    <v>161</v>
    <v>7</v>
    <v>767</v>
    <v>7</v>
    <v>0</v>
    <v>Image of Jordan</v>
  </rv>
  <rv s="0">
    <fb>13.9</fb>
    <v>34</v>
  </rv>
  <rv s="1">
    <v>805306368</v>
    <v>Abdullah II of Jordan (Monarch)</v>
    <v>08352409-46f2-f145-9cc9-f6ff3033fa78</v>
    <v>en-US</v>
    <v>Generic</v>
  </rv>
  <rv s="1">
    <v>805306368</v>
    <v>Jafar Hassan (Prime minister)</v>
    <v>f5f0ae5f-df70-01e0-5184-778281e00545</v>
    <v>en-US</v>
    <v>Generic</v>
  </rv>
  <rv s="3">
    <v>344</v>
  </rv>
  <rv s="4">
    <v>https://www.bing.com/search?q=jordan+country&amp;form=skydnc</v>
    <v>Learn more on Bing</v>
  </rv>
  <rv s="0">
    <fb>74.405000000000001</fb>
    <v>34</v>
  </rv>
  <rv s="0">
    <fb>21036390000</fb>
    <v>33</v>
  </rv>
  <rv s="0">
    <fb>0.25149342889999998</fb>
    <v>28</v>
  </rv>
  <rv s="0">
    <fb>2.3237000000000001</fb>
    <v>29</v>
  </rv>
  <rv s="0">
    <fb>11285869</fb>
    <v>9</v>
  </rv>
  <rv s="0">
    <fb>3.5000000000000003E-2</fb>
    <v>28</v>
  </rv>
  <rv s="0">
    <fb>0.158</fb>
    <v>28</v>
  </rv>
  <rv s="0">
    <fb>0.39305000305175802</fb>
    <v>28</v>
  </rv>
  <rv s="1">
    <v>536870912</v>
    <v>Ajloun Governorate</v>
    <v>80aa29e0-a467-2645-06bb-30b680e66a6a</v>
    <v>en-US</v>
    <v>Map</v>
  </rv>
  <rv s="1">
    <v>536870912</v>
    <v>Aqaba Governorate</v>
    <v>cfc71b48-beb2-d58b-3741-0902cab49a9b</v>
    <v>en-US</v>
    <v>Map</v>
  </rv>
  <rv s="1">
    <v>536870912</v>
    <v>Balqa Governorate</v>
    <v>77da87d8-9e91-1a7b-7985-fa13cd1a5016</v>
    <v>en-US</v>
    <v>Map</v>
  </rv>
  <rv s="1">
    <v>536870912</v>
    <v>Irbid Governorate</v>
    <v>443bda08-543e-7676-e8a0-49a119dc4edd</v>
    <v>en-US</v>
    <v>Map</v>
  </rv>
  <rv s="1">
    <v>536870912</v>
    <v>Jerash Governorate</v>
    <v>8946c6bd-34ea-4f44-7634-39fd4744719d</v>
    <v>en-US</v>
    <v>Map</v>
  </rv>
  <rv s="1">
    <v>536870912</v>
    <v>Karak Governorate</v>
    <v>c9560074-620a-5bb7-6588-1f9b2354692e</v>
    <v>en-US</v>
    <v>Map</v>
  </rv>
  <rv s="1">
    <v>536870912</v>
    <v>Ma'an Governorate</v>
    <v>5b78b9c7-3924-d034-8b7f-ce578636d44a</v>
    <v>en-US</v>
    <v>Map</v>
  </rv>
  <rv s="1">
    <v>536870912</v>
    <v>Madaba Governorate</v>
    <v>1571af9a-c3c5-829f-3234-209fa1eecd52</v>
    <v>en-US</v>
    <v>Map</v>
  </rv>
  <rv s="1">
    <v>536870912</v>
    <v>Mafraq Governorate</v>
    <v>da0f3d2e-6311-b96f-091f-8a4643549026</v>
    <v>en-US</v>
    <v>Map</v>
  </rv>
  <rv s="1">
    <v>536870912</v>
    <v>Tafilah Governorate</v>
    <v>c3e27c26-b0ca-d509-af99-caba76ee09bd</v>
    <v>en-US</v>
    <v>Map</v>
  </rv>
  <rv s="1">
    <v>536870912</v>
    <v>Zarqa Governorate</v>
    <v>e4bc1864-3f32-f31a-886a-4996d6cf3d05</v>
    <v>en-US</v>
    <v>Map</v>
  </rv>
  <rv s="3">
    <v>345</v>
  </rv>
  <rv s="0">
    <fb>0.15126289761747999</fb>
    <v>28</v>
  </rv>
  <rv s="0">
    <fb>0.28600000000000003</fb>
    <v>28</v>
  </rv>
  <rv s="0">
    <fb>0.14715000152587898</fb>
    <v>35</v>
  </rv>
  <rv s="0">
    <fb>9213048</fb>
    <v>9</v>
  </rv>
  <rv s="9">
    <v>#VALUE!</v>
    <v>en-US</v>
    <v>111b516f-9a1d-0733-ed2d-cb194484fa44</v>
    <v>536870912</v>
    <v>1</v>
    <v>770</v>
    <v>55</v>
    <v>Jordan</v>
    <v>5</v>
    <v>6</v>
    <v>Map</v>
    <v>7</v>
    <v>771</v>
    <v>JO</v>
    <v>4923</v>
    <v>4924</v>
    <v>4925</v>
    <v>4926</v>
    <v>4927</v>
    <v>4911</v>
    <v>4928</v>
    <v>4929</v>
    <v>4930</v>
    <v>JOD</v>
    <v>Jordan, officially the Hashemite Kingdom of Jordan, is a country in the Southern Levant region of West Asia. Jordan is bordered by Syria to the north, Iraq to the east, Saudi Arabia to the south, and Israel and the occupied Palestinian ...</v>
    <v>4931</v>
    <v>4932</v>
    <v>4933</v>
    <v>4934</v>
    <v>490</v>
    <v>4935</v>
    <v>4936</v>
    <v>4937</v>
    <v>4938</v>
    <v>4939</v>
    <v>4911</v>
    <v>4942</v>
    <v>4943</v>
    <v>4944</v>
    <v>4945</v>
    <v>3211</v>
    <v>1046</v>
    <v>Jordan</v>
    <v>Royal Jordanian Anthem</v>
    <v>3133</v>
    <v>المملكة الأردنية الهاشمية</v>
    <v>4946</v>
    <v>4947</v>
    <v>4948</v>
    <v>2825</v>
    <v>3790</v>
    <v>1164</v>
    <v>4949</v>
    <v>2470</v>
    <v>3331</v>
    <v>4950</v>
    <v>4951</v>
    <v>4963</v>
    <v>4964</v>
    <v>2730</v>
    <v>4965</v>
    <v>4966</v>
    <v>Jordan</v>
    <v>4967</v>
    <v>mdp/vdpid/126</v>
  </rv>
  <rv s="1">
    <v>536870912</v>
    <v>Astana</v>
    <v>d441165c-641c-f1c1-05d9-ee7ee06c2f67</v>
    <v>en-US</v>
    <v>Map</v>
  </rv>
  <rv s="0">
    <fb>797.33</fb>
    <v>9</v>
  </rv>
  <rv s="1">
    <v>536870912</v>
    <v>Russian Empire</v>
    <v>0fc8a0fa-4475-832b-ffd4-92a13b8c289c</v>
    <v>en-US</v>
    <v>Map</v>
  </rv>
  <rv s="2">
    <v>162</v>
    <v>7</v>
    <v>772</v>
    <v>7</v>
    <v>0</v>
    <v>Image of Astana</v>
  </rv>
  <rv s="4">
    <v>https://www.bing.com/search?q=astana&amp;form=skydnc</v>
    <v>Learn more on Bing</v>
  </rv>
  <rv s="3">
    <v>346</v>
  </rv>
  <rv s="0">
    <fb>1239744</fb>
    <v>9</v>
  </rv>
  <rv s="60">
    <v>#VALUE!</v>
    <v>en-US</v>
    <v>d441165c-641c-f1c1-05d9-ee7ee06c2f67</v>
    <v>536870912</v>
    <v>1</v>
    <v>773</v>
    <v>774</v>
    <v>Astana</v>
    <v>5</v>
    <v>6</v>
    <v>Map</v>
    <v>7</v>
    <v>61</v>
    <v>4970</v>
    <v>4971</v>
    <v>Astana, formerly known as Nur-Sultan is the capital city of Kazakhstan. The city lies on the banks of the Ishim River in the north-central part of Kazakhstan, within the Akmola Region, though administered as a city with special status separately ...</v>
    <v>4972</v>
    <v>4973</v>
    <v>Astana</v>
    <v>4974</v>
    <v>4975</v>
    <v>Astana</v>
    <v>mdp/vdpid/7189824936460943361</v>
  </rv>
  <rv s="1">
    <v>536870912</v>
    <v>Nairobi</v>
    <v>df1ed42e-a684-844f-342a-4e9bec9a3e99</v>
    <v>en-US</v>
    <v>Map</v>
  </rv>
  <rv s="1">
    <v>536870912</v>
    <v>Nairobi City County</v>
    <v>5f5f4291-8c2a-dd93-a743-7cd01a7277d4</v>
    <v>en-US</v>
    <v>Map</v>
  </rv>
  <rv s="0">
    <fb>696</fb>
    <v>9</v>
  </rv>
  <rv s="1">
    <v>536870912</v>
    <v>Kenya</v>
    <v>8ee43333-b344-289c-d8b1-5abf5e6a5995</v>
    <v>en-US</v>
    <v>Map</v>
  </rv>
  <rv s="2">
    <v>163</v>
    <v>7</v>
    <v>775</v>
    <v>7</v>
    <v>0</v>
    <v>Image of Nairobi</v>
  </rv>
  <rv s="0">
    <fb>-1.2863888888888999</fb>
    <v>0</v>
  </rv>
  <rv s="1">
    <v>805306368</v>
    <v>Johnson Sakaja (Governor)</v>
    <v>49ea9ee4-d456-7d07-b010-13d7485b62e8</v>
    <v>en-US</v>
    <v>Generic</v>
  </rv>
  <rv s="3">
    <v>347</v>
  </rv>
  <rv s="4">
    <v>https://www.bing.com/search?q=nairobi&amp;form=skydnc</v>
    <v>Learn more on Bing</v>
  </rv>
  <rv s="0">
    <fb>36.817222222222</fb>
    <v>0</v>
  </rv>
  <rv s="0">
    <fb>4828000</fb>
    <v>9</v>
  </rv>
  <rv s="5">
    <v>#VALUE!</v>
    <v>en-US</v>
    <v>df1ed42e-a684-844f-342a-4e9bec9a3e99</v>
    <v>536870912</v>
    <v>1</v>
    <v>776</v>
    <v>3</v>
    <v>Nairobi</v>
    <v>5</v>
    <v>6</v>
    <v>Map</v>
    <v>7</v>
    <v>169</v>
    <v>4978</v>
    <v>4978</v>
    <v>4979</v>
    <v>4980</v>
    <v>Nairobi is the capital and largest city of Kenya. The name is derived from the Maasai phrase Enkare Nairobi, which translates to 'place of cool waters', a reference to the Nairobi River which flows through the city. The city proper had a ...</v>
    <v>4981</v>
    <v>4982</v>
    <v>4984</v>
    <v>4985</v>
    <v>4986</v>
    <v>Nairobi</v>
    <v>4987</v>
    <v>1020</v>
    <v>Nairobi</v>
    <v>mdp/vdpid/8116144502579658754</v>
  </rv>
  <rv s="0">
    <fb>0.48546930456478199</fb>
    <v>28</v>
  </rv>
  <rv s="0">
    <fb>581309</fb>
    <v>9</v>
  </rv>
  <rv s="0">
    <fb>29000</fb>
    <v>9</v>
  </rv>
  <rv s="0">
    <fb>28.748000000000001</fb>
    <v>29</v>
  </rv>
  <rv s="0">
    <fb>254</fb>
    <v>30</v>
  </rv>
  <rv s="0">
    <fb>17909.628000000001</fb>
    <v>9</v>
  </rv>
  <rv s="0">
    <fb>180.514812183022</fb>
    <v>31</v>
  </rv>
  <rv s="0">
    <fb>4.6898197612985901E-2</fb>
    <v>28</v>
  </rv>
  <rv s="0">
    <fb>164.32554865493401</fb>
    <v>9</v>
  </rv>
  <rv s="0">
    <fb>3.492</fb>
    <v>29</v>
  </rv>
  <rv s="0">
    <fb>7.8181117082901402E-2</fb>
    <v>28</v>
  </rv>
  <rv s="0">
    <fb>17.379572611489198</fb>
    <v>34</v>
  </rv>
  <rv s="0">
    <fb>95503088538.091995</fb>
    <v>33</v>
  </rv>
  <rv s="0">
    <fb>1.0320534000000001</fb>
    <v>28</v>
  </rv>
  <rv s="0">
    <fb>0.1146471</fb>
    <v>28</v>
  </rv>
  <rv s="2">
    <v>164</v>
    <v>7</v>
    <v>778</v>
    <v>7</v>
    <v>0</v>
    <v>Image of Kenya</v>
  </rv>
  <rv s="0">
    <fb>30.6</fb>
    <v>34</v>
  </rv>
  <rv s="1">
    <v>805306368</v>
    <v>William Ruto (President)</v>
    <v>b3c9a399-aea6-7619-5ed8-960e4ae2e69f</v>
    <v>en-US</v>
    <v>Generic</v>
  </rv>
  <rv s="1">
    <v>805306368</v>
    <v>Martha Koome (Chief justice)</v>
    <v>1ce8d031-adcc-e20b-6496-4cf0590a125a</v>
    <v>en-US</v>
    <v>Generic</v>
  </rv>
  <rv s="3">
    <v>348</v>
  </rv>
  <rv s="4">
    <v>https://www.bing.com/search?q=kenya&amp;form=skydnc</v>
    <v>Learn more on Bing</v>
  </rv>
  <rv s="0">
    <fb>66.341999999999999</fb>
    <v>34</v>
  </rv>
  <rv s="0">
    <fb>25061520000</fb>
    <v>33</v>
  </rv>
  <rv s="0">
    <fb>342</fb>
    <v>34</v>
  </rv>
  <rv s="3">
    <v>349</v>
  </rv>
  <rv s="0">
    <fb>0.33366441450000006</fb>
    <v>28</v>
  </rv>
  <rv s="0">
    <fb>0.1565</fb>
    <v>29</v>
  </rv>
  <rv s="0">
    <fb>54027487</fb>
    <v>9</v>
  </rv>
  <rv s="0">
    <fb>0.316</fb>
    <v>28</v>
  </rv>
  <rv s="0">
    <fb>0.47499999999999998</fb>
    <v>28</v>
  </rv>
  <rv s="0">
    <fb>0.74695999145507797</fb>
    <v>28</v>
  </rv>
  <rv s="1">
    <v>536870912</v>
    <v>Western Province</v>
    <v>8c1c2ae8-b1e8-2829-3d4f-0bc9e6eb18d6</v>
    <v>en-US</v>
    <v>Map</v>
  </rv>
  <rv s="3">
    <v>350</v>
  </rv>
  <rv s="0">
    <fb>0.15085141819362599</fb>
    <v>28</v>
  </rv>
  <rv s="3">
    <v>351</v>
  </rv>
  <rv s="0">
    <fb>2.64199995994568E-2</fb>
    <v>35</v>
  </rv>
  <rv s="0">
    <fb>14461523</fb>
    <v>9</v>
  </rv>
  <rv s="9">
    <v>#VALUE!</v>
    <v>en-US</v>
    <v>8ee43333-b344-289c-d8b1-5abf5e6a5995</v>
    <v>536870912</v>
    <v>1</v>
    <v>781</v>
    <v>55</v>
    <v>Kenya</v>
    <v>5</v>
    <v>6</v>
    <v>Map</v>
    <v>7</v>
    <v>782</v>
    <v>KE</v>
    <v>4989</v>
    <v>4990</v>
    <v>4991</v>
    <v>4992</v>
    <v>4993</v>
    <v>4977</v>
    <v>4994</v>
    <v>4995</v>
    <v>4996</v>
    <v>KES</v>
    <v>Kenya, officially the Republic of Kenya, is a country in East Africa. With an estimated population of more than 52.4 million as of mid-2024, Kenya is the 27th-most-populous country in the world and 7th most populous in Africa. Kenya's capital ...</v>
    <v>4997</v>
    <v>4998</v>
    <v>4999</v>
    <v>5000</v>
    <v>235</v>
    <v>5001</v>
    <v>5002</v>
    <v>5003</v>
    <v>5004</v>
    <v>5005</v>
    <v>4977</v>
    <v>5008</v>
    <v>5009</v>
    <v>5010</v>
    <v>5011</v>
    <v>5012</v>
    <v>4290</v>
    <v>Kenya</v>
    <v>Ee Mungu Nguvu Yetu</v>
    <v>5013</v>
    <v>Republic of Kenya</v>
    <v>5014</v>
    <v>5015</v>
    <v>5016</v>
    <v>2825</v>
    <v>5017</v>
    <v>5018</v>
    <v>2013</v>
    <v>3218</v>
    <v>4296</v>
    <v>2587</v>
    <v>5019</v>
    <v>5021</v>
    <v>5022</v>
    <v>5023</v>
    <v>242</v>
    <v>5024</v>
    <v>Kenya</v>
    <v>5025</v>
    <v>mdp/vdpid/129</v>
  </rv>
  <rv s="61">
    <v>9</v>
    <v>6</v>
  </rv>
  <rv s="1">
    <v>536870912</v>
    <v>Kuwait City</v>
    <v>7bfd3d22-1a12-c33b-79ac-69c6e5412bfe</v>
    <v>en-US</v>
    <v>Map</v>
  </rv>
  <rv s="0">
    <fb>200</fb>
    <v>9</v>
  </rv>
  <rv s="1">
    <v>536870912</v>
    <v>Kuwait</v>
    <v>75e8432f-5ecb-30f2-cbcb-664d801e3c97</v>
    <v>en-US</v>
    <v>Map</v>
  </rv>
  <rv s="2">
    <v>165</v>
    <v>7</v>
    <v>784</v>
    <v>7</v>
    <v>0</v>
    <v>Image of Kuwait City</v>
  </rv>
  <rv s="0">
    <fb>29.375</fb>
    <v>0</v>
  </rv>
  <rv s="4">
    <v>https://www.bing.com/search?q=kuwait+city&amp;form=skydnc</v>
    <v>Learn more on Bing</v>
  </rv>
  <rv s="0">
    <fb>47.98</fb>
    <v>0</v>
  </rv>
  <rv s="0">
    <fb>2989000</fb>
    <v>9</v>
  </rv>
  <rv s="19">
    <v>#VALUE!</v>
    <v>en-US</v>
    <v>7bfd3d22-1a12-c33b-79ac-69c6e5412bfe</v>
    <v>536870912</v>
    <v>1</v>
    <v>785</v>
    <v>135</v>
    <v>Kuwait City</v>
    <v>5</v>
    <v>6</v>
    <v>Map</v>
    <v>7</v>
    <v>442</v>
    <v>5029</v>
    <v>5030</v>
    <v>Kuwait City is the capital and largest city of Kuwait. Located at the heart of the country on the south shore of Kuwait Bay on the Persian Gulf, it is the political, cultural and economic center of the emirate, containing Kuwait's Seif Palace, ...</v>
    <v>5031</v>
    <v>5032</v>
    <v>5033</v>
    <v>5034</v>
    <v>Kuwait City</v>
    <v>5035</v>
    <v>1020</v>
    <v>Kuwait City</v>
    <v>mdp/vdpid/7369862916931059714</v>
  </rv>
  <rv s="0">
    <fb>8.4175084175084208E-2</fb>
    <v>28</v>
  </rv>
  <rv s="0">
    <fb>17818</fb>
    <v>9</v>
  </rv>
  <rv s="0">
    <fb>13.939</fb>
    <v>29</v>
  </rv>
  <rv s="0">
    <fb>965</fb>
    <v>30</v>
  </rv>
  <rv s="0">
    <fb>98733.975000000006</fb>
    <v>9</v>
  </rv>
  <rv s="0">
    <fb>126.60151211457401</fb>
    <v>31</v>
  </rv>
  <rv s="0">
    <fb>1.09184802655847E-2</fb>
    <v>28</v>
  </rv>
  <rv s="0">
    <fb>15590.599906473701</fb>
    <v>9</v>
  </rv>
  <rv s="0">
    <fb>2.0819999999999999</fb>
    <v>29</v>
  </rv>
  <rv s="0">
    <fb>3.5072951739618403E-3</fb>
    <v>28</v>
  </rv>
  <rv s="0">
    <fb>93.689889451270702</fb>
    <v>34</v>
  </rv>
  <rv s="0">
    <fb>134761198945.98199</fb>
    <v>33</v>
  </rv>
  <rv s="0">
    <fb>0.9236027</fb>
    <v>28</v>
  </rv>
  <rv s="0">
    <fb>0.54364139999999994</fb>
    <v>28</v>
  </rv>
  <rv s="2">
    <v>166</v>
    <v>7</v>
    <v>787</v>
    <v>7</v>
    <v>0</v>
    <v>Image of Kuwait</v>
  </rv>
  <rv s="0">
    <fb>6.7</fb>
    <v>34</v>
  </rv>
  <rv s="1">
    <v>805306368</v>
    <v>Mishal Al-Ahmad Al-Jaber Al-Sabah (Emir)</v>
    <v>5cff83e0-1c26-2d6c-5a96-4894dce1ddf6</v>
    <v>en-US</v>
    <v>Generic</v>
  </rv>
  <rv s="1">
    <v>805306368</v>
    <v>Ahmad Al-Abdullah Al-Sabah (Prime minister)</v>
    <v>e9db8c04-3e89-ccbb-1bc6-b2931b6dac53</v>
    <v>en-US</v>
    <v>Generic</v>
  </rv>
  <rv s="3">
    <v>352</v>
  </rv>
  <rv s="4">
    <v>https://www.bing.com/search?q=kuwait&amp;form=skydnc</v>
    <v>Learn more on Bing</v>
  </rv>
  <rv s="0">
    <fb>75.397999999999996</fb>
    <v>34</v>
  </rv>
  <rv s="0">
    <fb>107063210000</fb>
    <v>33</v>
  </rv>
  <rv s="0">
    <fb>0.1437861272</fb>
    <v>28</v>
  </rv>
  <rv s="0">
    <fb>2.5789</fb>
    <v>29</v>
  </rv>
  <rv s="0">
    <fb>4268873</fb>
    <v>9</v>
  </rv>
  <rv s="0">
    <fb>0.73492996215820294</fb>
    <v>28</v>
  </rv>
  <rv s="1">
    <v>536870912</v>
    <v>Ahmadi Governorate</v>
    <v>4ad537fa-f18c-1465-8ab5-7cc163f5f02a</v>
    <v>en-US</v>
    <v>Map</v>
  </rv>
  <rv s="1">
    <v>536870912</v>
    <v>Farwaniya Governorate</v>
    <v>134a7968-8176-e583-5183-f839391241eb</v>
    <v>en-US</v>
    <v>Map</v>
  </rv>
  <rv s="1">
    <v>536870912</v>
    <v>Capital Governorate</v>
    <v>af749407-857e-3d6a-64c5-ac8d2c1fe8ce</v>
    <v>en-US</v>
    <v>Map</v>
  </rv>
  <rv s="1">
    <v>536870912</v>
    <v>Jahra Governorate</v>
    <v>a12b1263-57b9-b6a0-8866-9de2a053ea6f</v>
    <v>en-US</v>
    <v>Map</v>
  </rv>
  <rv s="1">
    <v>536870912</v>
    <v>Hawalli Governorate</v>
    <v>cd35a7d9-c1b8-42ec-a6b5-b75e0098ae73</v>
    <v>en-US</v>
    <v>Map</v>
  </rv>
  <rv s="1">
    <v>536870912</v>
    <v>Mubarak Al-Kabeer</v>
    <v>a86d3875-410a-eaaf-d232-4b318b11d64c</v>
    <v>en-US</v>
    <v>Map</v>
  </rv>
  <rv s="3">
    <v>353</v>
  </rv>
  <rv s="0">
    <fb>1.3807787476104701E-2</fb>
    <v>28</v>
  </rv>
  <rv s="0">
    <fb>2.18199992179871E-2</fb>
    <v>35</v>
  </rv>
  <rv s="0">
    <fb>4207083</fb>
    <v>9</v>
  </rv>
  <rv s="62">
    <v>#VALUE!</v>
    <v>en-US</v>
    <v>75e8432f-5ecb-30f2-cbcb-664d801e3c97</v>
    <v>536870912</v>
    <v>1</v>
    <v>790</v>
    <v>791</v>
    <v>Kuwait</v>
    <v>5</v>
    <v>6</v>
    <v>Map</v>
    <v>7</v>
    <v>792</v>
    <v>KW</v>
    <v>5037</v>
    <v>5038</v>
    <v>3518</v>
    <v>5039</v>
    <v>5040</v>
    <v>5028</v>
    <v>5041</v>
    <v>5042</v>
    <v>5043</v>
    <v>KWD</v>
    <v>Kuwait, officially the State of Kuwait, is a country in West Asia and the geopolitical region known as the Middle East. It is situated in the northern edge of the Arabian Peninsula at the head of the Persian Gulf, bordering Iraq to the north and ...</v>
    <v>5044</v>
    <v>5045</v>
    <v>5046</v>
    <v>5047</v>
    <v>1947</v>
    <v>5048</v>
    <v>5049</v>
    <v>5050</v>
    <v>5051</v>
    <v>5052</v>
    <v>5028</v>
    <v>5055</v>
    <v>5056</v>
    <v>5057</v>
    <v>5058</v>
    <v>4410</v>
    <v>235</v>
    <v>Kuwait</v>
    <v>National Anthem of Kuwait</v>
    <v>3133</v>
    <v>Koweït</v>
    <v>5059</v>
    <v>5060</v>
    <v>5061</v>
    <v>5062</v>
    <v>5069</v>
    <v>5070</v>
    <v>1020</v>
    <v>2530</v>
    <v>5071</v>
    <v>Kuwait</v>
    <v>5072</v>
    <v>mdp/vdpid/136</v>
  </rv>
  <rv s="1">
    <v>536870912</v>
    <v>Bishkek</v>
    <v>f744f7c3-1242-c414-8b99-2aaf98f7bddd</v>
    <v>en-US</v>
    <v>Map</v>
  </rv>
  <rv s="0">
    <fb>127</fb>
    <v>9</v>
  </rv>
  <rv s="2">
    <v>167</v>
    <v>7</v>
    <v>793</v>
    <v>7</v>
    <v>0</v>
    <v>Image of Bishkek</v>
  </rv>
  <rv s="1">
    <v>805306368</v>
    <v>Emil Abdykadyrov (Mayor)</v>
    <v>29d6bdae-a165-9dab-9268-e50aad0cfcec</v>
    <v>en-US</v>
    <v>Generic</v>
  </rv>
  <rv s="3">
    <v>354</v>
  </rv>
  <rv s="4">
    <v>https://www.bing.com/search?q=bishkek&amp;form=skydnc</v>
    <v>Learn more on Bing</v>
  </rv>
  <rv s="0">
    <fb>1120827</fb>
    <v>9</v>
  </rv>
  <rv s="30">
    <v>#VALUE!</v>
    <v>en-US</v>
    <v>f744f7c3-1242-c414-8b99-2aaf98f7bddd</v>
    <v>536870912</v>
    <v>1</v>
    <v>795</v>
    <v>294</v>
    <v>Bishkek</v>
    <v>5</v>
    <v>6</v>
    <v>Map</v>
    <v>7</v>
    <v>61</v>
    <v>KG-GB</v>
    <v>5075</v>
    <v>4971</v>
    <v>Bishkek, formerly known as Pishpek and Frunze, is the capital and largest city of Kyrgyzstan. Bishkek is also the administrative centre of the Chüy Region. Bishkek is situated near the border with Kazakhstan and has a population of 1,074,075, as ...</v>
    <v>5076</v>
    <v>5078</v>
    <v>5079</v>
    <v>Bishkek</v>
    <v>5080</v>
    <v>Bishkek</v>
    <v>mdp/vdpid/7388648514047180801</v>
  </rv>
  <rv s="1">
    <v>536870912</v>
    <v>Vientiane</v>
    <v>a5f88abd-8d89-0b82-371a-7b61d0882090</v>
    <v>en-US</v>
    <v>Map</v>
  </rv>
  <rv s="1">
    <v>536870912</v>
    <v>Vientiane Prefecture</v>
    <v>f92d17f7-5728-2af6-1825-f861c3d31771</v>
    <v>en-US</v>
    <v>Map</v>
  </rv>
  <rv s="0">
    <fb>3920</fb>
    <v>9</v>
  </rv>
  <rv s="1">
    <v>536870912</v>
    <v>Laos</v>
    <v>11c0d945-090a-d0d7-d3dc-dc4c96acbd4a</v>
    <v>en-US</v>
    <v>Map</v>
  </rv>
  <rv s="2">
    <v>168</v>
    <v>7</v>
    <v>796</v>
    <v>7</v>
    <v>0</v>
    <v>Image of Vientiane</v>
  </rv>
  <rv s="0">
    <fb>17.98</fb>
    <v>0</v>
  </rv>
  <rv s="1">
    <v>805306368</v>
    <v>Athsphangthong Siphandone (Mayor)</v>
    <v>542d46e8-52e2-5ae5-629c-ab4112505f2b</v>
    <v>en-US</v>
    <v>Generic</v>
  </rv>
  <rv s="3">
    <v>355</v>
  </rv>
  <rv s="4">
    <v>https://www.bing.com/search?q=vientiane&amp;form=skydnc</v>
    <v>Learn more on Bing</v>
  </rv>
  <rv s="0">
    <fb>102.63</fb>
    <v>0</v>
  </rv>
  <rv s="0">
    <fb>840940</fb>
    <v>9</v>
  </rv>
  <rv s="7">
    <v>#VALUE!</v>
    <v>en-US</v>
    <v>a5f88abd-8d89-0b82-371a-7b61d0882090</v>
    <v>536870912</v>
    <v>1</v>
    <v>797</v>
    <v>38</v>
    <v>Vientiane</v>
    <v>5</v>
    <v>6</v>
    <v>Map</v>
    <v>7</v>
    <v>111</v>
    <v>5083</v>
    <v>5084</v>
    <v>5085</v>
    <v>Vientiane is the capital and largest city of Laos. Situated on the banks of the Mekong River at the Thai border, it comprises the five urban districts of Vientiane Prefecture and had a population of 840,000 as of the 2023 Census. Established as ...</v>
    <v>5086</v>
    <v>5087</v>
    <v>5089</v>
    <v>5090</v>
    <v>5091</v>
    <v>Vientiane</v>
    <v>5092</v>
    <v>1907</v>
    <v>Vientiane</v>
    <v>mdp/vdpid/7864745052562522113</v>
  </rv>
  <rv s="0">
    <fb>0.10264298093587501</fb>
    <v>28</v>
  </rv>
  <rv s="0">
    <fb>236800</fb>
    <v>9</v>
  </rv>
  <rv s="0">
    <fb>129000</fb>
    <v>9</v>
  </rv>
  <rv s="0">
    <fb>23.548999999999999</fb>
    <v>29</v>
  </rv>
  <rv s="0">
    <fb>856</fb>
    <v>30</v>
  </rv>
  <rv s="0">
    <fb>17762.948</fb>
    <v>9</v>
  </rv>
  <rv s="0">
    <fb>135.86625228013901</fb>
    <v>31</v>
  </rv>
  <rv s="0">
    <fb>3.3228139373129101E-2</fb>
    <v>28</v>
  </rv>
  <rv s="0">
    <fb>2.6669999999999998</fb>
    <v>29</v>
  </rv>
  <rv s="0">
    <fb>0.82108232574198392</fb>
    <v>28</v>
  </rv>
  <rv s="0">
    <fb>18173839128.269901</fb>
    <v>33</v>
  </rv>
  <rv s="0">
    <fb>1.0236099000000001</fb>
    <v>28</v>
  </rv>
  <rv s="0">
    <fb>0.14966760000000001</fb>
    <v>28</v>
  </rv>
  <rv s="2">
    <v>169</v>
    <v>7</v>
    <v>799</v>
    <v>7</v>
    <v>0</v>
    <v>Image of Laos</v>
  </rv>
  <rv s="0">
    <fb>37.6</fb>
    <v>34</v>
  </rv>
  <rv s="1">
    <v>805306368</v>
    <v>Thongloun Sisoulith (President)</v>
    <v>d8ac4dd9-62ca-eb4c-956a-812171790ca5</v>
    <v>en-US</v>
    <v>Generic</v>
  </rv>
  <rv s="1">
    <v>805306368</v>
    <v>Bounthong Chitmany (Vice president)</v>
    <v>3fe15d3a-c644-dba0-fa1b-4a974d8c81d5</v>
    <v>en-US</v>
    <v>Generic</v>
  </rv>
  <rv s="1">
    <v>805306368</v>
    <v>Pany Yathotou (Vice president)</v>
    <v>c8bbfa89-b21d-076b-bf85-fbb01a34cf27</v>
    <v>en-US</v>
    <v>Generic</v>
  </rv>
  <rv s="1">
    <v>805306368</v>
    <v>Sonexay Siphandone (Prime minister)</v>
    <v>79f542a8-96d0-49b7-d8f3-9d56c9953e9d</v>
    <v>en-US</v>
    <v>Generic</v>
  </rv>
  <rv s="3">
    <v>356</v>
  </rv>
  <rv s="4">
    <v>https://www.bing.com/search?q=laos&amp;form=skydnc</v>
    <v>Learn more on Bing</v>
  </rv>
  <rv s="0">
    <fb>67.61</fb>
    <v>34</v>
  </rv>
  <rv s="0">
    <fb>185</fb>
    <v>34</v>
  </rv>
  <rv s="3">
    <v>357</v>
  </rv>
  <rv s="0">
    <fb>0.45365326220000002</fb>
    <v>28</v>
  </rv>
  <rv s="0">
    <fb>0.37259999999999999</fb>
    <v>29</v>
  </rv>
  <rv s="0">
    <fb>7529475</fb>
    <v>9</v>
  </rv>
  <rv s="0">
    <fb>0.29799999999999999</fb>
    <v>28</v>
  </rv>
  <rv s="0">
    <fb>0.44600000000000001</fb>
    <v>28</v>
  </rv>
  <rv s="0">
    <fb>0.78473999023437502</fb>
    <v>28</v>
  </rv>
  <rv s="1">
    <v>536870912</v>
    <v>Attapeu province</v>
    <v>69561c74-7aeb-b122-190f-d14f829d9d5b</v>
    <v>en-US</v>
    <v>Map</v>
  </rv>
  <rv s="1">
    <v>536870912</v>
    <v>Bokeo province</v>
    <v>088afd4d-5753-db2b-f393-548242af7f55</v>
    <v>en-US</v>
    <v>Map</v>
  </rv>
  <rv s="1">
    <v>536870912</v>
    <v>Bolikhamsai province</v>
    <v>ab9d8d30-7e5f-60fa-f417-0b2fb45c1edb</v>
    <v>en-US</v>
    <v>Map</v>
  </rv>
  <rv s="1">
    <v>536870912</v>
    <v>Champasak province</v>
    <v>25f44a53-2ef0-a2f9-2223-626c1227f891</v>
    <v>en-US</v>
    <v>Map</v>
  </rv>
  <rv s="1">
    <v>536870912</v>
    <v>Houaphanh province</v>
    <v>4fba35a6-c1cb-d70c-3091-dccd3b88443b</v>
    <v>en-US</v>
    <v>Map</v>
  </rv>
  <rv s="1">
    <v>536870912</v>
    <v>Khammouane province</v>
    <v>803dba3e-3378-cf10-519b-8db0bed79359</v>
    <v>en-US</v>
    <v>Map</v>
  </rv>
  <rv s="1">
    <v>536870912</v>
    <v>Luang Namtha province</v>
    <v>ec0525ed-d54b-4b75-1777-344efdc56c53</v>
    <v>en-US</v>
    <v>Map</v>
  </rv>
  <rv s="1">
    <v>536870912</v>
    <v>Luang Prabang province</v>
    <v>6061d3f3-9c92-8772-c721-ee0c926fd746</v>
    <v>en-US</v>
    <v>Map</v>
  </rv>
  <rv s="1">
    <v>536870912</v>
    <v>Oudomxay province</v>
    <v>8d47e80e-7a78-0800-7591-a8243822f2cf</v>
    <v>en-US</v>
    <v>Map</v>
  </rv>
  <rv s="1">
    <v>536870912</v>
    <v>Phongsaly province</v>
    <v>ce9c7de4-4684-dd1c-68d8-50fe32d0a038</v>
    <v>en-US</v>
    <v>Map</v>
  </rv>
  <rv s="1">
    <v>536870912</v>
    <v>Sainyabuli province</v>
    <v>44e6279c-ebb8-d7be-c346-a1882669b6d6</v>
    <v>en-US</v>
    <v>Map</v>
  </rv>
  <rv s="1">
    <v>536870912</v>
    <v>Salavan province</v>
    <v>fee6e8e0-3bf7-fafd-76ab-b00568f1e0af</v>
    <v>en-US</v>
    <v>Map</v>
  </rv>
  <rv s="1">
    <v>536870912</v>
    <v>Savannakhet province</v>
    <v>8bf2ee8d-f21c-fc2e-eafb-e598f7fcb6ce</v>
    <v>en-US</v>
    <v>Map</v>
  </rv>
  <rv s="1">
    <v>536870912</v>
    <v>Sekong province</v>
    <v>59122f72-581f-4973-5502-f82e92f4fe4c</v>
    <v>en-US</v>
    <v>Map</v>
  </rv>
  <rv s="1">
    <v>536870912</v>
    <v>Vientiane province</v>
    <v>906f0679-ad6c-6d00-b282-de6b516908b8</v>
    <v>en-US</v>
    <v>Map</v>
  </rv>
  <rv s="1">
    <v>536870912</v>
    <v>Xiangkhouang</v>
    <v>8bcd566b-5a8c-99a6-582b-3f5ed9d256c2</v>
    <v>en-US</v>
    <v>Map</v>
  </rv>
  <rv s="3">
    <v>358</v>
  </rv>
  <rv s="0">
    <fb>0.129430993761254</fb>
    <v>28</v>
  </rv>
  <rv s="0">
    <fb>0.24100000000000002</fb>
    <v>28</v>
  </rv>
  <rv s="0">
    <fb>6.2599998712539696E-3</fb>
    <v>35</v>
  </rv>
  <rv s="0">
    <fb>2555552</fb>
    <v>9</v>
  </rv>
  <rv s="32">
    <v>#VALUE!</v>
    <v>en-US</v>
    <v>11c0d945-090a-d0d7-d3dc-dc4c96acbd4a</v>
    <v>536870912</v>
    <v>1</v>
    <v>802</v>
    <v>326</v>
    <v>Laos</v>
    <v>5</v>
    <v>6</v>
    <v>Map</v>
    <v>7</v>
    <v>803</v>
    <v>LA</v>
    <v>5094</v>
    <v>5095</v>
    <v>5096</v>
    <v>5097</v>
    <v>5098</v>
    <v>5082</v>
    <v>5099</v>
    <v>5100</v>
    <v>5101</v>
    <v>LAK</v>
    <v>Laos, officially the Lao People's Democratic Republic, is the only landlocked country in Southeast Asia. It is bordered by Myanmar and China to the northwest, Vietnam to the east, Cambodia to the southeast, and Thailand to the west and ...</v>
    <v>5102</v>
    <v>5103</v>
    <v>630</v>
    <v>5104</v>
    <v>5105</v>
    <v>5106</v>
    <v>5107</v>
    <v>5108</v>
    <v>5082</v>
    <v>5113</v>
    <v>5114</v>
    <v>5115</v>
    <v>5116</v>
    <v>3200</v>
    <v>Laos</v>
    <v>Pheng Xat Lao</v>
    <v>5117</v>
    <v>ສາທາລະນະລັດ ປະຊາທິປະໄຕ ປະຊາຊົນລາວ</v>
    <v>5118</v>
    <v>5119</v>
    <v>5120</v>
    <v>3137</v>
    <v>5121</v>
    <v>5122</v>
    <v>1167</v>
    <v>3851</v>
    <v>3792</v>
    <v>1360</v>
    <v>5123</v>
    <v>5140</v>
    <v>5141</v>
    <v>1907</v>
    <v>5142</v>
    <v>5143</v>
    <v>Laos</v>
    <v>5144</v>
    <v>mdp/vdpid/138</v>
  </rv>
  <rv s="1">
    <v>536870912</v>
    <v>Riga</v>
    <v>28ba38b3-e530-65db-5053-2ad0f32507de</v>
    <v>en-US</v>
    <v>Map</v>
  </rv>
  <rv s="0">
    <fb>304</fb>
    <v>9</v>
  </rv>
  <rv s="2">
    <v>170</v>
    <v>7</v>
    <v>804</v>
    <v>7</v>
    <v>0</v>
    <v>Image of Riga</v>
  </rv>
  <rv s="0">
    <fb>56.947499999999998</fb>
    <v>0</v>
  </rv>
  <rv s="1">
    <v>805306368</v>
    <v>Vilnis Ķirsis (Mayor)</v>
    <v>92f4aa77-d033-cc6b-3949-9c80c51a72b0</v>
    <v>en-US</v>
    <v>Generic</v>
  </rv>
  <rv s="3">
    <v>359</v>
  </rv>
  <rv s="4">
    <v>https://www.bing.com/search?q=riga&amp;form=skydnc</v>
    <v>Learn more on Bing</v>
  </rv>
  <rv s="0">
    <fb>24.106944444444</fb>
    <v>0</v>
  </rv>
  <rv s="0">
    <fb>605802</fb>
    <v>9</v>
  </rv>
  <rv s="56">
    <v>#VALUE!</v>
    <v>en-US</v>
    <v>28ba38b3-e530-65db-5053-2ad0f32507de</v>
    <v>536870912</v>
    <v>1</v>
    <v>805</v>
    <v>703</v>
    <v>Riga</v>
    <v>5</v>
    <v>6</v>
    <v>Map</v>
    <v>7</v>
    <v>61</v>
    <v>5147</v>
    <v>4971</v>
    <v>Riga is the capital, primate, and the largest city of Latvia, as well as the most populous city in the Baltic States. Home to 605,273 inhabitants, the city accounts for a third of Latvia's total population. The population of Riga metropolitan ...</v>
    <v>5148</v>
    <v>5149</v>
    <v>5151</v>
    <v>5152</v>
    <v>5153</v>
    <v>Riga</v>
    <v>5154</v>
    <v>Riga</v>
    <v>mdp/vdpid/7031691453600366593</v>
  </rv>
  <rv s="1">
    <v>536870912</v>
    <v>Beirut</v>
    <v>afaaff6f-4112-4894-7e7e-2ca7359df5cf</v>
    <v>en-US</v>
    <v>Map</v>
  </rv>
  <rv s="1">
    <v>536870912</v>
    <v>Beirut Governorate</v>
    <v>51248dc1-d152-b73a-bc60-aab6ea034eb4</v>
    <v>en-US</v>
    <v>Map</v>
  </rv>
  <rv s="0">
    <fb>20</fb>
    <v>9</v>
  </rv>
  <rv s="1">
    <v>536870912</v>
    <v>mandatory Lebanese Republic</v>
    <v>0b1d9a26-459f-ed06-7565-4fd3e810b618</v>
    <v>en-US</v>
    <v>Map</v>
  </rv>
  <rv s="2">
    <v>171</v>
    <v>7</v>
    <v>807</v>
    <v>7</v>
    <v>0</v>
    <v>Image of Beirut</v>
  </rv>
  <rv s="0">
    <fb>33.886944444443998</fb>
    <v>0</v>
  </rv>
  <rv s="1">
    <v>805306368</v>
    <v>Marwan Abboud (Governor)</v>
    <v>2dcaf2d3-b1e7-eed5-e9ff-3d073308add0</v>
    <v>en-US</v>
    <v>Generic</v>
  </rv>
  <rv s="1">
    <v>805306368</v>
    <v>Jamal Itani (Mayor)</v>
    <v>927532ba-bd03-9ede-124b-7a68cb2be6e5</v>
    <v>en-US</v>
    <v>Generic</v>
  </rv>
  <rv s="3">
    <v>360</v>
  </rv>
  <rv s="4">
    <v>https://www.bing.com/search?q=beirut&amp;form=skydnc</v>
    <v>Learn more on Bing</v>
  </rv>
  <rv s="0">
    <fb>35.513055555556001</fb>
    <v>0</v>
  </rv>
  <rv s="0">
    <fb>2421354</fb>
    <v>9</v>
  </rv>
  <rv s="7">
    <v>#VALUE!</v>
    <v>en-US</v>
    <v>afaaff6f-4112-4894-7e7e-2ca7359df5cf</v>
    <v>536870912</v>
    <v>1</v>
    <v>808</v>
    <v>38</v>
    <v>Beirut</v>
    <v>5</v>
    <v>6</v>
    <v>Map</v>
    <v>7</v>
    <v>111</v>
    <v>5157</v>
    <v>5158</v>
    <v>5159</v>
    <v>Beirut is the capital and largest city of Lebanon. As of 2014, Greater Beirut has a population of 2.5 million, just under half of Lebanon's population, which makes it the third-largest city in the Levant region and the sixteenth-largest in the ...</v>
    <v>5160</v>
    <v>5161</v>
    <v>5164</v>
    <v>5165</v>
    <v>5166</v>
    <v>Beirut</v>
    <v>5167</v>
    <v>2730</v>
    <v>Beirut</v>
    <v>mdp/vdpid/-7996863966</v>
  </rv>
  <rv s="1">
    <v>536870912</v>
    <v>Maseru</v>
    <v>23d9936d-7e8e-f74c-1ef1-08927d747066</v>
    <v>en-US</v>
    <v>Map</v>
  </rv>
  <rv s="1">
    <v>536870912</v>
    <v>Maseru District</v>
    <v>15a23df3-3817-5f98-e145-bf557b53874f</v>
    <v>en-US</v>
    <v>Map</v>
  </rv>
  <rv s="0">
    <fb>138</fb>
    <v>9</v>
  </rv>
  <rv s="1">
    <v>536870912</v>
    <v>Lesotho</v>
    <v>5c17227d-3ed7-168e-a4d5-87288eb2e3f9</v>
    <v>en-US</v>
    <v>Map</v>
  </rv>
  <rv s="2">
    <v>172</v>
    <v>7</v>
    <v>809</v>
    <v>7</v>
    <v>0</v>
    <v>Image of Maseru</v>
  </rv>
  <rv s="0">
    <fb>-29.31</fb>
    <v>0</v>
  </rv>
  <rv s="4">
    <v>https://www.bing.com/search?q=maseru&amp;form=skydnc</v>
    <v>Learn more on Bing</v>
  </rv>
  <rv s="0">
    <fb>27.48</fb>
    <v>0</v>
  </rv>
  <rv s="0">
    <fb>330760</fb>
    <v>9</v>
  </rv>
  <rv s="17">
    <v>#VALUE!</v>
    <v>en-US</v>
    <v>23d9936d-7e8e-f74c-1ef1-08927d747066</v>
    <v>536870912</v>
    <v>1</v>
    <v>810</v>
    <v>110</v>
    <v>Maseru</v>
    <v>5</v>
    <v>6</v>
    <v>Map</v>
    <v>7</v>
    <v>372</v>
    <v>5170</v>
    <v>5171</v>
    <v>5172</v>
    <v>Maseru is the capital and largest city of Lesotho. It is also the capital of the Maseru District. Located on the Caledon River, Maseru lies directly on the Lesotho–South Africa border. Maseru had a population of 330,760 in the 2016 census. The ...</v>
    <v>5173</v>
    <v>5174</v>
    <v>5175</v>
    <v>5176</v>
    <v>Maseru</v>
    <v>5177</v>
    <v>3369</v>
    <v>Maseru</v>
    <v>mdp/vdpid/8183869036686213121</v>
  </rv>
  <rv s="0">
    <fb>0.77635046113306994</fb>
    <v>28</v>
  </rv>
  <rv s="0">
    <fb>30355</fb>
    <v>9</v>
  </rv>
  <rv s="0">
    <fb>26.808</fb>
    <v>29</v>
  </rv>
  <rv s="0">
    <fb>266</fb>
    <v>30</v>
  </rv>
  <rv s="0">
    <fb>2511.895</fb>
    <v>9</v>
  </rv>
  <rv s="0">
    <fb>155.858195070683</fb>
    <v>31</v>
  </rv>
  <rv s="0">
    <fb>5.1870835919799303E-2</fb>
    <v>28</v>
  </rv>
  <rv s="0">
    <fb>3.141</fb>
    <v>29</v>
  </rv>
  <rv s="0">
    <fb>1.6469038208168599E-2</fb>
    <v>28</v>
  </rv>
  <rv s="0">
    <fb>2460072443.6284199</fb>
    <v>33</v>
  </rv>
  <rv s="0">
    <fb>1.2089749999999999</fb>
    <v>28</v>
  </rv>
  <rv s="0">
    <fb>0.1019626</fb>
    <v>28</v>
  </rv>
  <rv s="2">
    <v>173</v>
    <v>7</v>
    <v>812</v>
    <v>7</v>
    <v>0</v>
    <v>Image of Lesotho</v>
  </rv>
  <rv s="0">
    <fb>65.7</fb>
    <v>34</v>
  </rv>
  <rv s="1">
    <v>805306368</v>
    <v>Letsie III (Monarch)</v>
    <v>d13aa3f3-753b-b556-7f53-b7516f446e56</v>
    <v>en-US</v>
    <v>Generic</v>
  </rv>
  <rv s="1">
    <v>805306368</v>
    <v>Sam Matekane (Prime minister)</v>
    <v>35c67ab5-feaa-6ac4-e929-460410c1f833</v>
    <v>en-US</v>
    <v>Generic</v>
  </rv>
  <rv s="3">
    <v>361</v>
  </rv>
  <rv s="4">
    <v>https://www.bing.com/search?q=lesotho&amp;form=skydnc</v>
    <v>Learn more on Bing</v>
  </rv>
  <rv s="0">
    <fb>53.704999999999998</fb>
    <v>34</v>
  </rv>
  <rv s="0">
    <fb>544</fb>
    <v>34</v>
  </rv>
  <rv s="0">
    <fb>0.41</fb>
    <v>32</v>
  </rv>
  <rv s="3">
    <v>362</v>
  </rv>
  <rv s="0">
    <fb>0.16853801170000002</fb>
    <v>28</v>
  </rv>
  <rv s="0">
    <fb>6.7599999999999993E-2</fb>
    <v>29</v>
  </rv>
  <rv s="0">
    <fb>2305825</fb>
    <v>9</v>
  </rv>
  <rv s="0">
    <fb>0.32899999999999996</fb>
    <v>28</v>
  </rv>
  <rv s="0">
    <fb>0.498</fb>
    <v>28</v>
  </rv>
  <rv s="0">
    <fb>8.900000000000001E-2</fb>
    <v>28</v>
  </rv>
  <rv s="0">
    <fb>0.67884002685546907</fb>
    <v>28</v>
  </rv>
  <rv s="1">
    <v>536870912</v>
    <v>Berea District</v>
    <v>c70c35f9-a151-6b7f-eec0-00e72232b095</v>
    <v>en-US</v>
    <v>Map</v>
  </rv>
  <rv s="1">
    <v>536870912</v>
    <v>Butha-Buthe District</v>
    <v>82296630-f891-2e68-bf4a-af581fb38346</v>
    <v>en-US</v>
    <v>Map</v>
  </rv>
  <rv s="1">
    <v>536870912</v>
    <v>Leribe District</v>
    <v>8479f582-170e-6819-aff4-0aca594de477</v>
    <v>en-US</v>
    <v>Map</v>
  </rv>
  <rv s="1">
    <v>536870912</v>
    <v>Mafeteng District</v>
    <v>3070d20f-140c-c363-c406-293b6d1d5d46</v>
    <v>en-US</v>
    <v>Map</v>
  </rv>
  <rv s="1">
    <v>536870912</v>
    <v>Mohale's Hoek District</v>
    <v>3c5319b8-4e30-87f4-0ec8-71b0337552e9</v>
    <v>en-US</v>
    <v>Map</v>
  </rv>
  <rv s="1">
    <v>536870912</v>
    <v>Mokhotlong District</v>
    <v>7a9ffcb7-6df9-aee9-1550-e30715fa9720</v>
    <v>en-US</v>
    <v>Map</v>
  </rv>
  <rv s="1">
    <v>536870912</v>
    <v>Qacha's Nek District</v>
    <v>7e5baa2c-41f0-6e19-9d41-b6a5bd72954e</v>
    <v>en-US</v>
    <v>Map</v>
  </rv>
  <rv s="1">
    <v>536870912</v>
    <v>Quthing District</v>
    <v>90c02a93-fa4d-3f74-75c0-db41fa95d728</v>
    <v>en-US</v>
    <v>Map</v>
  </rv>
  <rv s="1">
    <v>536870912</v>
    <v>Thaba-Tseka District</v>
    <v>d52e2535-8347-23b1-bf5d-94ce4df4a55a</v>
    <v>en-US</v>
    <v>Map</v>
  </rv>
  <rv s="3">
    <v>363</v>
  </rv>
  <rv s="0">
    <fb>0.31572594000417697</fb>
    <v>28</v>
  </rv>
  <rv s="3">
    <v>364</v>
  </rv>
  <rv s="0">
    <fb>0.234050006866455</fb>
    <v>35</v>
  </rv>
  <rv s="0">
    <fb>607508</fb>
    <v>9</v>
  </rv>
  <rv s="25">
    <v>#VALUE!</v>
    <v>en-US</v>
    <v>5c17227d-3ed7-168e-a4d5-87288eb2e3f9</v>
    <v>536870912</v>
    <v>1</v>
    <v>815</v>
    <v>196</v>
    <v>Lesotho</v>
    <v>5</v>
    <v>6</v>
    <v>Map</v>
    <v>7</v>
    <v>816</v>
    <v>LS</v>
    <v>5179</v>
    <v>5180</v>
    <v>1138</v>
    <v>5181</v>
    <v>5182</v>
    <v>5169</v>
    <v>5183</v>
    <v>5184</v>
    <v>5185</v>
    <v>LSL</v>
    <v>Lesotho, formally the Kingdom of Lesotho, formerly known as Basutoland, is a landlocked country in Southern Africa. As an enclave of South Africa, with which it shares a 1,106 km border, it is the largest sovereign enclave in the world, and the ...</v>
    <v>5186</v>
    <v>5187</v>
    <v>434</v>
    <v>70</v>
    <v>5188</v>
    <v>5189</v>
    <v>5190</v>
    <v>5191</v>
    <v>5192</v>
    <v>5169</v>
    <v>5195</v>
    <v>5196</v>
    <v>5197</v>
    <v>5198</v>
    <v>5199</v>
    <v>Lesotho</v>
    <v>Lesotho Fatse La Bontata Rona</v>
    <v>5200</v>
    <v>Muso oa Lesotho</v>
    <v>5201</v>
    <v>5202</v>
    <v>5203</v>
    <v>605</v>
    <v>5204</v>
    <v>5205</v>
    <v>1954</v>
    <v>1359</v>
    <v>5206</v>
    <v>1112</v>
    <v>5207</v>
    <v>5217</v>
    <v>5218</v>
    <v>5219</v>
    <v>2193</v>
    <v>5220</v>
    <v>Lesotho</v>
    <v>5221</v>
    <v>mdp/vdpid/146</v>
  </rv>
  <rv s="1">
    <v>536870912</v>
    <v>Monrovia</v>
    <v>ef4ff957-4fe8-883f-eb4e-51b097bb1cd9</v>
    <v>en-US</v>
    <v>Map</v>
  </rv>
  <rv s="1">
    <v>536870912</v>
    <v>Montserrado County</v>
    <v>21440288-266a-669b-ecc4-cfd55860d830</v>
    <v>en-US</v>
    <v>Map</v>
  </rv>
  <rv s="1">
    <v>536870912</v>
    <v>Greater Monrovia District</v>
    <v>4da9818f-d2e4-c5f3-fbe9-54338699a11a</v>
    <v>en-US</v>
    <v>Map</v>
  </rv>
  <rv s="0">
    <fb>194.25</fb>
    <v>9</v>
  </rv>
  <rv s="1">
    <v>536870912</v>
    <v>Liberia</v>
    <v>95192591-973c-cf6a-417a-9b3fa9907caa</v>
    <v>en-US</v>
    <v>Map</v>
  </rv>
  <rv s="2">
    <v>174</v>
    <v>7</v>
    <v>817</v>
    <v>7</v>
    <v>0</v>
    <v>Image of Monrovia</v>
  </rv>
  <rv s="0">
    <fb>6.3105555555555997</fb>
    <v>0</v>
  </rv>
  <rv s="1">
    <v>805306368</v>
    <v>Jefferson T. Koijee (Mayor)</v>
    <v>8140cf97-7bb6-cf14-9943-573e85c98869</v>
    <v>en-US</v>
    <v>Generic</v>
  </rv>
  <rv s="3">
    <v>365</v>
  </rv>
  <rv s="4">
    <v>https://www.bing.com/search?q=monrovia+liberia&amp;form=skydnc</v>
    <v>Learn more on Bing</v>
  </rv>
  <rv s="0">
    <fb>-10.804722222222001</fb>
    <v>0</v>
  </rv>
  <rv s="0">
    <fb>1021762</fb>
    <v>9</v>
  </rv>
  <rv s="5">
    <v>#VALUE!</v>
    <v>en-US</v>
    <v>ef4ff957-4fe8-883f-eb4e-51b097bb1cd9</v>
    <v>536870912</v>
    <v>1</v>
    <v>818</v>
    <v>3</v>
    <v>Monrovia</v>
    <v>5</v>
    <v>6</v>
    <v>Map</v>
    <v>7</v>
    <v>819</v>
    <v>5224</v>
    <v>5225</v>
    <v>5226</v>
    <v>5227</v>
    <v>Monrovia is the capital city of the West African country of Liberia. Founded in 1822, it is located on Cape Mesurado on the Atlantic coast and as of the 2022 census had 1,761,032 residents, home to 33.5% of Liberia’s total population. Its Metro ...</v>
    <v>5228</v>
    <v>5229</v>
    <v>5231</v>
    <v>5232</v>
    <v>5233</v>
    <v>Monrovia</v>
    <v>5234</v>
    <v>3884</v>
    <v>Monrovia</v>
    <v>mdp/vdpid/5757087503416819713</v>
  </rv>
  <rv s="0">
    <fb>0.28031561461793997</fb>
    <v>28</v>
  </rv>
  <rv s="0">
    <fb>111369</fb>
    <v>9</v>
  </rv>
  <rv s="0">
    <fb>33.042000000000002</fb>
    <v>29</v>
  </rv>
  <rv s="0">
    <fb>231</fb>
    <v>30</v>
  </rv>
  <rv s="0">
    <fb>1386.126</fb>
    <v>9</v>
  </rv>
  <rv s="0">
    <fb>223.12978802062801</fb>
    <v>31</v>
  </rv>
  <rv s="0">
    <fb>0.23563514895374202</fb>
    <v>28</v>
  </rv>
  <rv s="0">
    <fb>4.3150000000000004</fb>
    <v>29</v>
  </rv>
  <rv s="0">
    <fb>0.43075166112956803</fb>
    <v>28</v>
  </rv>
  <rv s="0">
    <fb>0.8</fb>
    <v>32</v>
  </rv>
  <rv s="0">
    <fb>3070518100</fb>
    <v>33</v>
  </rv>
  <rv s="0">
    <fb>0.85109190000000001</fb>
    <v>28</v>
  </rv>
  <rv s="0">
    <fb>0.11922530000000001</fb>
    <v>28</v>
  </rv>
  <rv s="2">
    <v>175</v>
    <v>7</v>
    <v>821</v>
    <v>7</v>
    <v>0</v>
    <v>Image of Liberia</v>
  </rv>
  <rv s="0">
    <fb>53.5</fb>
    <v>34</v>
  </rv>
  <rv s="1">
    <v>805306368</v>
    <v>Joseph Boakai (President)</v>
    <v>41852ea0-d977-c68e-2a17-e7de4012a02c</v>
    <v>en-US</v>
    <v>Generic</v>
  </rv>
  <rv s="1">
    <v>805306368</v>
    <v>Jeremiah Koung (Vice president)</v>
    <v>38158556-2122-a551-5444-4f1e0ed0d906</v>
    <v>en-US</v>
    <v>Generic</v>
  </rv>
  <rv s="1">
    <v>805306368</v>
    <v>Jonathan F. Koffa (Speaker)</v>
    <v>4953a640-eb89-7ad9-cb64-e8f71ec811ca</v>
    <v>en-US</v>
    <v>Generic</v>
  </rv>
  <rv s="1">
    <v>805306368</v>
    <v>Sie-A-Nyene Yuoh (Chief justice)</v>
    <v>1949a044-b028-9be8-8288-d4778a0181c0</v>
    <v>en-US</v>
    <v>Generic</v>
  </rv>
  <rv s="3">
    <v>366</v>
  </rv>
  <rv s="4">
    <v>https://www.bing.com/search?q=liberia&amp;form=skydnc</v>
    <v>Learn more on Bing</v>
  </rv>
  <rv s="0">
    <fb>63.73</fb>
    <v>34</v>
  </rv>
  <rv s="0">
    <fb>661</fb>
    <v>34</v>
  </rv>
  <rv s="0">
    <fb>0.17</fb>
    <v>32</v>
  </rv>
  <rv s="3">
    <v>367</v>
  </rv>
  <rv s="0">
    <fb>0.1963532674</fb>
    <v>28</v>
  </rv>
  <rv s="0">
    <fb>3.73E-2</fb>
    <v>29</v>
  </rv>
  <rv s="0">
    <fb>5302681</fb>
    <v>9</v>
  </rv>
  <rv s="0">
    <fb>0.27100000000000002</fb>
    <v>28</v>
  </rv>
  <rv s="0">
    <fb>0.42799999999999999</fb>
    <v>28</v>
  </rv>
  <rv s="0">
    <fb>7.2000000000000008E-2</fb>
    <v>28</v>
  </rv>
  <rv s="0">
    <fb>0.16</fb>
    <v>28</v>
  </rv>
  <rv s="0">
    <fb>0.7631500244140631</fb>
    <v>28</v>
  </rv>
  <rv s="1">
    <v>536870912</v>
    <v>Bomi County</v>
    <v>213c11f5-5f82-2d59-c2f6-5563efe6fe51</v>
    <v>en-US</v>
    <v>Map</v>
  </rv>
  <rv s="1">
    <v>536870912</v>
    <v>Bong County</v>
    <v>b21e8ba9-2afb-7122-75a1-18f259487975</v>
    <v>en-US</v>
    <v>Map</v>
  </rv>
  <rv s="1">
    <v>536870912</v>
    <v>Gbarpolu County</v>
    <v>fe1f8697-3001-e4ee-07df-84b02073269a</v>
    <v>en-US</v>
    <v>Map</v>
  </rv>
  <rv s="1">
    <v>536870912</v>
    <v>Grand Bassa County</v>
    <v>a8135369-20e8-e5a6-9b50-2994ccbb934c</v>
    <v>en-US</v>
    <v>Map</v>
  </rv>
  <rv s="1">
    <v>536870912</v>
    <v>Grand Cape Mount County</v>
    <v>05ada0f3-8ec3-ba70-cc61-eaf4375c0dab</v>
    <v>en-US</v>
    <v>Map</v>
  </rv>
  <rv s="1">
    <v>536870912</v>
    <v>Grand Gedeh County</v>
    <v>cc14e117-c801-17cc-9ea5-f9a88daf4f82</v>
    <v>en-US</v>
    <v>Map</v>
  </rv>
  <rv s="1">
    <v>536870912</v>
    <v>Grand Kru County</v>
    <v>075eee02-1783-4e13-39cc-95fa317b23e0</v>
    <v>en-US</v>
    <v>Map</v>
  </rv>
  <rv s="1">
    <v>536870912</v>
    <v>Lofa County</v>
    <v>5a2741e4-9127-a0d3-3eba-cdae90710607</v>
    <v>en-US</v>
    <v>Map</v>
  </rv>
  <rv s="1">
    <v>536870912</v>
    <v>Margibi County</v>
    <v>be0abe4e-f4a0-77e4-bbb3-6b8f861c4e3e</v>
    <v>en-US</v>
    <v>Map</v>
  </rv>
  <rv s="1">
    <v>536870912</v>
    <v>Maryland County</v>
    <v>f897806e-0dc2-2b4c-8e40-6f137a38f53c</v>
    <v>en-US</v>
    <v>Map</v>
  </rv>
  <rv s="1">
    <v>536870912</v>
    <v>Nimba County</v>
    <v>61a49794-53d2-0a79-06f5-6c82de1c59dc</v>
    <v>en-US</v>
    <v>Map</v>
  </rv>
  <rv s="1">
    <v>536870912</v>
    <v>Rivercess County</v>
    <v>5b0405c8-9c4b-5652-de78-0913953487ee</v>
    <v>en-US</v>
    <v>Map</v>
  </rv>
  <rv s="1">
    <v>536870912</v>
    <v>River Gee County</v>
    <v>6c16b75b-39eb-259c-fc86-b1bd3c6e235e</v>
    <v>en-US</v>
    <v>Map</v>
  </rv>
  <rv s="1">
    <v>536870912</v>
    <v>Sinoe County</v>
    <v>706fd40f-95de-c3f5-cce3-67c1caef8e7a</v>
    <v>en-US</v>
    <v>Map</v>
  </rv>
  <rv s="3">
    <v>368</v>
  </rv>
  <rv s="0">
    <fb>0.12909168787088401</fb>
    <v>28</v>
  </rv>
  <rv s="3">
    <v>369</v>
  </rv>
  <rv s="0">
    <fb>2.8139998912811302E-2</fb>
    <v>35</v>
  </rv>
  <rv s="0">
    <fb>2548426</fb>
    <v>9</v>
  </rv>
  <rv s="32">
    <v>#VALUE!</v>
    <v>en-US</v>
    <v>95192591-973c-cf6a-417a-9b3fa9907caa</v>
    <v>536870912</v>
    <v>1</v>
    <v>824</v>
    <v>326</v>
    <v>Liberia</v>
    <v>5</v>
    <v>6</v>
    <v>Map</v>
    <v>7</v>
    <v>825</v>
    <v>LR</v>
    <v>5236</v>
    <v>5237</v>
    <v>1138</v>
    <v>5238</v>
    <v>5239</v>
    <v>5223</v>
    <v>5240</v>
    <v>5241</v>
    <v>5242</v>
    <v>LRD</v>
    <v>Liberia, officially the Republic of Liberia, is a country on the West African coast. It is bordered by Sierra Leone to its northwest, Guinea to its north, Ivory Coast to its east, and the Atlantic Ocean to its south and southwest. It has a ...</v>
    <v>5243</v>
    <v>5244</v>
    <v>5245</v>
    <v>5246</v>
    <v>5247</v>
    <v>5248</v>
    <v>5249</v>
    <v>5250</v>
    <v>5223</v>
    <v>5255</v>
    <v>5256</v>
    <v>5257</v>
    <v>5258</v>
    <v>5259</v>
    <v>Liberia</v>
    <v>All Hail, Liberia, Hail!</v>
    <v>5260</v>
    <v>Repubblica di Libèria</v>
    <v>5261</v>
    <v>5262</v>
    <v>5263</v>
    <v>240</v>
    <v>5264</v>
    <v>5265</v>
    <v>1417</v>
    <v>5266</v>
    <v>3740</v>
    <v>5267</v>
    <v>5268</v>
    <v>5283</v>
    <v>5284</v>
    <v>5285</v>
    <v>2069</v>
    <v>5286</v>
    <v>Liberia</v>
    <v>5287</v>
    <v>mdp/vdpid/142</v>
  </rv>
  <rv s="1">
    <v>536870912</v>
    <v>Tripoli, Libya</v>
    <v>797b970a-c20b-a043-ba81-e81b907b963a</v>
    <v>en-US</v>
    <v>Map</v>
  </rv>
  <rv s="0">
    <fb>400</fb>
    <v>9</v>
  </rv>
  <rv s="1">
    <v>536870912</v>
    <v>Libya</v>
    <v>b4e5604e-361e-ab37-6516-4cf5580a04aa</v>
    <v>en-US</v>
    <v>Map</v>
  </rv>
  <rv s="0">
    <fb>32.871138999999999</fb>
    <v>0</v>
  </rv>
  <rv s="4">
    <v>https://www.bing.com/search?q=tripoli+libya&amp;form=skydnc</v>
    <v>Learn more on Bing</v>
  </rv>
  <rv s="0">
    <fb>13.17995</fb>
    <v>0</v>
  </rv>
  <rv s="0">
    <fb>1170000</fb>
    <v>9</v>
  </rv>
  <rv s="63">
    <v>#VALUE!</v>
    <v>en-US</v>
    <v>797b970a-c20b-a043-ba81-e81b907b963a</v>
    <v>536870912</v>
    <v>1</v>
    <v>828</v>
    <v>829</v>
    <v>Tripoli, Libya</v>
    <v>831</v>
    <v>832</v>
    <v>Map</v>
    <v>7</v>
    <v>125</v>
    <v>5290</v>
    <v>5291</v>
    <v>Tripoli is the capital and largest city of Libya, with a population of about 1.18 million people in 2019. It is located in the northwest of Libya on the edge of the desert, on a point of rocky land projecting into the Mediterranean Sea and forming a bay. It includes the port of Tripoli and the country's largest commercial and manufacturing center. It is also the site of the University of Tripoli. The vast Bab al-Azizia barracks, which includes the former family estate of Muammar Gaddafi, is also located in the city. Colonel Gaddafi largely ruled the country from his residence in this barracks.</v>
    <v>5292</v>
    <v>5293</v>
    <v>5294</v>
    <v>Tripoli, Libya</v>
    <v>5295</v>
    <v>Tripoli, Libya</v>
    <v>mdp/vdpid/7233004568278204417</v>
  </rv>
  <rv s="0">
    <fb>8.7238710117417101E-2</fb>
    <v>28</v>
  </rv>
  <rv s="0">
    <fb>1759541</fb>
    <v>9</v>
  </rv>
  <rv s="0">
    <fb>18.829000000000001</fb>
    <v>29</v>
  </rv>
  <rv s="0">
    <fb>218</fb>
    <v>30</v>
  </rv>
  <rv s="0">
    <fb>50564.262999999999</fb>
    <v>9</v>
  </rv>
  <rv s="0">
    <fb>125.711288725735</fb>
    <v>31</v>
  </rv>
  <rv s="0">
    <fb>2.6058180271951802E-2</fb>
    <v>28</v>
  </rv>
  <rv s="0">
    <fb>1811.05516990863</fb>
    <v>9</v>
  </rv>
  <rv s="0">
    <fb>2.2400000000000002</fb>
    <v>29</v>
  </rv>
  <rv s="0">
    <fb>1.2332768791843301E-3</fb>
    <v>28</v>
  </rv>
  <rv s="0">
    <fb>99.111296363411299</fb>
    <v>34</v>
  </rv>
  <rv s="0">
    <fb>0.11</fb>
    <v>32</v>
  </rv>
  <rv s="0">
    <fb>52076250947.579201</fb>
    <v>33</v>
  </rv>
  <rv s="0">
    <fb>1.0901269</fb>
    <v>28</v>
  </rv>
  <rv s="0">
    <fb>0.6049736</fb>
    <v>28</v>
  </rv>
  <rv s="2">
    <v>176</v>
    <v>7</v>
    <v>834</v>
    <v>7</v>
    <v>0</v>
    <v>Image of Libya</v>
  </rv>
  <rv s="0">
    <fb>10.199999999999999</fb>
    <v>34</v>
  </rv>
  <rv s="1">
    <v>805306368</v>
    <v>Mohamed al-Menfi (Chairman)</v>
    <v>8eca429f-6eb5-bb58-fa46-fd1ff86b30bf</v>
    <v>en-US</v>
    <v>Generic</v>
  </rv>
  <rv s="1">
    <v>805306368</v>
    <v>Abdul Hamid Dbeibeh (Prime minister)</v>
    <v>19d6a51d-4f80-17b4-0985-1db6b876692b</v>
    <v>en-US</v>
    <v>Generic</v>
  </rv>
  <rv s="3">
    <v>370</v>
  </rv>
  <rv s="4">
    <v>https://www.bing.com/search?q=libya&amp;form=skydnc</v>
    <v>Learn more on Bing</v>
  </rv>
  <rv s="0">
    <fb>72.724000000000004</fb>
    <v>34</v>
  </rv>
  <rv s="0">
    <fb>72</fb>
    <v>34</v>
  </rv>
  <rv s="0">
    <fb>1.88</fb>
    <v>32</v>
  </rv>
  <rv s="3">
    <v>371</v>
  </rv>
  <rv s="0">
    <fb>0.36666666669999998</fb>
    <v>28</v>
  </rv>
  <rv s="0">
    <fb>2.0905</fb>
    <v>29</v>
  </rv>
  <rv s="0">
    <fb>6812341</fb>
    <v>9</v>
  </rv>
  <rv s="0">
    <fb>0.49686000823974602</fb>
    <v>28</v>
  </rv>
  <rv s="1">
    <v>536870912</v>
    <v>Butnan District</v>
    <v>70cd1a3f-bd3b-0263-be05-46588cc766da</v>
    <v>en-US</v>
    <v>Map</v>
  </rv>
  <rv s="1">
    <v>536870912</v>
    <v>Derna District</v>
    <v>de7ee281-0ad8-acdc-c86e-3535d0d88705</v>
    <v>en-US</v>
    <v>Map</v>
  </rv>
  <rv s="1">
    <v>536870912</v>
    <v>Jabal al Akhdar</v>
    <v>e402f0cb-467b-7e76-6407-e14122078979</v>
    <v>en-US</v>
    <v>Map</v>
  </rv>
  <rv s="1">
    <v>536870912</v>
    <v>Marj District</v>
    <v>8295393a-9cec-305b-834e-a2798de19289</v>
    <v>en-US</v>
    <v>Map</v>
  </rv>
  <rv s="1">
    <v>536870912</v>
    <v>Benghazi</v>
    <v>66430d95-3827-18c3-3c9f-ba437a20c99c</v>
    <v>en-US</v>
    <v>Map</v>
  </rv>
  <rv s="1">
    <v>536870912</v>
    <v>Al Wahat District</v>
    <v>4cdfbf92-5b82-1a82-d210-65a62a0d9e8a</v>
    <v>en-US</v>
    <v>Map</v>
  </rv>
  <rv s="1">
    <v>536870912</v>
    <v>Kufra District</v>
    <v>bfb3c0e3-1e01-c5e3-d40c-2afeca1bf8dd</v>
    <v>en-US</v>
    <v>Map</v>
  </rv>
  <rv s="1">
    <v>536870912</v>
    <v>Sirte District</v>
    <v>0efc7b56-02bb-1c2e-beab-3300e28a2b74</v>
    <v>en-US</v>
    <v>Map</v>
  </rv>
  <rv s="1">
    <v>536870912</v>
    <v>Murzuq District</v>
    <v>6edf077e-3928-fdf2-1e60-c6c12552f227</v>
    <v>en-US</v>
    <v>Map</v>
  </rv>
  <rv s="1">
    <v>536870912</v>
    <v>Sabha District</v>
    <v>bc187859-a816-aae3-f165-be8f62aba2a6</v>
    <v>en-US</v>
    <v>Map</v>
  </rv>
  <rv s="1">
    <v>536870912</v>
    <v>Wadi al Hayaa District</v>
    <v>18bfe72f-09f3-a5d4-849a-306921a0b4df</v>
    <v>en-US</v>
    <v>Map</v>
  </rv>
  <rv s="1">
    <v>536870912</v>
    <v>Misrata District</v>
    <v>9f9abcbd-0374-e19f-f39a-b7e0d722e5ae</v>
    <v>en-US</v>
    <v>Map</v>
  </rv>
  <rv s="1">
    <v>536870912</v>
    <v>Murqub District</v>
    <v>52427f1d-31dc-8560-f8ea-9a850c293b99</v>
    <v>en-US</v>
    <v>Map</v>
  </rv>
  <rv s="1">
    <v>536870912</v>
    <v>Tripoli District, Libya</v>
    <v>7e57856f-d308-8bf3-2959-247c2e03872a</v>
    <v>en-US</v>
    <v>Map</v>
  </rv>
  <rv s="1">
    <v>536870912</v>
    <v>Jafara</v>
    <v>a65c136c-8458-c1ba-132b-e0d90f55a331</v>
    <v>en-US</v>
    <v>Map</v>
  </rv>
  <rv s="1">
    <v>536870912</v>
    <v>Zawiya District</v>
    <v>17b11f1e-9f59-9ac1-2eda-f384b806a0e9</v>
    <v>en-US</v>
    <v>Map</v>
  </rv>
  <rv s="1">
    <v>536870912</v>
    <v>Nuqat al Khams</v>
    <v>c726644c-b8ab-654e-fbe0-7a5f01009cbc</v>
    <v>en-US</v>
    <v>Map</v>
  </rv>
  <rv s="1">
    <v>536870912</v>
    <v>Jabal al Gharbi District</v>
    <v>decca4b4-0c85-1058-154d-27f3ff3ff82c</v>
    <v>en-US</v>
    <v>Map</v>
  </rv>
  <rv s="1">
    <v>536870912</v>
    <v>Nalut District</v>
    <v>9a530c1d-0e7a-2bb2-19b3-30fb1156a222</v>
    <v>en-US</v>
    <v>Map</v>
  </rv>
  <rv s="1">
    <v>536870912</v>
    <v>Ghat District</v>
    <v>df6aff4d-0c04-536e-9e7a-00c7f88b76f5</v>
    <v>en-US</v>
    <v>Map</v>
  </rv>
  <rv s="1">
    <v>536870912</v>
    <v>Jufra District</v>
    <v>1e0e9735-960b-0b53-6ee8-1197a464782a</v>
    <v>en-US</v>
    <v>Map</v>
  </rv>
  <rv s="1">
    <v>536870912</v>
    <v>Wadi al Shatii District</v>
    <v>fd21c56f-fa95-a8ab-4795-0f05f8b7164f</v>
    <v>en-US</v>
    <v>Map</v>
  </rv>
  <rv s="1">
    <v>536870912</v>
    <v>Zawiya, Libya</v>
    <v>8cacc710-ff36-89a1-46eb-f7b98912429b</v>
    <v>en-US</v>
    <v>Map</v>
  </rv>
  <rv s="1">
    <v>536870912</v>
    <v>Ghat, Libya</v>
    <v>7508bdb5-2cb1-cb41-3034-12f9583e6bbe</v>
    <v>en-US</v>
    <v>Map</v>
  </rv>
  <rv s="1">
    <v>536870912</v>
    <v>Nalut</v>
    <v>26bfa050-45b5-c7b9-2c3b-116423364c36</v>
    <v>en-US</v>
    <v>Map</v>
  </rv>
  <rv s="1">
    <v>536870912</v>
    <v>Misrata</v>
    <v>8476360f-6835-0781-7fc6-fa6b36957731</v>
    <v>en-US</v>
    <v>Map</v>
  </rv>
  <rv s="3">
    <v>372</v>
  </rv>
  <rv s="0">
    <fb>0.185629997253418</fb>
    <v>35</v>
  </rv>
  <rv s="0">
    <fb>5448597</fb>
    <v>9</v>
  </rv>
  <rv s="64">
    <v>#VALUE!</v>
    <v>en-US</v>
    <v>b4e5604e-361e-ab37-6516-4cf5580a04aa</v>
    <v>536870912</v>
    <v>1</v>
    <v>837</v>
    <v>838</v>
    <v>Libya</v>
    <v>5</v>
    <v>6</v>
    <v>Map</v>
    <v>7</v>
    <v>839</v>
    <v>LY</v>
    <v>5297</v>
    <v>5298</v>
    <v>426</v>
    <v>5299</v>
    <v>5300</v>
    <v>5289</v>
    <v>5301</v>
    <v>5302</v>
    <v>5303</v>
    <v>LYD</v>
    <v>Libya, officially the State of Libya, is a country in the Maghreb region of North Africa. It borders the Mediterranean Sea to the north, Egypt to the east, Sudan to the southeast, Chad to the south, Niger to the southwest, Algeria to the west, ...</v>
    <v>5304</v>
    <v>5305</v>
    <v>5306</v>
    <v>5307</v>
    <v>5308</v>
    <v>5309</v>
    <v>5310</v>
    <v>5311</v>
    <v>5312</v>
    <v>5313</v>
    <v>5289</v>
    <v>5316</v>
    <v>5317</v>
    <v>5318</v>
    <v>5319</v>
    <v>5320</v>
    <v>Libya</v>
    <v>Libya, Libya, Libya</v>
    <v>5321</v>
    <v>Stato della Libia</v>
    <v>5322</v>
    <v>5323</v>
    <v>5324</v>
    <v>5325</v>
    <v>5352</v>
    <v>3942</v>
    <v>2887</v>
    <v>5353</v>
    <v>Libya</v>
    <v>5354</v>
    <v>mdp/vdpid/148</v>
  </rv>
  <rv s="1">
    <v>536870912</v>
    <v>Vaduz</v>
    <v>3bc0f2bb-c7b6-52ea-c739-789c5eddea7f</v>
    <v>en-US</v>
    <v>Map</v>
  </rv>
  <rv s="0">
    <fb>17.3</fb>
    <v>9</v>
  </rv>
  <rv s="1">
    <v>536870912</v>
    <v>Liechtenstein</v>
    <v>aa7e3291-f6e4-a640-0adb-4aa06efc7910</v>
    <v>en-US</v>
    <v>Map</v>
  </rv>
  <rv s="2">
    <v>177</v>
    <v>7</v>
    <v>840</v>
    <v>7</v>
    <v>0</v>
    <v>Image of Vaduz</v>
  </rv>
  <rv s="1">
    <v>805306368</v>
    <v>Florian Meier (Mayor)</v>
    <v>b788e94e-4d14-f072-b664-d49ac29c59c5</v>
    <v>en-US</v>
    <v>Generic</v>
  </rv>
  <rv s="3">
    <v>373</v>
  </rv>
  <rv s="4">
    <v>https://www.bing.com/search?q=vaduz&amp;form=skydnc</v>
    <v>Learn more on Bing</v>
  </rv>
  <rv s="0">
    <fb>5696</fb>
    <v>9</v>
  </rv>
  <rv s="18">
    <v>#VALUE!</v>
    <v>en-US</v>
    <v>3bc0f2bb-c7b6-52ea-c739-789c5eddea7f</v>
    <v>536870912</v>
    <v>1</v>
    <v>842</v>
    <v>124</v>
    <v>Vaduz</v>
    <v>5</v>
    <v>6</v>
    <v>Map</v>
    <v>7</v>
    <v>125</v>
    <v>LI-11</v>
    <v>5357</v>
    <v>5358</v>
    <v>Vaduz is the capital of Liechtenstein and also the seat of the national parliament. The village, which is located along the Rhine, has 5,696 residents. The most prominent landmark of Vaduz is Vaduz Castle, perched atop a steep hill overlooking ...</v>
    <v>5359</v>
    <v>5361</v>
    <v>5362</v>
    <v>Vaduz</v>
    <v>3819</v>
    <v>5363</v>
    <v>141</v>
    <v>Vaduz</v>
    <v>mdp/vdpid/7016112735171641345</v>
  </rv>
  <rv s="0">
    <fb>0.322499990463257</fb>
    <v>28</v>
  </rv>
  <rv s="0">
    <fb>160</fb>
    <v>9</v>
  </rv>
  <rv s="0">
    <fb>423</fb>
    <v>30</v>
  </rv>
  <rv s="0">
    <fb>51.338000000000001</fb>
    <v>9</v>
  </rv>
  <rv s="0">
    <fb>1.44</fb>
    <v>29</v>
  </rv>
  <rv s="0">
    <fb>0.43125000596046398</fb>
    <v>28</v>
  </rv>
  <rv s="0">
    <fb>1.74</fb>
    <v>32</v>
  </rv>
  <rv s="0">
    <fb>6552858738.7021399</fb>
    <v>33</v>
  </rv>
  <rv s="0">
    <fb>1.0469974</fb>
    <v>28</v>
  </rv>
  <rv s="0">
    <fb>0.35621930000000002</fb>
    <v>28</v>
  </rv>
  <rv s="2">
    <v>178</v>
    <v>7</v>
    <v>844</v>
    <v>7</v>
    <v>0</v>
    <v>Image of Liechtenstein</v>
  </rv>
  <rv s="1">
    <v>536870912</v>
    <v>Schaan</v>
    <v>3d6eba74-e923-9fdc-6caa-8f45e38b4434</v>
    <v>en-US</v>
    <v>Map</v>
  </rv>
  <rv s="1">
    <v>805306368</v>
    <v>Hans-Adam II, Prince of Liechtenstein (Monarch)</v>
    <v>2e7cc976-8a4b-13f4-0340-13c09168b182</v>
    <v>en-US</v>
    <v>Generic</v>
  </rv>
  <rv s="1">
    <v>805306368</v>
    <v>Daniel Risch (Prime minister)</v>
    <v>81d23657-42c5-e44b-be18-cd296a1d9abb</v>
    <v>en-US</v>
    <v>Generic</v>
  </rv>
  <rv s="3">
    <v>374</v>
  </rv>
  <rv s="4">
    <v>https://www.bing.com/search?q=liechtenstein&amp;form=skydnc</v>
    <v>Learn more on Bing</v>
  </rv>
  <rv s="0">
    <fb>83.041463414634194</fb>
    <v>34</v>
  </rv>
  <rv s="3">
    <v>375</v>
  </rv>
  <rv s="0">
    <fb>39327</fb>
    <v>9</v>
  </rv>
  <rv s="1">
    <v>536870912</v>
    <v>Ruggell</v>
    <v>3c0a6767-f96e-6589-6249-8b36cfb2e722</v>
    <v>en-US</v>
    <v>Map</v>
  </rv>
  <rv s="1">
    <v>536870912</v>
    <v>Gamprin</v>
    <v>081f9cbc-6085-eb49-7de5-d48847301090</v>
    <v>en-US</v>
    <v>Map</v>
  </rv>
  <rv s="1">
    <v>536870912</v>
    <v>Eschen</v>
    <v>32034179-d2f0-d4dd-c573-fbdf124f52d3</v>
    <v>en-US</v>
    <v>Map</v>
  </rv>
  <rv s="1">
    <v>536870912</v>
    <v>Mauren</v>
    <v>b2d2f18a-d3e6-628c-f493-1ea1bf90090c</v>
    <v>en-US</v>
    <v>Map</v>
  </rv>
  <rv s="1">
    <v>536870912</v>
    <v>Planken</v>
    <v>4bccca6f-d36d-b322-e886-1f02e4bdb83b</v>
    <v>en-US</v>
    <v>Map</v>
  </rv>
  <rv s="1">
    <v>536870912</v>
    <v>Triesenberg</v>
    <v>09d7a66c-7c90-1906-9360-102b1f9ae78d</v>
    <v>en-US</v>
    <v>Map</v>
  </rv>
  <rv s="1">
    <v>536870912</v>
    <v>Triesen</v>
    <v>5c9e8310-6d56-0507-71c1-e00bcf7a0b39</v>
    <v>en-US</v>
    <v>Map</v>
  </rv>
  <rv s="1">
    <v>536870912</v>
    <v>Balzers</v>
    <v>1c3798d6-4dd5-21e0-1726-237b735c2971</v>
    <v>en-US</v>
    <v>Map</v>
  </rv>
  <rv s="3">
    <v>376</v>
  </rv>
  <rv s="0">
    <fb>5464</fb>
    <v>9</v>
  </rv>
  <rv s="65">
    <v>#VALUE!</v>
    <v>en-US</v>
    <v>aa7e3291-f6e4-a640-0adb-4aa06efc7910</v>
    <v>536870912</v>
    <v>1</v>
    <v>847</v>
    <v>848</v>
    <v>Liechtenstein</v>
    <v>5</v>
    <v>6</v>
    <v>Map</v>
    <v>7</v>
    <v>849</v>
    <v>LI</v>
    <v>5365</v>
    <v>5366</v>
    <v>1025</v>
    <v>5367</v>
    <v>5356</v>
    <v>5368</v>
    <v>CHF</v>
    <v>Liechtenstein, officially the Principality of Liechtenstein, is a doubly landlocked German-speaking microstate in the Central European Alps, between Austria in the east and north and Switzerland in the west and south. Liechtenstein is a ...</v>
    <v>5369</v>
    <v>5370</v>
    <v>5371</v>
    <v>5372</v>
    <v>5373</v>
    <v>5374</v>
    <v>5375</v>
    <v>5376</v>
    <v>5379</v>
    <v>5380</v>
    <v>5381</v>
    <v>Liechtenstein</v>
    <v>Oben am jungen Rhein</v>
    <v>5382</v>
    <v>Fürstentum Liechtenstein</v>
    <v>5383</v>
    <v>5392</v>
    <v>193</v>
    <v>1816</v>
    <v>Liechtenstein</v>
    <v>5393</v>
    <v>mdp/vdpid/145</v>
  </rv>
  <rv s="1">
    <v>536870912</v>
    <v>Vilnius</v>
    <v>636c6569-44ee-4651-a95f-fdc38f21ed76</v>
    <v>en-US</v>
    <v>Map</v>
  </rv>
  <rv s="1">
    <v>536870912</v>
    <v>Vilnius County</v>
    <v>e26dd8c8-06e8-2ba7-2447-03021b5c9d87</v>
    <v>en-US</v>
    <v>Map</v>
  </rv>
  <rv s="0">
    <fb>401</fb>
    <v>9</v>
  </rv>
  <rv s="1">
    <v>536870912</v>
    <v>Lithuania</v>
    <v>51ff0e88-f474-0092-fafc-133eb18df4be</v>
    <v>en-US</v>
    <v>Map</v>
  </rv>
  <rv s="2">
    <v>179</v>
    <v>7</v>
    <v>850</v>
    <v>7</v>
    <v>0</v>
    <v>Image of Vilnius</v>
  </rv>
  <rv s="0">
    <fb>54.687222222222204</fb>
    <v>0</v>
  </rv>
  <rv s="1">
    <v>805306368</v>
    <v>Valdas Benkunskas (Mayor)</v>
    <v>95820e10-6778-e816-6ec4-c8f3f2a2d68d</v>
    <v>en-US</v>
    <v>Generic</v>
  </rv>
  <rv s="3">
    <v>377</v>
  </rv>
  <rv s="4">
    <v>https://www.bing.com/search?q=vilnius&amp;form=skydnc</v>
    <v>Learn more on Bing</v>
  </rv>
  <rv s="0">
    <fb>25.28</fb>
    <v>0</v>
  </rv>
  <rv s="0">
    <fb>607404</fb>
    <v>9</v>
  </rv>
  <rv s="7">
    <v>#VALUE!</v>
    <v>en-US</v>
    <v>636c6569-44ee-4651-a95f-fdc38f21ed76</v>
    <v>536870912</v>
    <v>1</v>
    <v>851</v>
    <v>38</v>
    <v>Vilnius</v>
    <v>5</v>
    <v>6</v>
    <v>Map</v>
    <v>7</v>
    <v>561</v>
    <v>5396</v>
    <v>5397</v>
    <v>5398</v>
    <v>Vilnius is the capital of and largest city in Lithuania and the most-populous city in the Baltic states. The city's estimated January 2025 population was 607,404, and the Vilnius urban area has an estimated population of 747,864.</v>
    <v>5399</v>
    <v>5400</v>
    <v>5402</v>
    <v>5403</v>
    <v>5404</v>
    <v>Vilnius</v>
    <v>5405</v>
    <v>2730</v>
    <v>Vilnius</v>
    <v>mdp/vdpid/7044099169807499265</v>
  </rv>
  <rv s="0">
    <fb>0.47155260212694899</fb>
    <v>28</v>
  </rv>
  <rv s="0">
    <fb>65300</fb>
    <v>9</v>
  </rv>
  <rv s="0">
    <fb>34000</fb>
    <v>9</v>
  </rv>
  <rv s="0">
    <fb>10</fb>
    <v>29</v>
  </rv>
  <rv s="0">
    <fb>370</fb>
    <v>30</v>
  </rv>
  <rv s="0">
    <fb>12962.844999999999</fb>
    <v>9</v>
  </rv>
  <rv s="0">
    <fb>118.382098321258</fb>
    <v>31</v>
  </rv>
  <rv s="0">
    <fb>2.33450937988024E-2</fb>
    <v>28</v>
  </rv>
  <rv s="0">
    <fb>3821.1451704373999</fb>
    <v>9</v>
  </rv>
  <rv s="0">
    <fb>1.63</fb>
    <v>29</v>
  </rv>
  <rv s="0">
    <fb>0.34832858656605403</fb>
    <v>28</v>
  </rv>
  <rv s="0">
    <fb>67.9937494705635</fb>
    <v>34</v>
  </rv>
  <rv s="0">
    <fb>1.1599999999999999</fb>
    <v>32</v>
  </rv>
  <rv s="0">
    <fb>54219315600.085403</fb>
    <v>33</v>
  </rv>
  <rv s="0">
    <fb>1.0387475000000002</fb>
    <v>28</v>
  </rv>
  <rv s="0">
    <fb>0.7241746</fb>
    <v>28</v>
  </rv>
  <rv s="2">
    <v>180</v>
    <v>7</v>
    <v>853</v>
    <v>7</v>
    <v>0</v>
    <v>Image of Lithuania</v>
  </rv>
  <rv s="0">
    <fb>3.3</fb>
    <v>34</v>
  </rv>
  <rv s="1">
    <v>805306368</v>
    <v>Gitanas Nausėda (President)</v>
    <v>31a3df48-58cb-7e55-9149-1a72475eff13</v>
    <v>en-US</v>
    <v>Generic</v>
  </rv>
  <rv s="1">
    <v>805306368</v>
    <v>Gintautas Paluckas (Prime minister)</v>
    <v>8e73bcaa-2943-6b51-9045-c1d4c5cb09ba</v>
    <v>en-US</v>
    <v>Generic</v>
  </rv>
  <rv s="3">
    <v>378</v>
  </rv>
  <rv s="4">
    <v>https://www.bing.com/search?q=lithuania&amp;form=skydnc</v>
    <v>Learn more on Bing</v>
  </rv>
  <rv s="0">
    <fb>75.680487804878098</fb>
    <v>34</v>
  </rv>
  <rv s="0">
    <fb>2.41</fb>
    <v>32</v>
  </rv>
  <rv s="3">
    <v>379</v>
  </rv>
  <rv s="0">
    <fb>0.32072368419999997</fb>
    <v>28</v>
  </rv>
  <rv s="0">
    <fb>6.3528000000000002</fb>
    <v>29</v>
  </rv>
  <rv s="0">
    <fb>2833000</fb>
    <v>9</v>
  </rv>
  <rv s="0">
    <fb>0.28399999999999997</fb>
    <v>28</v>
  </rv>
  <rv s="0">
    <fb>0.439</fb>
    <v>28</v>
  </rv>
  <rv s="0">
    <fb>6.3E-2</fb>
    <v>28</v>
  </rv>
  <rv s="0">
    <fb>0.61618000030517595</fb>
    <v>28</v>
  </rv>
  <rv s="1">
    <v>536870912</v>
    <v>Alytus County</v>
    <v>d3bf6669-1859-bf71-7783-a04b99b61e10</v>
    <v>en-US</v>
    <v>Map</v>
  </rv>
  <rv s="1">
    <v>536870912</v>
    <v>Kaunas County</v>
    <v>7227a506-5263-125e-c8e6-55dbf9a424e1</v>
    <v>en-US</v>
    <v>Map</v>
  </rv>
  <rv s="1">
    <v>536870912</v>
    <v>Klaipėda County</v>
    <v>fa25e6eb-eaf9-9d76-60aa-f31d31f67bd9</v>
    <v>en-US</v>
    <v>Map</v>
  </rv>
  <rv s="1">
    <v>536870912</v>
    <v>Marijampolė County</v>
    <v>1f4b6e94-fbea-6340-831b-20969e53c74b</v>
    <v>en-US</v>
    <v>Map</v>
  </rv>
  <rv s="1">
    <v>536870912</v>
    <v>Panevėžys County</v>
    <v>e4a8f632-ffa2-d3e1-0fa0-f962fd3a5f2c</v>
    <v>en-US</v>
    <v>Map</v>
  </rv>
  <rv s="1">
    <v>536870912</v>
    <v>Šiauliai County</v>
    <v>1ee29192-80cd-ad3f-9eca-6cd98d29db16</v>
    <v>en-US</v>
    <v>Map</v>
  </rv>
  <rv s="1">
    <v>536870912</v>
    <v>Tauragė County</v>
    <v>4c67498e-3bb1-6ad5-c8b2-e4e0b356c882</v>
    <v>en-US</v>
    <v>Map</v>
  </rv>
  <rv s="1">
    <v>536870912</v>
    <v>Telšiai County</v>
    <v>6bb58e6f-53ac-99da-502a-fc76d7ec5d9d</v>
    <v>en-US</v>
    <v>Map</v>
  </rv>
  <rv s="1">
    <v>536870912</v>
    <v>Utena County</v>
    <v>59d149a9-8e40-1500-c927-d85b5f9c916e</v>
    <v>en-US</v>
    <v>Map</v>
  </rv>
  <rv s="3">
    <v>380</v>
  </rv>
  <rv s="0">
    <fb>0.1685608755171</fb>
    <v>28</v>
  </rv>
  <rv s="0">
    <fb>0.42599999999999999</fb>
    <v>28</v>
  </rv>
  <rv s="0">
    <fb>6.3520002365112294E-2</fb>
    <v>35</v>
  </rv>
  <rv s="0">
    <fb>1891013</fb>
    <v>9</v>
  </rv>
  <rv s="8">
    <v>#VALUE!</v>
    <v>en-US</v>
    <v>51ff0e88-f474-0092-fafc-133eb18df4be</v>
    <v>536870912</v>
    <v>1</v>
    <v>856</v>
    <v>46</v>
    <v>Lithuania</v>
    <v>5</v>
    <v>6</v>
    <v>Map</v>
    <v>7</v>
    <v>857</v>
    <v>LT</v>
    <v>5407</v>
    <v>5408</v>
    <v>5409</v>
    <v>5410</v>
    <v>5411</v>
    <v>5395</v>
    <v>5412</v>
    <v>5413</v>
    <v>5414</v>
    <v>EUR</v>
    <v>Lithuania, officially the Republic of Lithuania, is a country in the Baltic region of Europe. It is one of three Baltic states and lies on the eastern shore of the Baltic Sea, bordered by Latvia to the north, Belarus to the east and south, ...</v>
    <v>5415</v>
    <v>5416</v>
    <v>5417</v>
    <v>5418</v>
    <v>5419</v>
    <v>5420</v>
    <v>5421</v>
    <v>5422</v>
    <v>5423</v>
    <v>5424</v>
    <v>5395</v>
    <v>5427</v>
    <v>5428</v>
    <v>5429</v>
    <v>2628</v>
    <v>5430</v>
    <v>Lithuania</v>
    <v>Tautiška giesmė</v>
    <v>5431</v>
    <v>Lietuvos Respublika</v>
    <v>5432</v>
    <v>5433</v>
    <v>5434</v>
    <v>240</v>
    <v>5435</v>
    <v>5436</v>
    <v>2585</v>
    <v>5437</v>
    <v>3740</v>
    <v>590</v>
    <v>5438</v>
    <v>5448</v>
    <v>5449</v>
    <v>3942</v>
    <v>5450</v>
    <v>5451</v>
    <v>Lithuania</v>
    <v>5452</v>
    <v>mdp/vdpid/141</v>
  </rv>
  <rv s="1">
    <v>536870912</v>
    <v>Luxembourg City</v>
    <v>387ae05a-dd15-f01c-07b2-097158a060ba</v>
    <v>en-US</v>
    <v>Map</v>
  </rv>
  <rv s="1">
    <v>536870912</v>
    <v>Canton of Luxembourg</v>
    <v>171f2751-0da0-4a38-a2c7-d94a479c5c2a</v>
    <v>en-US</v>
    <v>Map</v>
  </rv>
  <rv s="0">
    <fb>51.46</fb>
    <v>9</v>
  </rv>
  <rv s="1">
    <v>536870912</v>
    <v>Luxembourg</v>
    <v>18da5ef5-2f6b-6dda-3140-08391acd669a</v>
    <v>en-US</v>
    <v>Map</v>
  </rv>
  <rv s="2">
    <v>181</v>
    <v>7</v>
    <v>858</v>
    <v>7</v>
    <v>0</v>
    <v>Image of Luxembourg City</v>
  </rv>
  <rv s="0">
    <fb>49.610555555555997</fb>
    <v>0</v>
  </rv>
  <rv s="1">
    <v>805306368</v>
    <v>Lydie Polfer (Mayor)</v>
    <v>450611d6-dd7c-e51c-328a-98d818614afa</v>
    <v>en-US</v>
    <v>Generic</v>
  </rv>
  <rv s="3">
    <v>381</v>
  </rv>
  <rv s="4">
    <v>https://www.bing.com/search?q=luxembourg&amp;form=skydnc</v>
    <v>Learn more on Bing</v>
  </rv>
  <rv s="0">
    <fb>6.1327777777778003</fb>
    <v>0</v>
  </rv>
  <rv s="0">
    <fb>136208</fb>
    <v>9</v>
  </rv>
  <rv s="7">
    <v>#VALUE!</v>
    <v>en-US</v>
    <v>387ae05a-dd15-f01c-07b2-097158a060ba</v>
    <v>536870912</v>
    <v>1</v>
    <v>859</v>
    <v>38</v>
    <v>Luxembourg City</v>
    <v>5</v>
    <v>6</v>
    <v>Map</v>
    <v>7</v>
    <v>561</v>
    <v>5455</v>
    <v>5456</v>
    <v>5457</v>
    <v>Luxembourg, also known as Luxembourg City, is the capital city of Luxembourg and the country's most populous commune. Standing at the confluence of the Alzette and Pétrusse rivers in southern Luxembourg, the city lies at the heart of Western ...</v>
    <v>5458</v>
    <v>5459</v>
    <v>5461</v>
    <v>5462</v>
    <v>5463</v>
    <v>Luxembourg City</v>
    <v>5464</v>
    <v>193</v>
    <v>Luxembourg City</v>
    <v>mdp/vdpid/7014441827436593153</v>
  </rv>
  <rv s="0">
    <fb>0.53711935914593001</fb>
    <v>28</v>
  </rv>
  <rv s="0">
    <fb>2586.36</fb>
    <v>9</v>
  </rv>
  <rv s="0">
    <fb>352</fb>
    <v>30</v>
  </rv>
  <rv s="0">
    <fb>8987.8169999999991</fb>
    <v>9</v>
  </rv>
  <rv s="0">
    <fb>115.087815087815</fb>
    <v>31</v>
  </rv>
  <rv s="0">
    <fb>1.7433207565384301E-2</fb>
    <v>28</v>
  </rv>
  <rv s="0">
    <fb>13914.6784488756</fb>
    <v>9</v>
  </rv>
  <rv s="0">
    <fb>1.37</fb>
    <v>29</v>
  </rv>
  <rv s="0">
    <fb>0.35679011089811602</fb>
    <v>28</v>
  </rv>
  <rv s="0">
    <fb>80.562295207665002</fb>
    <v>34</v>
  </rv>
  <rv s="0">
    <fb>1.19</fb>
    <v>32</v>
  </rv>
  <rv s="0">
    <fb>71104919108.141098</fb>
    <v>33</v>
  </rv>
  <rv s="0">
    <fb>1.0228595</fb>
    <v>28</v>
  </rv>
  <rv s="0">
    <fb>0.19151769999999999</fb>
    <v>28</v>
  </rv>
  <rv s="2">
    <v>182</v>
    <v>7</v>
    <v>861</v>
    <v>7</v>
    <v>0</v>
    <v>Image of Luxembourg</v>
  </rv>
  <rv s="1">
    <v>805306368</v>
    <v>Henri, Grand Duke of Luxembourg (Grand duke)</v>
    <v>894c7fec-1e82-07fe-a006-b2af9628daf3</v>
    <v>en-US</v>
    <v>Generic</v>
  </rv>
  <rv s="1">
    <v>805306368</v>
    <v>Luc Frieden (Prime minister)</v>
    <v>34f15d99-e5c7-68a7-a409-8ecb4852ede1</v>
    <v>en-US</v>
    <v>Generic</v>
  </rv>
  <rv s="3">
    <v>382</v>
  </rv>
  <rv s="0">
    <fb>82.095121951219497</fb>
    <v>34</v>
  </rv>
  <rv s="0">
    <fb>44233610000</fb>
    <v>33</v>
  </rv>
  <rv s="0">
    <fb>13.05</fb>
    <v>32</v>
  </rv>
  <rv s="3">
    <v>383</v>
  </rv>
  <rv s="0">
    <fb>0.1064453761</fb>
    <v>28</v>
  </rv>
  <rv s="0">
    <fb>3.0089999999999999</fb>
    <v>29</v>
  </rv>
  <rv s="0">
    <fb>650774</fb>
    <v>9</v>
  </rv>
  <rv s="0">
    <fb>0.11900000000000001</fb>
    <v>28</v>
  </rv>
  <rv s="0">
    <fb>0.16800000000000001</fb>
    <v>28</v>
  </rv>
  <rv s="0">
    <fb>0.59326999664306601</fb>
    <v>28</v>
  </rv>
  <rv s="1">
    <v>536870912</v>
    <v>Canton of Capellen</v>
    <v>bd446784-089a-4387-91e0-745e2d9aa081</v>
    <v>en-US</v>
    <v>Map</v>
  </rv>
  <rv s="1">
    <v>536870912</v>
    <v>Canton of Clervaux</v>
    <v>1b7004bc-ab3a-45fd-a70a-20e7f89eb062</v>
    <v>en-US</v>
    <v>Map</v>
  </rv>
  <rv s="1">
    <v>536870912</v>
    <v>Canton of Diekirch</v>
    <v>b5a83e53-cb8d-466d-a545-177bc8ef037b</v>
    <v>en-US</v>
    <v>Map</v>
  </rv>
  <rv s="1">
    <v>536870912</v>
    <v>Canton of Echternach</v>
    <v>e3be1914-9495-4f58-8005-d96a2f741133</v>
    <v>en-US</v>
    <v>Map</v>
  </rv>
  <rv s="1">
    <v>536870912</v>
    <v>Canton of Esch-sur-Alzette</v>
    <v>1e331e0a-74b6-4405-98e3-289db1a9f97e</v>
    <v>en-US</v>
    <v>Map</v>
  </rv>
  <rv s="1">
    <v>536870912</v>
    <v>Canton of Grevenmacher</v>
    <v>9b31192b-c089-0a78-80b9-4ef1f9c3e9aa</v>
    <v>en-US</v>
    <v>Map</v>
  </rv>
  <rv s="1">
    <v>536870912</v>
    <v>Canton of Mersch</v>
    <v>16f03108-a662-466f-a1a5-3881627bde57</v>
    <v>en-US</v>
    <v>Map</v>
  </rv>
  <rv s="1">
    <v>536870912</v>
    <v>Canton of Redange</v>
    <v>889729cf-6ce8-4240-834f-7c4f54f840b5</v>
    <v>en-US</v>
    <v>Map</v>
  </rv>
  <rv s="1">
    <v>536870912</v>
    <v>Canton of Remich</v>
    <v>741c0fb0-658a-41ee-b08c-8fef24f0c950</v>
    <v>en-US</v>
    <v>Map</v>
  </rv>
  <rv s="1">
    <v>536870912</v>
    <v>Canton of Vianden</v>
    <v>b83efdea-52ca-40bc-8dab-01bd4791b97f</v>
    <v>en-US</v>
    <v>Map</v>
  </rv>
  <rv s="1">
    <v>536870912</v>
    <v>Canton of Wiltz</v>
    <v>c2159e75-2a64-d745-4dcf-897d79437de3</v>
    <v>en-US</v>
    <v>Map</v>
  </rv>
  <rv s="3">
    <v>384</v>
  </rv>
  <rv s="0">
    <fb>0.26504268340465897</fb>
    <v>28</v>
  </rv>
  <rv s="0">
    <fb>5.3629999160766599E-2</fb>
    <v>35</v>
  </rv>
  <rv s="0">
    <fb>565488</fb>
    <v>9</v>
  </rv>
  <rv s="9">
    <v>#VALUE!</v>
    <v>en-US</v>
    <v>18da5ef5-2f6b-6dda-3140-08391acd669a</v>
    <v>536870912</v>
    <v>1</v>
    <v>864</v>
    <v>55</v>
    <v>Luxembourg</v>
    <v>5</v>
    <v>6</v>
    <v>Map</v>
    <v>7</v>
    <v>625</v>
    <v>LU</v>
    <v>5466</v>
    <v>5467</v>
    <v>1138</v>
    <v>1082</v>
    <v>5468</v>
    <v>5454</v>
    <v>5469</v>
    <v>5470</v>
    <v>5471</v>
    <v>EUR</v>
    <v>Luxembourg, officially named the Grand Duchy of Luxembourg, is a landlocked country in Western Europe. It is bordered by Belgium to the west and north, Germany to the east, and France on the south. Its capital and most populous city, Luxembourg ...</v>
    <v>5472</v>
    <v>5473</v>
    <v>5474</v>
    <v>5475</v>
    <v>5476</v>
    <v>5477</v>
    <v>5478</v>
    <v>5479</v>
    <v>5480</v>
    <v>2748</v>
    <v>5454</v>
    <v>5483</v>
    <v>5462</v>
    <v>5484</v>
    <v>5485</v>
    <v>440</v>
    <v>5486</v>
    <v>Luxembourg</v>
    <v>Ons Heemecht</v>
    <v>5487</v>
    <v>Grand-Duché de Luxembourg</v>
    <v>5488</v>
    <v>5489</v>
    <v>5490</v>
    <v>172</v>
    <v>3610</v>
    <v>937</v>
    <v>2013</v>
    <v>2264</v>
    <v>5491</v>
    <v>5492</v>
    <v>5493</v>
    <v>5505</v>
    <v>5506</v>
    <v>193</v>
    <v>382</v>
    <v>5507</v>
    <v>Luxembourg</v>
    <v>5508</v>
    <v>mdp/vdpid/147</v>
  </rv>
  <rv s="1">
    <v>536870912</v>
    <v>Antananarivo</v>
    <v>015e5356-1976-ff36-b4fa-949440dd65d5</v>
    <v>en-US</v>
    <v>Map</v>
  </rv>
  <rv s="0">
    <fb>88</fb>
    <v>9</v>
  </rv>
  <rv s="1">
    <v>536870912</v>
    <v>Madagascar</v>
    <v>0c191888-e860-e654-dadd-811644d3a15d</v>
    <v>en-US</v>
    <v>Map</v>
  </rv>
  <rv s="2">
    <v>183</v>
    <v>7</v>
    <v>866</v>
    <v>7</v>
    <v>0</v>
    <v>Image of Antananarivo</v>
  </rv>
  <rv s="0">
    <fb>-18.938611111111001</fb>
    <v>0</v>
  </rv>
  <rv s="3">
    <v>385</v>
  </rv>
  <rv s="4">
    <v>https://www.bing.com/search?q=antananarivo&amp;form=skydnc</v>
    <v>Learn more on Bing</v>
  </rv>
  <rv s="0">
    <fb>47.521388888889</fb>
    <v>0</v>
  </rv>
  <rv s="0">
    <fb>1275207</fb>
    <v>9</v>
  </rv>
  <rv s="56">
    <v>#VALUE!</v>
    <v>en-US</v>
    <v>015e5356-1976-ff36-b4fa-949440dd65d5</v>
    <v>536870912</v>
    <v>1</v>
    <v>867</v>
    <v>703</v>
    <v>Antananarivo</v>
    <v>5</v>
    <v>6</v>
    <v>Map</v>
    <v>7</v>
    <v>442</v>
    <v>5511</v>
    <v>5512</v>
    <v>Antananarivo, also known by its colonial shorthand form Tana, is the capital and largest city of Madagascar. The administrative area of the city, known as Antananarivo-Renivohitra, is the capital of Analamanga region. The city sits at 1,280 m ...</v>
    <v>5513</v>
    <v>5514</v>
    <v>5515</v>
    <v>5516</v>
    <v>5517</v>
    <v>Antananarivo</v>
    <v>5518</v>
    <v>Antananarivo</v>
    <v>mdp/vdpid/8237573476349640705</v>
  </rv>
  <rv s="0">
    <fb>0.71184255757992398</fb>
    <v>28</v>
  </rv>
  <rv s="0">
    <fb>587295</fb>
    <v>9</v>
  </rv>
  <rv s="0">
    <fb>22000</fb>
    <v>9</v>
  </rv>
  <rv s="0">
    <fb>32.656999999999996</fb>
    <v>29</v>
  </rv>
  <rv s="0">
    <fb>261</fb>
    <v>30</v>
  </rv>
  <rv s="0">
    <fb>3905.355</fb>
    <v>9</v>
  </rv>
  <rv s="0">
    <fb>184.32973641733099</fb>
    <v>31</v>
  </rv>
  <rv s="0">
    <fb>5.6253057395435402E-2</fb>
    <v>28</v>
  </rv>
  <rv s="0">
    <fb>4.077</fb>
    <v>29</v>
  </rv>
  <rv s="0">
    <fb>0.21411137848057799</fb>
    <v>28</v>
  </rv>
  <rv s="0">
    <fb>14083906356.618</fb>
    <v>33</v>
  </rv>
  <rv s="0">
    <fb>1.4253427999999999</fb>
    <v>28</v>
  </rv>
  <rv s="0">
    <fb>5.3504899999999994E-2</fb>
    <v>28</v>
  </rv>
  <rv s="2">
    <v>184</v>
    <v>7</v>
    <v>869</v>
    <v>7</v>
    <v>0</v>
    <v>Image of Madagascar</v>
  </rv>
  <rv s="0">
    <fb>38.200000000000003</fb>
    <v>34</v>
  </rv>
  <rv s="1">
    <v>805306368</v>
    <v>Andry Rajoelina (President)</v>
    <v>831fc6e2-4f84-cb4e-dc84-1014089f3d48</v>
    <v>en-US</v>
    <v>Generic</v>
  </rv>
  <rv s="1">
    <v>805306368</v>
    <v>Christian Ntsay (Prime minister)</v>
    <v>14d5c0ac-1a19-36a2-52dc-1855e475b986</v>
    <v>en-US</v>
    <v>Generic</v>
  </rv>
  <rv s="3">
    <v>386</v>
  </rv>
  <rv s="4">
    <v>https://www.bing.com/search?q=madagascar&amp;form=skydnc</v>
    <v>Learn more on Bing</v>
  </rv>
  <rv s="0">
    <fb>66.680999999999997</fb>
    <v>34</v>
  </rv>
  <rv s="0">
    <fb>335</fb>
    <v>34</v>
  </rv>
  <rv s="0">
    <fb>0.21</fb>
    <v>32</v>
  </rv>
  <rv s="3">
    <v>387</v>
  </rv>
  <rv s="0">
    <fb>0.21660046290000001</fb>
    <v>28</v>
  </rv>
  <rv s="0">
    <fb>0.1812</fb>
    <v>29</v>
  </rv>
  <rv s="0">
    <fb>29611714</fb>
    <v>9</v>
  </rv>
  <rv s="0">
    <fb>0.33500000000000002</fb>
    <v>28</v>
  </rv>
  <rv s="0">
    <fb>0.49399999999999999</fb>
    <v>28</v>
  </rv>
  <rv s="0">
    <fb>0.14099999999999999</fb>
    <v>28</v>
  </rv>
  <rv s="0">
    <fb>0.86126998901367202</fb>
    <v>28</v>
  </rv>
  <rv s="1">
    <v>536870912</v>
    <v>Antananarivo Province</v>
    <v>774a3ee9-5787-6ee7-6e63-7d86a1dfad3f</v>
    <v>en-US</v>
    <v>Map</v>
  </rv>
  <rv s="1">
    <v>536870912</v>
    <v>Antsiranana Province</v>
    <v>44173606-a566-f68b-0721-d4fc912b69f0</v>
    <v>en-US</v>
    <v>Map</v>
  </rv>
  <rv s="1">
    <v>536870912</v>
    <v>Fianarantsoa Province</v>
    <v>ef5ed46a-3d90-24e6-f03f-1328f7a8e283</v>
    <v>en-US</v>
    <v>Map</v>
  </rv>
  <rv s="1">
    <v>536870912</v>
    <v>Mahajanga Province</v>
    <v>89db80b9-c4d6-de79-f49c-1ed17577f6e5</v>
    <v>en-US</v>
    <v>Map</v>
  </rv>
  <rv s="1">
    <v>536870912</v>
    <v>Toamasina Province</v>
    <v>5ec8ab51-8059-2832-127d-24185cf6dbc1</v>
    <v>en-US</v>
    <v>Map</v>
  </rv>
  <rv s="1">
    <v>536870912</v>
    <v>Toliara Province</v>
    <v>379e6f2e-26ba-3c7e-efc5-890c18372229</v>
    <v>en-US</v>
    <v>Map</v>
  </rv>
  <rv s="3">
    <v>388</v>
  </rv>
  <rv s="0">
    <fb>0.102158473066606</fb>
    <v>28</v>
  </rv>
  <rv s="0">
    <fb>0.38299999999999995</fb>
    <v>28</v>
  </rv>
  <rv s="0">
    <fb>1.75800001621246E-2</fb>
    <v>35</v>
  </rv>
  <rv s="0">
    <fb>10210849</fb>
    <v>9</v>
  </rv>
  <rv s="32">
    <v>#VALUE!</v>
    <v>en-US</v>
    <v>0c191888-e860-e654-dadd-811644d3a15d</v>
    <v>536870912</v>
    <v>1</v>
    <v>872</v>
    <v>326</v>
    <v>Madagascar</v>
    <v>5</v>
    <v>6</v>
    <v>Map</v>
    <v>7</v>
    <v>873</v>
    <v>MG</v>
    <v>5520</v>
    <v>5521</v>
    <v>5522</v>
    <v>5523</v>
    <v>5524</v>
    <v>5510</v>
    <v>5525</v>
    <v>5526</v>
    <v>5527</v>
    <v>MGA</v>
    <v>Madagascar, officially the Republic of Madagascar, is an island country that includes the island of Madagascar and numerous smaller peripheral islands. Lying off the southeastern coast of Africa, it is the world's fourth largest island, the ...</v>
    <v>5528</v>
    <v>5529</v>
    <v>1641</v>
    <v>5530</v>
    <v>5531</v>
    <v>5532</v>
    <v>5533</v>
    <v>5534</v>
    <v>5510</v>
    <v>5537</v>
    <v>5538</v>
    <v>5539</v>
    <v>5540</v>
    <v>5541</v>
    <v>Madagascar</v>
    <v>Ry Tanindrazanay malala ô!</v>
    <v>5542</v>
    <v>Madagascar</v>
    <v>5543</v>
    <v>5544</v>
    <v>5545</v>
    <v>2466</v>
    <v>5546</v>
    <v>5547</v>
    <v>1819</v>
    <v>1663</v>
    <v>3007</v>
    <v>5548</v>
    <v>5549</v>
    <v>5556</v>
    <v>5557</v>
    <v>1020</v>
    <v>5558</v>
    <v>5559</v>
    <v>Madagascar</v>
    <v>5560</v>
    <v>mdp/vdpid/149</v>
  </rv>
  <rv s="1">
    <v>536870912</v>
    <v>Lilongwe</v>
    <v>8ee8ebd1-3df0-a3b5-3d70-d8e0924b7ca7</v>
    <v>en-US</v>
    <v>Map</v>
  </rv>
  <rv s="1">
    <v>536870912</v>
    <v>Lilongwe District</v>
    <v>3b047900-bd42-62a8-0f08-596786ad2883</v>
    <v>en-US</v>
    <v>Map</v>
  </rv>
  <rv s="0">
    <fb>727.79</fb>
    <v>9</v>
  </rv>
  <rv s="1">
    <v>536870912</v>
    <v>Malawi</v>
    <v>ea88d001-8d7b-94df-0326-28dd7c25ee20</v>
    <v>en-US</v>
    <v>Map</v>
  </rv>
  <rv s="2">
    <v>185</v>
    <v>7</v>
    <v>874</v>
    <v>7</v>
    <v>0</v>
    <v>Image of Lilongwe</v>
  </rv>
  <rv s="0">
    <fb>-13.983333333333</fb>
    <v>0</v>
  </rv>
  <rv s="1">
    <v>805306368</v>
    <v>Esther Sagawa (Mayor)</v>
    <v>240fc55d-a49d-8f20-7d69-e97989984b9c</v>
    <v>en-US</v>
    <v>Generic</v>
  </rv>
  <rv s="3">
    <v>389</v>
  </rv>
  <rv s="4">
    <v>https://www.bing.com/search?q=lilongwe&amp;form=skydnc</v>
    <v>Learn more on Bing</v>
  </rv>
  <rv s="0">
    <fb>33.783333333332997</fb>
    <v>0</v>
  </rv>
  <rv s="0">
    <fb>989318</fb>
    <v>9</v>
  </rv>
  <rv s="66">
    <v>#VALUE!</v>
    <v>en-US</v>
    <v>8ee8ebd1-3df0-a3b5-3d70-d8e0924b7ca7</v>
    <v>536870912</v>
    <v>1</v>
    <v>875</v>
    <v>876</v>
    <v>Lilongwe</v>
    <v>5</v>
    <v>6</v>
    <v>Map</v>
    <v>7</v>
    <v>442</v>
    <v>5563</v>
    <v>5564</v>
    <v>5565</v>
    <v>Lilongwe is the capital and largest city of Malawi. It has a population of 989,318 as of the 2018 Census, up from a population of 674,448 in 2008. In 2020, that figure was 1,122,000. The city is located in the central region of Malawi, in the ...</v>
    <v>5566</v>
    <v>5567</v>
    <v>5569</v>
    <v>5570</v>
    <v>5571</v>
    <v>Lilongwe</v>
    <v>5572</v>
    <v>3369</v>
    <v>Lilongwe</v>
    <v>mdp/vdpid/8133871835440742401</v>
  </rv>
  <rv s="0">
    <fb>0.61412812897751401</fb>
    <v>28</v>
  </rv>
  <rv s="0">
    <fb>118484</fb>
    <v>9</v>
  </rv>
  <rv s="0">
    <fb>15000</fb>
    <v>9</v>
  </rv>
  <rv s="0">
    <fb>34.118000000000002</fb>
    <v>29</v>
  </rv>
  <rv s="0">
    <fb>265</fb>
    <v>30</v>
  </rv>
  <rv s="0">
    <fb>1298.1179999999999</fb>
    <v>9</v>
  </rv>
  <rv s="0">
    <fb>418.344325525805</fb>
    <v>31</v>
  </rv>
  <rv s="0">
    <fb>9.3708360560567208E-2</fb>
    <v>28</v>
  </rv>
  <rv s="0">
    <fb>4.2089999999999996</fb>
    <v>29</v>
  </rv>
  <rv s="0">
    <fb>0.33188375053033503</fb>
    <v>28</v>
  </rv>
  <rv s="0">
    <fb>1.1499999999999999</fb>
    <v>32</v>
  </rv>
  <rv s="0">
    <fb>7666704427.0091496</fb>
    <v>33</v>
  </rv>
  <rv s="0">
    <fb>1.4245782</fb>
    <v>28</v>
  </rv>
  <rv s="0">
    <fb>8.2387999999999992E-3</fb>
    <v>28</v>
  </rv>
  <rv s="2">
    <v>186</v>
    <v>7</v>
    <v>878</v>
    <v>7</v>
    <v>0</v>
    <v>Image of Malawi</v>
  </rv>
  <rv s="0">
    <fb>35.299999999999997</fb>
    <v>34</v>
  </rv>
  <rv s="1">
    <v>805306368</v>
    <v>Lazarus Chakwera (President)</v>
    <v>2b4828a1-f25e-45e7-bf10-4254523d3be3</v>
    <v>en-US</v>
    <v>Generic</v>
  </rv>
  <rv s="1">
    <v>805306368</v>
    <v>Michael Usi (Vice president)</v>
    <v>548ca96d-2c9b-71d5-74f1-54e559a2f9bc</v>
    <v>en-US</v>
    <v>Generic</v>
  </rv>
  <rv s="1">
    <v>805306368</v>
    <v>Catherine Gotani Hara (Speaker)</v>
    <v>c82e6d66-5ae1-9d19-d56a-2d0e43d47b7e</v>
    <v>en-US</v>
    <v>Generic</v>
  </rv>
  <rv s="1">
    <v>805306368</v>
    <v>Rizine Mzikamanda (Chief justice)</v>
    <v>1a5d8e52-6806-3541-454f-2de01bcc12f6</v>
    <v>en-US</v>
    <v>Generic</v>
  </rv>
  <rv s="3">
    <v>390</v>
  </rv>
  <rv s="4">
    <v>https://www.bing.com/search?q=malawi&amp;form=skydnc</v>
    <v>Learn more on Bing</v>
  </rv>
  <rv s="0">
    <fb>63.798000000000002</fb>
    <v>34</v>
  </rv>
  <rv s="0">
    <fb>349</fb>
    <v>34</v>
  </rv>
  <rv s="0">
    <fb>0.12</fb>
    <v>32</v>
  </rv>
  <rv s="0">
    <fb>0.10981896049999999</fb>
    <v>28</v>
  </rv>
  <rv s="0">
    <fb>3.5799999999999998E-2</fb>
    <v>29</v>
  </rv>
  <rv s="0">
    <fb>20405317</fb>
    <v>9</v>
  </rv>
  <rv s="0">
    <fb>0.188</fb>
    <v>28</v>
  </rv>
  <rv s="0">
    <fb>2.6000000000000002E-2</fb>
    <v>28</v>
  </rv>
  <rv s="0">
    <fb>6.4000000000000001E-2</fb>
    <v>28</v>
  </rv>
  <rv s="0">
    <fb>0.76718002319335898</fb>
    <v>28</v>
  </rv>
  <rv s="0">
    <fb>0.17253667002529302</fb>
    <v>28</v>
  </rv>
  <rv s="3">
    <v>391</v>
  </rv>
  <rv s="0">
    <fb>0.34499999999999997</fb>
    <v>28</v>
  </rv>
  <rv s="0">
    <fb>5.6529998779296903E-2</fb>
    <v>35</v>
  </rv>
  <rv s="0">
    <fb>3199301</fb>
    <v>9</v>
  </rv>
  <rv s="67">
    <v>#VALUE!</v>
    <v>en-US</v>
    <v>ea88d001-8d7b-94df-0326-28dd7c25ee20</v>
    <v>536870912</v>
    <v>1</v>
    <v>881</v>
    <v>882</v>
    <v>Malawi</v>
    <v>5</v>
    <v>6</v>
    <v>Map</v>
    <v>7</v>
    <v>883</v>
    <v>MW</v>
    <v>5574</v>
    <v>5575</v>
    <v>5576</v>
    <v>5577</v>
    <v>5578</v>
    <v>5562</v>
    <v>5579</v>
    <v>5580</v>
    <v>5581</v>
    <v>MWK</v>
    <v>Malawi, officially the Republic of Malawi and formerly known as Nyasaland, is a landlocked country in Southeastern Africa. It is bordered by Zambia to the west, Tanzania to the north and northeast, and Mozambique to the east, south, and ...</v>
    <v>5582</v>
    <v>5583</v>
    <v>5584</v>
    <v>5585</v>
    <v>5586</v>
    <v>5587</v>
    <v>5588</v>
    <v>5589</v>
    <v>5562</v>
    <v>5594</v>
    <v>5595</v>
    <v>5596</v>
    <v>5597</v>
    <v>5598</v>
    <v>Malawi</v>
    <v>Mlungu dalitsani Malaŵi</v>
    <v>448</v>
    <v>Malawi</v>
    <v>5599</v>
    <v>5600</v>
    <v>5601</v>
    <v>5602</v>
    <v>4078</v>
    <v>1953</v>
    <v>5603</v>
    <v>5604</v>
    <v>2930</v>
    <v>2634</v>
    <v>5605</v>
    <v>5606</v>
    <v>5607</v>
    <v>5608</v>
    <v>5609</v>
    <v>Malawi</v>
    <v>5610</v>
    <v>mdp/vdpid/156</v>
  </rv>
  <rv s="1">
    <v>536870912</v>
    <v>Kuala Lumpur</v>
    <v>22f00b26-6726-bd5c-180f-3ff38ae380f3</v>
    <v>en-US</v>
    <v>Map</v>
  </rv>
  <rv s="0">
    <fb>243.65</fb>
    <v>9</v>
  </rv>
  <rv s="1">
    <v>536870912</v>
    <v>Malaysia</v>
    <v>b3abad47-1313-e000-0d95-f77f69e2fcdd</v>
    <v>en-US</v>
    <v>Map</v>
  </rv>
  <rv s="2">
    <v>187</v>
    <v>7</v>
    <v>884</v>
    <v>7</v>
    <v>0</v>
    <v>Image of Kuala Lumpur</v>
  </rv>
  <rv s="1">
    <v>805306368</v>
    <v>Maimunah Mohd Sharif (Mayor)</v>
    <v>e460365c-33af-c512-021d-15ea70e026d8</v>
    <v>en-US</v>
    <v>Generic</v>
  </rv>
  <rv s="3">
    <v>392</v>
  </rv>
  <rv s="4">
    <v>https://www.bing.com/search?q=kuala+lumpur&amp;form=skydnc</v>
    <v>Learn more on Bing</v>
  </rv>
  <rv s="0">
    <fb>1982100</fb>
    <v>9</v>
  </rv>
  <rv s="18">
    <v>#VALUE!</v>
    <v>en-US</v>
    <v>22f00b26-6726-bd5c-180f-3ff38ae380f3</v>
    <v>536870912</v>
    <v>1</v>
    <v>886</v>
    <v>124</v>
    <v>Kuala Lumpur</v>
    <v>5</v>
    <v>6</v>
    <v>Map</v>
    <v>7</v>
    <v>8</v>
    <v>MY-14</v>
    <v>5613</v>
    <v>5614</v>
    <v>Kuala Lumpur, officially the Federal Territory of Kuala Lumpur, and colloquially referred to as KL, is the capital city and a federal territory of Malaysia. It is the largest city in the country, covering an area of 243 km² with a census ...</v>
    <v>5615</v>
    <v>5617</v>
    <v>5618</v>
    <v>Kuala Lumpur</v>
    <v>1602</v>
    <v>5619</v>
    <v>1612</v>
    <v>Kuala Lumpur</v>
    <v>mdp/vdpid/7886181754984202244</v>
  </rv>
  <rv s="0">
    <fb>0.262577994217014</fb>
    <v>28</v>
  </rv>
  <rv s="0">
    <fb>330803</fb>
    <v>9</v>
  </rv>
  <rv s="0">
    <fb>136000</fb>
    <v>9</v>
  </rv>
  <rv s="0">
    <fb>16.751999999999999</fb>
    <v>29</v>
  </rv>
  <rv s="0">
    <fb>60</fb>
    <v>30</v>
  </rv>
  <rv s="0">
    <fb>248288.90299999999</fb>
    <v>9</v>
  </rv>
  <rv s="0">
    <fb>121.463089485086</fb>
    <v>31</v>
  </rv>
  <rv s="0">
    <fb>6.6289186576437599E-3</fb>
    <v>28</v>
  </rv>
  <rv s="0">
    <fb>4651.9587341816004</fb>
    <v>9</v>
  </rv>
  <rv s="0">
    <fb>2.0009999999999999</fb>
    <v>29</v>
  </rv>
  <rv s="0">
    <fb>0.67597623554253505</fb>
    <v>28</v>
  </rv>
  <rv s="0">
    <fb>96.628198897808105</fb>
    <v>34</v>
  </rv>
  <rv s="0">
    <fb>0.45</fb>
    <v>32</v>
  </rv>
  <rv s="0">
    <fb>364701517787.84399</fb>
    <v>33</v>
  </rv>
  <rv s="0">
    <fb>1.052916</fb>
    <v>28</v>
  </rv>
  <rv s="0">
    <fb>0.45125390000000004</fb>
    <v>28</v>
  </rv>
  <rv s="2">
    <v>188</v>
    <v>7</v>
    <v>888</v>
    <v>7</v>
    <v>0</v>
    <v>Image of Malaysia</v>
  </rv>
  <rv s="1">
    <v>805306368</v>
    <v>Ibrahim Iskandar of Johor (King)</v>
    <v>cf1473be-96e1-a155-b8da-dd2b83f222ad</v>
    <v>en-US</v>
    <v>Generic</v>
  </rv>
  <rv s="1">
    <v>805306368</v>
    <v>Anwar Ibrahim (Prime minister)</v>
    <v>f9e60a62-71ef-3f6b-17a3-8c09746c314e</v>
    <v>en-US</v>
    <v>Generic</v>
  </rv>
  <rv s="3">
    <v>393</v>
  </rv>
  <rv s="4">
    <v>https://www.bing.com/search?q=malaysia&amp;form=skydnc</v>
    <v>Learn more on Bing</v>
  </rv>
  <rv s="0">
    <fb>75.997</fb>
    <v>34</v>
  </rv>
  <rv s="0">
    <fb>403957380000</fb>
    <v>33</v>
  </rv>
  <rv s="0">
    <fb>0.36668219639999999</fb>
    <v>28</v>
  </rv>
  <rv s="0">
    <fb>1.5132000000000001</fb>
    <v>29</v>
  </rv>
  <rv s="0">
    <fb>33938221</fb>
    <v>9</v>
  </rv>
  <rv s="0">
    <fb>0.313</fb>
    <v>28</v>
  </rv>
  <rv s="0">
    <fb>0.47299999999999998</fb>
    <v>28</v>
  </rv>
  <rv s="0">
    <fb>0.64289001464843809</fb>
    <v>28</v>
  </rv>
  <rv s="1">
    <v>536870912</v>
    <v>Johor</v>
    <v>592580f7-38da-e7c1-18ba-b603c80b3d69</v>
    <v>en-US</v>
    <v>Map</v>
  </rv>
  <rv s="1">
    <v>536870912</v>
    <v>Kedah</v>
    <v>1ad802ca-b889-4b0f-9d8c-d335fad09909</v>
    <v>en-US</v>
    <v>Map</v>
  </rv>
  <rv s="1">
    <v>536870912</v>
    <v>Kelantan</v>
    <v>4ce27f56-2eb0-d77a-ba8c-f8a03a225785</v>
    <v>en-US</v>
    <v>Map</v>
  </rv>
  <rv s="1">
    <v>536870912</v>
    <v>Malacca</v>
    <v>44a9355d-c135-72b5-fc60-4291a89e003e</v>
    <v>en-US</v>
    <v>Map</v>
  </rv>
  <rv s="1">
    <v>536870912</v>
    <v>Negeri Sembilan</v>
    <v>db3e30e6-d597-cb37-b5d7-d3dd4e8b5d00</v>
    <v>en-US</v>
    <v>Map</v>
  </rv>
  <rv s="1">
    <v>536870912</v>
    <v>Pahang</v>
    <v>829da6d6-c70a-85d9-8d5d-b70db574854d</v>
    <v>en-US</v>
    <v>Map</v>
  </rv>
  <rv s="1">
    <v>536870912</v>
    <v>Perak</v>
    <v>6ca4b1a2-6a13-0976-d0f4-e53c93091316</v>
    <v>en-US</v>
    <v>Map</v>
  </rv>
  <rv s="1">
    <v>536870912</v>
    <v>Perlis</v>
    <v>671c3535-7aad-076b-5860-99706390b32b</v>
    <v>en-US</v>
    <v>Map</v>
  </rv>
  <rv s="1">
    <v>536870912</v>
    <v>Penang</v>
    <v>bf464054-864b-9148-4d71-cc74f94e1588</v>
    <v>en-US</v>
    <v>Map</v>
  </rv>
  <rv s="1">
    <v>536870912</v>
    <v>Sabah</v>
    <v>6441d726-276d-e074-b446-2e6612c2e9e2</v>
    <v>en-US</v>
    <v>Map</v>
  </rv>
  <rv s="1">
    <v>536870912</v>
    <v>Sarawak</v>
    <v>dce6889b-8572-6739-b867-e448e9f0fc11</v>
    <v>en-US</v>
    <v>Map</v>
  </rv>
  <rv s="1">
    <v>536870912</v>
    <v>Selangor</v>
    <v>c58b8d2f-8526-6b7e-ae27-d302d98eb422</v>
    <v>en-US</v>
    <v>Map</v>
  </rv>
  <rv s="1">
    <v>536870912</v>
    <v>Terengganu</v>
    <v>4c426c92-33a4-e12c-382a-d84a8509dfa2</v>
    <v>en-US</v>
    <v>Map</v>
  </rv>
  <rv s="1">
    <v>536870912</v>
    <v>Labuan</v>
    <v>c205ca77-748f-befb-6130-2a7a0eb87dbc</v>
    <v>en-US</v>
    <v>Map</v>
  </rv>
  <rv s="1">
    <v>536870912</v>
    <v>Putrajaya</v>
    <v>703ccf1a-052c-03ee-0599-1ef25799d8dc</v>
    <v>en-US</v>
    <v>Map</v>
  </rv>
  <rv s="3">
    <v>394</v>
  </rv>
  <rv s="0">
    <fb>0.12029692391138701</fb>
    <v>28</v>
  </rv>
  <rv s="0">
    <fb>0.38700000000000001</fb>
    <v>28</v>
  </rv>
  <rv s="0">
    <fb>3.32399988174438E-2</fb>
    <v>35</v>
  </rv>
  <rv s="0">
    <fb>24475766</fb>
    <v>9</v>
  </rv>
  <rv s="9">
    <v>#VALUE!</v>
    <v>en-US</v>
    <v>b3abad47-1313-e000-0d95-f77f69e2fcdd</v>
    <v>536870912</v>
    <v>1</v>
    <v>891</v>
    <v>55</v>
    <v>Malaysia</v>
    <v>5</v>
    <v>6</v>
    <v>Map</v>
    <v>7</v>
    <v>892</v>
    <v>MY</v>
    <v>5621</v>
    <v>5622</v>
    <v>5623</v>
    <v>5624</v>
    <v>5625</v>
    <v>5612</v>
    <v>5626</v>
    <v>5627</v>
    <v>5628</v>
    <v>MYR</v>
    <v>Malaysia is a country in Southeast Asia. A federal constitutional monarchy, it consists of 13 states and three federal territories, separated by the South China Sea into two regions: Peninsular Malaysia and Borneo's East Malaysia. Peninsular ...</v>
    <v>5629</v>
    <v>5630</v>
    <v>5631</v>
    <v>5632</v>
    <v>5633</v>
    <v>5634</v>
    <v>5635</v>
    <v>5636</v>
    <v>5637</v>
    <v>5052</v>
    <v>5612</v>
    <v>5640</v>
    <v>5641</v>
    <v>5642</v>
    <v>5643</v>
    <v>2255</v>
    <v>630</v>
    <v>Malaysia</v>
    <v>Negaraku</v>
    <v>1602</v>
    <v>Malaysia</v>
    <v>5644</v>
    <v>5645</v>
    <v>5646</v>
    <v>4610</v>
    <v>5647</v>
    <v>5648</v>
    <v>2191</v>
    <v>2192</v>
    <v>1052</v>
    <v>2132</v>
    <v>5649</v>
    <v>5665</v>
    <v>5666</v>
    <v>1612</v>
    <v>5667</v>
    <v>5668</v>
    <v>Malaysia</v>
    <v>5669</v>
    <v>mdp/vdpid/167</v>
  </rv>
  <rv s="1">
    <v>536870912</v>
    <v>Malé</v>
    <v>8e679ccb-a0ba-c3fc-88e7-d8c9892b6366</v>
    <v>en-US</v>
    <v>Map</v>
  </rv>
  <rv s="0">
    <fb>5.8</fb>
    <v>9</v>
  </rv>
  <rv s="1">
    <v>536870912</v>
    <v>Maldives</v>
    <v>a47c2484-27b2-60d1-e810-f71acf7773f2</v>
    <v>en-US</v>
    <v>Map</v>
  </rv>
  <rv s="2">
    <v>189</v>
    <v>7</v>
    <v>893</v>
    <v>7</v>
    <v>0</v>
    <v>Image of Malé</v>
  </rv>
  <rv s="1">
    <v>805306368</v>
    <v>Mohamed Muiz (Mayor)</v>
    <v>a24ec8fc-72e6-350b-7f38-0d302c8c77b9</v>
    <v>en-US</v>
    <v>Generic</v>
  </rv>
  <rv s="3">
    <v>395</v>
  </rv>
  <rv s="4">
    <v>https://www.bing.com/search?q=mal%c3%a9+maldives&amp;form=skydnc</v>
    <v>Learn more on Bing</v>
  </rv>
  <rv s="0">
    <fb>252768</fb>
    <v>9</v>
  </rv>
  <rv s="3">
    <v>396</v>
  </rv>
  <rv s="68">
    <v>#VALUE!</v>
    <v>en-US</v>
    <v>8e679ccb-a0ba-c3fc-88e7-d8c9892b6366</v>
    <v>536870912</v>
    <v>1</v>
    <v>894</v>
    <v>895</v>
    <v>Malé</v>
    <v>5</v>
    <v>6</v>
    <v>Map</v>
    <v>7</v>
    <v>216</v>
    <v>5672</v>
    <v>5673</v>
    <v>Malé is the capital and most populous city of the Maldives. With a population of 211,908 in 2022 within its administrative area and coterminous geographical area of 8.30 square kilometres, Malé is also one of the most densely populated cities in ...</v>
    <v>5674</v>
    <v>5676</v>
    <v>5677</v>
    <v>Malé</v>
    <v>5678</v>
    <v>5679</v>
    <v>Malé</v>
    <v>mdp/vdpid/7483021187337945089</v>
  </rv>
  <rv s="0">
    <fb>0.263333336512248</fb>
    <v>28</v>
  </rv>
  <rv s="0">
    <fb>298</fb>
    <v>9</v>
  </rv>
  <rv s="0">
    <fb>5000</fb>
    <v>9</v>
  </rv>
  <rv s="0">
    <fb>14.199</fb>
    <v>29</v>
  </rv>
  <rv s="0">
    <fb>960</fb>
    <v>30</v>
  </rv>
  <rv s="0">
    <fb>1444.798</fb>
    <v>9</v>
  </rv>
  <rv s="0">
    <fb>99.704026856120294</fb>
    <v>31</v>
  </rv>
  <rv s="0">
    <fb>2.2002973106540801E-3</fb>
    <v>28</v>
  </rv>
  <rv s="0">
    <fb>1.87</fb>
    <v>29</v>
  </rv>
  <rv s="0">
    <fb>3.3333333333333298E-2</fb>
    <v>28</v>
  </rv>
  <rv s="0">
    <fb>1.63</fb>
    <v>32</v>
  </rv>
  <rv s="0">
    <fb>5729248472.2402802</fb>
    <v>33</v>
  </rv>
  <rv s="0">
    <fb>0.97109800000000002</fb>
    <v>28</v>
  </rv>
  <rv s="0">
    <fb>0.31223590000000001</fb>
    <v>28</v>
  </rv>
  <rv s="2">
    <v>190</v>
    <v>7</v>
    <v>897</v>
    <v>7</v>
    <v>0</v>
    <v>Image of Maldives</v>
  </rv>
  <rv s="1">
    <v>805306368</v>
    <v>Mohamed Muizzu (President)</v>
    <v>a24ec8fc-72e6-350b-7f38-0d302c8c77b9</v>
    <v>en-US</v>
    <v>Generic</v>
  </rv>
  <rv s="1">
    <v>805306368</v>
    <v>Hussain Mohamed Latheef (Vice president)</v>
    <v>7305cbd4-e6a4-1a71-eae4-299f039d91ff</v>
    <v>en-US</v>
    <v>Generic</v>
  </rv>
  <rv s="1">
    <v>805306368</v>
    <v>Ahmed Muthasim Adnan (Chief justice)</v>
    <v>30d1a91b-102d-9a61-9b29-f0e960a53632</v>
    <v>en-US</v>
    <v>Generic</v>
  </rv>
  <rv s="3">
    <v>397</v>
  </rv>
  <rv s="4">
    <v>https://www.bing.com/search?q=maldives&amp;form=skydnc</v>
    <v>Learn more on Bing</v>
  </rv>
  <rv s="0">
    <fb>78.626999999999995</fb>
    <v>34</v>
  </rv>
  <rv s="0">
    <fb>53</fb>
    <v>34</v>
  </rv>
  <rv s="3">
    <v>398</v>
  </rv>
  <rv s="0">
    <fb>0.1635462211</fb>
    <v>28</v>
  </rv>
  <rv s="0">
    <fb>4.5627000000000004</fb>
    <v>29</v>
  </rv>
  <rv s="0">
    <fb>523787</fb>
    <v>9</v>
  </rv>
  <rv s="0">
    <fb>0.252</fb>
    <v>28</v>
  </rv>
  <rv s="0">
    <fb>0.39799999999999996</fb>
    <v>28</v>
  </rv>
  <rv s="0">
    <fb>0.69790000915527306</fb>
    <v>28</v>
  </rv>
  <rv s="1">
    <v>536870912</v>
    <v>Haa Alif Atoll</v>
    <v>e587c9a7-de71-ac9a-8b51-1ccb14336103</v>
    <v>en-US</v>
    <v>Map</v>
  </rv>
  <rv s="1">
    <v>536870912</v>
    <v>Haa Dhaalu Atoll</v>
    <v>2639ad78-525a-a7fd-64aa-278cf29fe942</v>
    <v>en-US</v>
    <v>Map</v>
  </rv>
  <rv s="1">
    <v>536870912</v>
    <v>Shaviyani Atoll</v>
    <v>055ea66e-3b47-6db2-72d6-ac6cd5d12e1a</v>
    <v>en-US</v>
    <v>Map</v>
  </rv>
  <rv s="1">
    <v>536870912</v>
    <v>Noonu Atoll</v>
    <v>350d6475-a673-d90b-7d56-dd7a82114b0e</v>
    <v>en-US</v>
    <v>Map</v>
  </rv>
  <rv s="1">
    <v>536870912</v>
    <v>Raa Atoll</v>
    <v>629efca5-ab3c-aac8-0a85-b56537c4388f</v>
    <v>en-US</v>
    <v>Map</v>
  </rv>
  <rv s="1">
    <v>536870912</v>
    <v>Baa Atoll</v>
    <v>484c426b-22df-08ea-3681-9c0c568d8b57</v>
    <v>en-US</v>
    <v>Map</v>
  </rv>
  <rv s="1">
    <v>536870912</v>
    <v>Lhaviyani Atoll</v>
    <v>8d502c15-79a8-cede-d5a3-08da355b4bd4</v>
    <v>en-US</v>
    <v>Map</v>
  </rv>
  <rv s="1">
    <v>536870912</v>
    <v>Kaafu Atoll</v>
    <v>a06699e1-8b35-f6f4-19f1-7379c98a4436</v>
    <v>en-US</v>
    <v>Map</v>
  </rv>
  <rv s="1">
    <v>536870912</v>
    <v>Alif Alif Atoll</v>
    <v>28c82795-f0bc-8e45-05fa-4ecfe15c1a25</v>
    <v>en-US</v>
    <v>Map</v>
  </rv>
  <rv s="1">
    <v>536870912</v>
    <v>Alif Dhaal Atoll</v>
    <v>4a1f3cdf-c308-15c5-a6cf-bef7787f0b76</v>
    <v>en-US</v>
    <v>Map</v>
  </rv>
  <rv s="1">
    <v>536870912</v>
    <v>Vaavu Atoll</v>
    <v>59fa5b7b-337a-d037-4975-641c372591c7</v>
    <v>en-US</v>
    <v>Map</v>
  </rv>
  <rv s="1">
    <v>536870912</v>
    <v>Meemu Atoll</v>
    <v>5bde7f7e-9e6b-1df3-b2ca-9b81b128faf0</v>
    <v>en-US</v>
    <v>Map</v>
  </rv>
  <rv s="1">
    <v>536870912</v>
    <v>Faafu Atoll</v>
    <v>f19e7c96-3dc3-88c5-85e9-79906b0f507a</v>
    <v>en-US</v>
    <v>Map</v>
  </rv>
  <rv s="1">
    <v>536870912</v>
    <v>Dhaalu Atoll</v>
    <v>f2dcaf50-896c-bcc9-f58d-9015ac40bc34</v>
    <v>en-US</v>
    <v>Map</v>
  </rv>
  <rv s="1">
    <v>536870912</v>
    <v>Laamu Atoll</v>
    <v>2a6758b5-1975-742d-1139-15cea9df3516</v>
    <v>en-US</v>
    <v>Map</v>
  </rv>
  <rv s="1">
    <v>536870912</v>
    <v>Gaafu Alifu Atoll</v>
    <v>91f3c087-420d-dddf-5817-6e6fdb6603fe</v>
    <v>en-US</v>
    <v>Map</v>
  </rv>
  <rv s="1">
    <v>536870912</v>
    <v>Gaafu Dhaalu Atoll</v>
    <v>78043c36-b1ad-9de0-6037-2e5e6f7c05c1</v>
    <v>en-US</v>
    <v>Map</v>
  </rv>
  <rv s="1">
    <v>536870912</v>
    <v>Gnaviyani Atoll</v>
    <v>1c06e8c6-0cd3-2575-9500-ce96ff80322d</v>
    <v>en-US</v>
    <v>Map</v>
  </rv>
  <rv s="1">
    <v>536870912</v>
    <v>Seenu Atoll</v>
    <v>b6b72c59-ef35-cdd1-4718-6d1c4f2d264d</v>
    <v>en-US</v>
    <v>Map</v>
  </rv>
  <rv s="3">
    <v>399</v>
  </rv>
  <rv s="0">
    <fb>0.19463685334978698</fb>
    <v>28</v>
  </rv>
  <rv s="0">
    <fb>0.30199999999999999</fb>
    <v>28</v>
  </rv>
  <rv s="0">
    <fb>6.1380000114440898E-2</fb>
    <v>35</v>
  </rv>
  <rv s="0">
    <fb>213645</fb>
    <v>9</v>
  </rv>
  <rv s="69">
    <v>#VALUE!</v>
    <v>en-US</v>
    <v>a47c2484-27b2-60d1-e810-f71acf7773f2</v>
    <v>536870912</v>
    <v>1</v>
    <v>900</v>
    <v>901</v>
    <v>Maldives</v>
    <v>5</v>
    <v>6</v>
    <v>Map</v>
    <v>7</v>
    <v>902</v>
    <v>MV</v>
    <v>5681</v>
    <v>5682</v>
    <v>5683</v>
    <v>5684</v>
    <v>5685</v>
    <v>5671</v>
    <v>5686</v>
    <v>5687</v>
    <v>5688</v>
    <v>MVR</v>
    <v>The Maldives, officially the Republic of Maldives, and historically known as the Maldive Islands, is a country and archipelagic state in South Asia in the Indian Ocean. The Maldives is southwest of Sri Lanka and India, about 750 kilometres from ...</v>
    <v>5689</v>
    <v>5690</v>
    <v>434</v>
    <v>5691</v>
    <v>5692</v>
    <v>5693</v>
    <v>5694</v>
    <v>5695</v>
    <v>2245</v>
    <v>5671</v>
    <v>5699</v>
    <v>5700</v>
    <v>5701</v>
    <v>5702</v>
    <v>Maldives</v>
    <v>Gaumee Salaam</v>
    <v>5703</v>
    <v>ދިވެހިރާއްޖޭގެ ޖުމުހޫރިއްޔާ</v>
    <v>5704</v>
    <v>5705</v>
    <v>5706</v>
    <v>2261</v>
    <v>5707</v>
    <v>5708</v>
    <v>2760</v>
    <v>4185</v>
    <v>2762</v>
    <v>3612</v>
    <v>5709</v>
    <v>5729</v>
    <v>5730</v>
    <v>5679</v>
    <v>5731</v>
    <v>5732</v>
    <v>Maldives</v>
    <v>5733</v>
    <v>mdp/vdpid/165</v>
  </rv>
  <rv s="1">
    <v>536870912</v>
    <v>Bamako</v>
    <v>36570696-0722-c230-e02f-48363a1eb2c0</v>
    <v>en-US</v>
    <v>Map</v>
  </rv>
  <rv s="0">
    <fb>245</fb>
    <v>9</v>
  </rv>
  <rv s="1">
    <v>536870912</v>
    <v>Mali</v>
    <v>cb03b340-e63c-9100-b964-810a109c951b</v>
    <v>en-US</v>
    <v>Map</v>
  </rv>
  <rv s="2">
    <v>191</v>
    <v>7</v>
    <v>903</v>
    <v>7</v>
    <v>0</v>
    <v>Image of Bamako</v>
  </rv>
  <rv s="4">
    <v>https://www.bing.com/search?q=bamako&amp;form=skydnc</v>
    <v>Learn more on Bing</v>
  </rv>
  <rv s="0">
    <fb>4227569</fb>
    <v>9</v>
  </rv>
  <rv s="10">
    <v>#VALUE!</v>
    <v>en-US</v>
    <v>36570696-0722-c230-e02f-48363a1eb2c0</v>
    <v>536870912</v>
    <v>1</v>
    <v>905</v>
    <v>60</v>
    <v>Bamako</v>
    <v>5</v>
    <v>6</v>
    <v>Map</v>
    <v>7</v>
    <v>61</v>
    <v>ML-BKO</v>
    <v>5736</v>
    <v>5737</v>
    <v>Bamako is the capital and largest city of Mali, with a 2022 population of 4,227,569. It is located on the Niger River, near the rapids that divide the upper and middle Niger valleys in the southwestern part of the country.</v>
    <v>5738</v>
    <v>5739</v>
    <v>Bamako</v>
    <v>5740</v>
    <v>1712</v>
    <v>Bamako</v>
    <v>mdp/vdpid/5744068845107150849</v>
  </rv>
  <rv s="0">
    <fb>0.337660528278383</fb>
    <v>28</v>
  </rv>
  <rv s="0">
    <fb>1240192</fb>
    <v>9</v>
  </rv>
  <rv s="0">
    <fb>41.542999999999999</fb>
    <v>29</v>
  </rv>
  <rv s="0">
    <fb>223</fb>
    <v>30</v>
  </rv>
  <rv s="0">
    <fb>3179.2890000000002</fb>
    <v>9</v>
  </rv>
  <rv s="0">
    <fb>108.726079750895</fb>
    <v>31</v>
  </rv>
  <rv s="0">
    <fb>-1.6582669484636801E-2</fb>
    <v>28</v>
  </rv>
  <rv s="0">
    <fb>5.8769999999999998</fb>
    <v>29</v>
  </rv>
  <rv s="0">
    <fb>3.79940828887304E-2</fb>
    <v>28</v>
  </rv>
  <rv s="0">
    <fb>17510141171.340302</fb>
    <v>33</v>
  </rv>
  <rv s="0">
    <fb>0.75600599999999996</fb>
    <v>28</v>
  </rv>
  <rv s="0">
    <fb>4.5168999999999994E-2</fb>
    <v>28</v>
  </rv>
  <rv s="2">
    <v>192</v>
    <v>7</v>
    <v>907</v>
    <v>7</v>
    <v>0</v>
    <v>Image of Mali</v>
  </rv>
  <rv s="0">
    <fb>62</fb>
    <v>34</v>
  </rv>
  <rv s="1">
    <v>805306368</v>
    <v>Assimi Goïta (President)</v>
    <v>342e173e-887f-3282-7adc-383a6ef45cd6</v>
    <v>en-US</v>
    <v>Generic</v>
  </rv>
  <rv s="1">
    <v>805306368</v>
    <v>Abdoulaye Maïga (Prime minister)</v>
    <v>43a0d807-df96-eb00-4d1b-4ab8e7c42ef7</v>
    <v>en-US</v>
    <v>Generic</v>
  </rv>
  <rv s="3">
    <v>400</v>
  </rv>
  <rv s="4">
    <v>https://www.bing.com/search?q=mali&amp;form=skydnc</v>
    <v>Learn more on Bing</v>
  </rv>
  <rv s="0">
    <fb>58.893000000000001</fb>
    <v>34</v>
  </rv>
  <rv s="0">
    <fb>562</fb>
    <v>34</v>
  </rv>
  <rv s="0">
    <fb>0.23</fb>
    <v>32</v>
  </rv>
  <rv s="3">
    <v>401</v>
  </rv>
  <rv s="0">
    <fb>0.46307496290000005</fb>
    <v>28</v>
  </rv>
  <rv s="0">
    <fb>0.12859999999999999</fb>
    <v>29</v>
  </rv>
  <rv s="0">
    <fb>22593590</fb>
    <v>9</v>
  </rv>
  <rv s="0">
    <fb>0.25700000000000001</fb>
    <v>28</v>
  </rv>
  <rv s="0">
    <fb>0.41299999999999998</fb>
    <v>28</v>
  </rv>
  <rv s="0">
    <fb>0.7081300354003911</fb>
    <v>28</v>
  </rv>
  <rv s="1">
    <v>536870912</v>
    <v>Kayes Region</v>
    <v>1b608b9e-a98d-ad0a-dcee-094d4c484fbd</v>
    <v>en-US</v>
    <v>Map</v>
  </rv>
  <rv s="1">
    <v>536870912</v>
    <v>Koulikoro Region</v>
    <v>2bd39bdd-3736-a93c-d0e4-054c2801fd79</v>
    <v>en-US</v>
    <v>Map</v>
  </rv>
  <rv s="1">
    <v>536870912</v>
    <v>Sikasso Region</v>
    <v>2a095c2d-d3cc-f1a2-befa-11deec7e536f</v>
    <v>en-US</v>
    <v>Map</v>
  </rv>
  <rv s="1">
    <v>536870912</v>
    <v>Ségou Region</v>
    <v>609fb603-8312-80f3-9c23-4f986fc53a3e</v>
    <v>en-US</v>
    <v>Map</v>
  </rv>
  <rv s="1">
    <v>536870912</v>
    <v>Mopti Region</v>
    <v>62a291d5-a9c7-ad43-7309-bafc02a61a65</v>
    <v>en-US</v>
    <v>Map</v>
  </rv>
  <rv s="1">
    <v>536870912</v>
    <v>Tombouctou Region</v>
    <v>13d3585e-174a-78f7-0dda-1916db122d33</v>
    <v>en-US</v>
    <v>Map</v>
  </rv>
  <rv s="1">
    <v>536870912</v>
    <v>Gao Region</v>
    <v>625e3302-be1c-52fa-cc98-b124099e84fd</v>
    <v>en-US</v>
    <v>Map</v>
  </rv>
  <rv s="1">
    <v>536870912</v>
    <v>Kidal Region</v>
    <v>0d1b7009-70ec-e5d6-1a13-ae2a57637be9</v>
    <v>en-US</v>
    <v>Map</v>
  </rv>
  <rv s="3">
    <v>402</v>
  </rv>
  <rv s="0">
    <fb>0.116009205091107</fb>
    <v>28</v>
  </rv>
  <rv s="3">
    <v>403</v>
  </rv>
  <rv s="0">
    <fb>0.54500000000000004</fb>
    <v>28</v>
  </rv>
  <rv s="0">
    <fb>7.2239999771118196E-2</fb>
    <v>35</v>
  </rv>
  <rv s="0">
    <fb>8479688</fb>
    <v>9</v>
  </rv>
  <rv s="32">
    <v>#VALUE!</v>
    <v>en-US</v>
    <v>cb03b340-e63c-9100-b964-810a109c951b</v>
    <v>536870912</v>
    <v>1</v>
    <v>910</v>
    <v>326</v>
    <v>Mali</v>
    <v>5</v>
    <v>6</v>
    <v>Map</v>
    <v>7</v>
    <v>911</v>
    <v>ML</v>
    <v>5742</v>
    <v>5743</v>
    <v>2606</v>
    <v>5744</v>
    <v>5745</v>
    <v>5735</v>
    <v>5746</v>
    <v>5747</v>
    <v>5748</v>
    <v>XOF</v>
    <v>Mali, officially the Republic of Mali, is a landlocked country in West Africa. It is the eighth-largest country in Africa, with an area of over 1,240,192 square kilometres. The country is bordered to the north by Algeria, to the east by Niger, ...</v>
    <v>5749</v>
    <v>5750</v>
    <v>167</v>
    <v>5751</v>
    <v>5752</v>
    <v>5753</v>
    <v>5754</v>
    <v>5755</v>
    <v>5735</v>
    <v>5758</v>
    <v>5759</v>
    <v>5760</v>
    <v>5761</v>
    <v>5762</v>
    <v>Mali</v>
    <v>Le Mali</v>
    <v>5763</v>
    <v>Mali</v>
    <v>5764</v>
    <v>5765</v>
    <v>5766</v>
    <v>3398</v>
    <v>5767</v>
    <v>5768</v>
    <v>587</v>
    <v>1613</v>
    <v>3331</v>
    <v>3142</v>
    <v>5769</v>
    <v>5778</v>
    <v>5779</v>
    <v>5780</v>
    <v>5781</v>
    <v>5782</v>
    <v>Mali</v>
    <v>5783</v>
    <v>mdp/vdpid/157</v>
  </rv>
  <rv s="1">
    <v>536870912</v>
    <v>Valletta</v>
    <v>cdfd18b4-3655-378f-8de1-0c98e7c9461d</v>
    <v>en-US</v>
    <v>Map</v>
  </rv>
  <rv s="0">
    <fb>0.8</fb>
    <v>9</v>
  </rv>
  <rv s="1">
    <v>536870912</v>
    <v>Malta</v>
    <v>00727e9c-b7f7-2e31-0220-f5b9e956de8d</v>
    <v>en-US</v>
    <v>Map</v>
  </rv>
  <rv s="2">
    <v>193</v>
    <v>7</v>
    <v>913</v>
    <v>7</v>
    <v>0</v>
    <v>Image of Valletta</v>
  </rv>
  <rv s="0">
    <fb>35.897777777778003</fb>
    <v>0</v>
  </rv>
  <rv s="1">
    <v>805306368</v>
    <v>Olaf McKay (Mayor)</v>
    <v>b0fbb019-3649-01f9-0b3c-311b3053f41a</v>
    <v>en-US</v>
    <v>Generic</v>
  </rv>
  <rv s="3">
    <v>404</v>
  </rv>
  <rv s="4">
    <v>https://www.bing.com/search?q=valletta&amp;form=skydnc</v>
    <v>Learn more on Bing</v>
  </rv>
  <rv s="0">
    <fb>14.512499999999999</fb>
    <v>0</v>
  </rv>
  <rv s="0">
    <fb>6444</fb>
    <v>9</v>
  </rv>
  <rv s="45">
    <v>#VALUE!</v>
    <v>en-US</v>
    <v>cdfd18b4-3655-378f-8de1-0c98e7c9461d</v>
    <v>536870912</v>
    <v>1</v>
    <v>914</v>
    <v>505</v>
    <v>Valletta</v>
    <v>5</v>
    <v>6</v>
    <v>Map</v>
    <v>7</v>
    <v>158</v>
    <v>5786</v>
    <v>5787</v>
    <v>Valletta is the capital city of Malta and one of its 68 council areas. Located between the Grand Harbour to the east and Marsamxett Harbour to the west, its population as of 2021 was 5,157. As Malta’s capital city, it is a commercial centre for ...</v>
    <v>5788</v>
    <v>5789</v>
    <v>5791</v>
    <v>5792</v>
    <v>5793</v>
    <v>Valletta</v>
    <v>5794</v>
    <v>308</v>
    <v>Valletta</v>
    <v>mdp/vdpid/7220991795017023489</v>
  </rv>
  <rv s="0">
    <fb>0.32437500357627796</fb>
    <v>28</v>
  </rv>
  <rv s="0">
    <fb>316</fb>
    <v>9</v>
  </rv>
  <rv s="0">
    <fb>9.1999999999999993</fb>
    <v>29</v>
  </rv>
  <rv s="0">
    <fb>356</fb>
    <v>30</v>
  </rv>
  <rv s="0">
    <fb>1342.1220000000001</fb>
    <v>9</v>
  </rv>
  <rv s="0">
    <fb>113.452474124359</fb>
    <v>31</v>
  </rv>
  <rv s="0">
    <fb>1.6420600176894701E-2</fb>
    <v>28</v>
  </rv>
  <rv s="0">
    <fb>4924.54401944044</fb>
    <v>9</v>
  </rv>
  <rv s="0">
    <fb>1.23</fb>
    <v>29</v>
  </rv>
  <rv s="0">
    <fb>1.0937499813735501E-2</fb>
    <v>28</v>
  </rv>
  <rv s="0">
    <fb>97.788461662664503</fb>
    <v>34</v>
  </rv>
  <rv s="0">
    <fb>14786156563.3046</fb>
    <v>33</v>
  </rv>
  <rv s="0">
    <fb>1.0499836999999999</fb>
    <v>28</v>
  </rv>
  <rv s="0">
    <fb>0.54259920000000006</fb>
    <v>28</v>
  </rv>
  <rv s="2">
    <v>194</v>
    <v>7</v>
    <v>916</v>
    <v>7</v>
    <v>0</v>
    <v>Image of Malta</v>
  </rv>
  <rv s="0">
    <fb>6.1</fb>
    <v>34</v>
  </rv>
  <rv s="1">
    <v>805306368</v>
    <v>Myriam Spiteri Debono (President)</v>
    <v>e52ca3c1-17fe-501a-fd20-c222e1522d21</v>
    <v>en-US</v>
    <v>Generic</v>
  </rv>
  <rv s="1">
    <v>805306368</v>
    <v>Robert Abela (Prime minister)</v>
    <v>8f70166f-3cb4-66b0-283f-e62b495e7b44</v>
    <v>en-US</v>
    <v>Generic</v>
  </rv>
  <rv s="3">
    <v>405</v>
  </rv>
  <rv s="4">
    <v>https://www.bing.com/search?q=malta&amp;form=skydnc</v>
    <v>Learn more on Bing</v>
  </rv>
  <rv s="0">
    <fb>82.346341463414603</fb>
    <v>34</v>
  </rv>
  <rv s="0">
    <fb>5315940000</fb>
    <v>33</v>
  </rv>
  <rv s="0">
    <fb>5.07</fb>
    <v>32</v>
  </rv>
  <rv s="3">
    <v>406</v>
  </rv>
  <rv s="0">
    <fb>0.37102727109999994</fb>
    <v>28</v>
  </rv>
  <rv s="0">
    <fb>2.8597999999999999</fb>
    <v>29</v>
  </rv>
  <rv s="0">
    <fb>523417</fb>
    <v>9</v>
  </rv>
  <rv s="0">
    <fb>0.38</fb>
    <v>28</v>
  </rv>
  <rv s="0">
    <fb>0.13400000000000001</fb>
    <v>28</v>
  </rv>
  <rv s="0">
    <fb>0.56527000427246099</fb>
    <v>28</v>
  </rv>
  <rv s="0">
    <fb>0.26228254141502799</fb>
    <v>28</v>
  </rv>
  <rv s="0">
    <fb>0.44</fb>
    <v>28</v>
  </rv>
  <rv s="0">
    <fb>3.4730000495910601E-2</fb>
    <v>35</v>
  </rv>
  <rv s="0">
    <fb>475902</fb>
    <v>9</v>
  </rv>
  <rv s="70">
    <v>#VALUE!</v>
    <v>en-US</v>
    <v>00727e9c-b7f7-2e31-0220-f5b9e956de8d</v>
    <v>536870912</v>
    <v>1</v>
    <v>919</v>
    <v>920</v>
    <v>Malta</v>
    <v>5</v>
    <v>6</v>
    <v>Map</v>
    <v>7</v>
    <v>921</v>
    <v>MT</v>
    <v>5796</v>
    <v>5797</v>
    <v>1138</v>
    <v>5798</v>
    <v>5799</v>
    <v>5785</v>
    <v>5800</v>
    <v>5801</v>
    <v>5802</v>
    <v>EUR</v>
    <v>Malta, officially the Republic of Malta, is an island country in Southern Europe located in the Mediterranean Sea, between Sicily and North Africa. It consists of an archipelago 80 km south of Italy, 284 km east of Tunisia, and 333 km north of ...</v>
    <v>5803</v>
    <v>5804</v>
    <v>5805</v>
    <v>5806</v>
    <v>155</v>
    <v>5807</v>
    <v>5808</v>
    <v>5809</v>
    <v>5810</v>
    <v>5811</v>
    <v>5814</v>
    <v>5815</v>
    <v>5816</v>
    <v>5817</v>
    <v>642</v>
    <v>5818</v>
    <v>Malta</v>
    <v>L-Innu Malti</v>
    <v>5819</v>
    <v>Repubblika ta' Malta</v>
    <v>5820</v>
    <v>5821</v>
    <v>5822</v>
    <v>3398</v>
    <v>172</v>
    <v>5823</v>
    <v>2760</v>
    <v>1956</v>
    <v>5824</v>
    <v>4418</v>
    <v>5825</v>
    <v>5826</v>
    <v>193</v>
    <v>5827</v>
    <v>5828</v>
    <v>Malta</v>
    <v>5829</v>
    <v>mdp/vdpid/163</v>
  </rv>
  <rv s="1">
    <v>536870912</v>
    <v>Majuro</v>
    <v>f38f7b4e-3dd9-0d58-eed0-10bed4e17dd2</v>
    <v>en-US</v>
    <v>Map</v>
  </rv>
  <rv s="0">
    <fb>9.6999999999999993</fb>
    <v>9</v>
  </rv>
  <rv s="1">
    <v>536870912</v>
    <v>Marshall Islands</v>
    <v>e4f265b8-8c4d-e85f-5ca6-69fa717f99dd</v>
    <v>en-US</v>
    <v>Map</v>
  </rv>
  <rv s="2">
    <v>195</v>
    <v>7</v>
    <v>922</v>
    <v>7</v>
    <v>0</v>
    <v>Image of Majuro</v>
  </rv>
  <rv s="1">
    <v>805306368</v>
    <v>Ladie Jack (Mayor)</v>
    <v>511c23e3-7342-1c9b-65cb-0e915b73a652</v>
    <v>en-US</v>
    <v>Generic</v>
  </rv>
  <rv s="3">
    <v>407</v>
  </rv>
  <rv s="4">
    <v>https://www.bing.com/search?q=majuro&amp;form=skydnc</v>
    <v>Learn more on Bing</v>
  </rv>
  <rv s="0">
    <fb>23156</fb>
    <v>9</v>
  </rv>
  <rv s="3">
    <v>408</v>
  </rv>
  <rv s="16">
    <v>#VALUE!</v>
    <v>en-US</v>
    <v>f38f7b4e-3dd9-0d58-eed0-10bed4e17dd2</v>
    <v>536870912</v>
    <v>1</v>
    <v>924</v>
    <v>92</v>
    <v>Majuro</v>
    <v>5</v>
    <v>6</v>
    <v>Map</v>
    <v>7</v>
    <v>216</v>
    <v>MH-MAJ</v>
    <v>5832</v>
    <v>5833</v>
    <v>Majuro is the capital and largest city of the Marshall Islands. It is also a large coral atoll of 64 islands in the Pacific Ocean. It forms a legislative district of the Ratak Chain of the Marshall Islands. The atoll has a land area of 9.7 ...</v>
    <v>5834</v>
    <v>5836</v>
    <v>5837</v>
    <v>Majuro</v>
    <v>5838</v>
    <v>5839</v>
    <v>Majuro</v>
    <v>mdp/vdpid/8062848148948647937</v>
  </rv>
  <rv s="0">
    <fb>0.63888888888888895</fb>
    <v>28</v>
  </rv>
  <rv s="0">
    <fb>181.43</fb>
    <v>9</v>
  </rv>
  <rv s="0">
    <fb>29.028320744370301</fb>
    <v>29</v>
  </rv>
  <rv s="0">
    <fb>692</fb>
    <v>30</v>
  </rv>
  <rv s="0">
    <fb>143.01300000000001</fb>
    <v>9</v>
  </rv>
  <rv s="0">
    <fb>4.05</fb>
    <v>29</v>
  </rv>
  <rv s="0">
    <fb>0.70222224129571098</fb>
    <v>28</v>
  </rv>
  <rv s="0">
    <fb>1.44</fb>
    <v>32</v>
  </rv>
  <rv s="0">
    <fb>221278000</fb>
    <v>33</v>
  </rv>
  <rv s="0">
    <fb>0.84740159999999998</fb>
    <v>28</v>
  </rv>
  <rv s="0">
    <fb>0.23661269999999998</fb>
    <v>28</v>
  </rv>
  <rv s="2">
    <v>196</v>
    <v>7</v>
    <v>926</v>
    <v>7</v>
    <v>0</v>
    <v>Image of Marshall Islands</v>
  </rv>
  <rv s="0">
    <fb>27.4</fb>
    <v>34</v>
  </rv>
  <rv s="1">
    <v>805306368</v>
    <v>Hilda Heine (President)</v>
    <v>a07f32a5-6369-8d1f-afb3-a4fae4844881</v>
    <v>en-US</v>
    <v>Generic</v>
  </rv>
  <rv s="1">
    <v>805306368</v>
    <v>Brenson Wase (Speaker)</v>
    <v>7ed040d3-1cf7-6f9b-c0cc-af7ccbab75e8</v>
    <v>en-US</v>
    <v>Generic</v>
  </rv>
  <rv s="3">
    <v>409</v>
  </rv>
  <rv s="4">
    <v>https://www.bing.com/search?q=marshall+islands&amp;form=skydnc</v>
    <v>Learn more on Bing</v>
  </rv>
  <rv s="0">
    <fb>65.239024390243898</fb>
    <v>34</v>
  </rv>
  <rv s="3">
    <v>410</v>
  </rv>
  <rv s="0">
    <fb>9.9516019900000002E-2</fb>
    <v>28</v>
  </rv>
  <rv s="0">
    <fb>0.42330000000000001</fb>
    <v>29</v>
  </rv>
  <rv s="0">
    <fb>41569</fb>
    <v>9</v>
  </rv>
  <rv s="1">
    <v>536870912</v>
    <v>Ailinginae Atoll</v>
    <v>ac03cd28-7627-1885-e357-b479d578831a</v>
    <v>en-US</v>
    <v>Map</v>
  </rv>
  <rv s="1">
    <v>536870912</v>
    <v>Ailinglaplap Atoll</v>
    <v>7faa94a0-08f6-c3a3-1808-ecdf480b30cb</v>
    <v>en-US</v>
    <v>Map</v>
  </rv>
  <rv s="1">
    <v>536870912</v>
    <v>Ailuk Atoll</v>
    <v>cd22880f-cfc1-f778-dd37-5334ac210693</v>
    <v>en-US</v>
    <v>Map</v>
  </rv>
  <rv s="1">
    <v>536870912</v>
    <v>Arno Atoll</v>
    <v>d7e82bc5-75ad-5246-f448-17d05c1c81e0</v>
    <v>en-US</v>
    <v>Map</v>
  </rv>
  <rv s="1">
    <v>536870912</v>
    <v>Aur Atoll</v>
    <v>8a22b5f7-1900-041a-6c28-16be5a081a5a</v>
    <v>en-US</v>
    <v>Map</v>
  </rv>
  <rv s="1">
    <v>536870912</v>
    <v>Bikini Atoll</v>
    <v>9aa4564f-4baf-e216-c075-5a3799fee797</v>
    <v>en-US</v>
    <v>Map</v>
  </rv>
  <rv s="1">
    <v>536870912</v>
    <v>Ebon Atoll</v>
    <v>26935f41-0ea7-fca4-8c9d-a21fc3e38dc8</v>
    <v>en-US</v>
    <v>Map</v>
  </rv>
  <rv s="1">
    <v>536870912</v>
    <v>Enewetak Atoll</v>
    <v>b5220285-ce9b-51ee-af90-f29b26f2a57e</v>
    <v>en-US</v>
    <v>Map</v>
  </rv>
  <rv s="1">
    <v>536870912</v>
    <v>Jabat Island</v>
    <v>9fadc5e4-5ddb-cd0c-c340-26cf3946c3a5</v>
    <v>en-US</v>
    <v>Map</v>
  </rv>
  <rv s="1">
    <v>536870912</v>
    <v>Jaluit Atoll</v>
    <v>7e46e768-f4ea-a726-8bf0-0099a875d15f</v>
    <v>en-US</v>
    <v>Map</v>
  </rv>
  <rv s="1">
    <v>536870912</v>
    <v>Jemo Island</v>
    <v>d5e42cef-8e03-b0ad-1367-78e8866d2f67</v>
    <v>en-US</v>
    <v>Map</v>
  </rv>
  <rv s="1">
    <v>536870912</v>
    <v>Kili Island</v>
    <v>242b5ddd-6a44-9932-46be-e17c468d0505</v>
    <v>en-US</v>
    <v>Map</v>
  </rv>
  <rv s="1">
    <v>536870912</v>
    <v>Kwajalein Atoll</v>
    <v>5458a348-80c7-648b-ee67-016cd25b54ca</v>
    <v>en-US</v>
    <v>Map</v>
  </rv>
  <rv s="1">
    <v>536870912</v>
    <v>Lae Atoll</v>
    <v>ae4935e7-f475-a606-7045-35a8d94b8f96</v>
    <v>en-US</v>
    <v>Map</v>
  </rv>
  <rv s="1">
    <v>536870912</v>
    <v>Lib Island</v>
    <v>300c6bbc-f353-9bf5-492f-a59454ca32fd</v>
    <v>en-US</v>
    <v>Map</v>
  </rv>
  <rv s="1">
    <v>536870912</v>
    <v>Likiep Atoll</v>
    <v>031f13ff-7731-03ca-7a01-30d1a3a4c830</v>
    <v>en-US</v>
    <v>Map</v>
  </rv>
  <rv s="1">
    <v>536870912</v>
    <v>Maloelap Atoll</v>
    <v>a21fc1e7-27ca-1c6b-9e5a-d23498424521</v>
    <v>en-US</v>
    <v>Map</v>
  </rv>
  <rv s="1">
    <v>536870912</v>
    <v>Mejit Island</v>
    <v>3ab45fbf-42d2-11d7-5139-fe90e6b0182e</v>
    <v>en-US</v>
    <v>Map</v>
  </rv>
  <rv s="1">
    <v>536870912</v>
    <v>Mili Atoll</v>
    <v>a23aa8a6-ebdd-0eac-42c5-83bfbb1a3e16</v>
    <v>en-US</v>
    <v>Map</v>
  </rv>
  <rv s="1">
    <v>536870912</v>
    <v>Namdrik Atoll</v>
    <v>18b2dc0e-cd4f-8336-e13f-84a2bc4cd366</v>
    <v>en-US</v>
    <v>Map</v>
  </rv>
  <rv s="1">
    <v>536870912</v>
    <v>Namu Atoll</v>
    <v>a13799a1-3490-aa20-0268-ee9a0828c710</v>
    <v>en-US</v>
    <v>Map</v>
  </rv>
  <rv s="1">
    <v>536870912</v>
    <v>Rongelap Atoll</v>
    <v>826104bf-75dc-cc30-484a-fc64c0c90b4d</v>
    <v>en-US</v>
    <v>Map</v>
  </rv>
  <rv s="1">
    <v>536870912</v>
    <v>Toke Atoll</v>
    <v>3d81faca-9b84-3b35-d0d7-bfe5d1950715</v>
    <v>en-US</v>
    <v>Map</v>
  </rv>
  <rv s="1">
    <v>536870912</v>
    <v>Ujae Atoll</v>
    <v>cbf76f4c-6efa-7e2b-60dd-d5ed1ab0d743</v>
    <v>en-US</v>
    <v>Map</v>
  </rv>
  <rv s="1">
    <v>536870912</v>
    <v>Utirik Atoll</v>
    <v>c2fcc751-9bf4-3ecd-ea42-7646b9c9eec2</v>
    <v>en-US</v>
    <v>Map</v>
  </rv>
  <rv s="1">
    <v>536870912</v>
    <v>Wotho Atoll</v>
    <v>a2c27f4d-733c-3357-63b7-f920e2f41d45</v>
    <v>en-US</v>
    <v>Map</v>
  </rv>
  <rv s="1">
    <v>536870912</v>
    <v>Wotje Atoll</v>
    <v>f5854d3f-83cb-f2c9-ed4e-9c16e6004be9</v>
    <v>en-US</v>
    <v>Map</v>
  </rv>
  <rv s="3">
    <v>411</v>
  </rv>
  <rv s="0">
    <fb>0.17814242717305798</fb>
    <v>28</v>
  </rv>
  <rv s="0">
    <fb>0.65900000000000003</fb>
    <v>28</v>
  </rv>
  <rv s="0">
    <fb>45514</fb>
    <v>9</v>
  </rv>
  <rv s="71">
    <v>#VALUE!</v>
    <v>en-US</v>
    <v>e4f265b8-8c4d-e85f-5ca6-69fa717f99dd</v>
    <v>536870912</v>
    <v>1</v>
    <v>929</v>
    <v>930</v>
    <v>Marshall Islands</v>
    <v>5</v>
    <v>6</v>
    <v>Map</v>
    <v>7</v>
    <v>931</v>
    <v>MH</v>
    <v>5841</v>
    <v>5842</v>
    <v>5843</v>
    <v>5844</v>
    <v>5831</v>
    <v>5845</v>
    <v>USD</v>
    <v>The Marshall Islands, officially the Republic of the Marshall Islands, is an island country west of the International Date Line and north of the equator in the Micronesia region of the Northwestern Pacific Ocean.</v>
    <v>5846</v>
    <v>5847</v>
    <v>434</v>
    <v>5848</v>
    <v>5849</v>
    <v>5850</v>
    <v>5851</v>
    <v>5852</v>
    <v>5853</v>
    <v>5831</v>
    <v>5856</v>
    <v>5857</v>
    <v>5858</v>
    <v>2184</v>
    <v>Marshall Islands</v>
    <v>Forever Marshall Islands</v>
    <v>5859</v>
    <v>Marshall Islands</v>
    <v>5860</v>
    <v>5861</v>
    <v>5862</v>
    <v>5890</v>
    <v>5891</v>
    <v>3500</v>
    <v>5892</v>
    <v>Marshall Islands</v>
    <v>5893</v>
    <v>mdp/vdpid/199</v>
  </rv>
  <rv s="1">
    <v>536870912</v>
    <v>Nouakchott</v>
    <v>298678cd-131e-4a85-4423-240d0b436346</v>
    <v>en-US</v>
    <v>Map</v>
  </rv>
  <rv s="1">
    <v>536870912</v>
    <v>Nouakchott-Nord region</v>
    <v>20b5fec7-3e89-faf1-b416-555203b10f09</v>
    <v>en-US</v>
    <v>Map</v>
  </rv>
  <rv s="0">
    <fb>1035.9952441299999</fb>
    <v>9</v>
  </rv>
  <rv s="1">
    <v>536870912</v>
    <v>Mauritania</v>
    <v>1378a5bb-c2d8-4ae7-85b5-e75705038775</v>
    <v>en-US</v>
    <v>Map</v>
  </rv>
  <rv s="2">
    <v>197</v>
    <v>7</v>
    <v>933</v>
    <v>7</v>
    <v>0</v>
    <v>Image of Nouakchott</v>
  </rv>
  <rv s="0">
    <fb>18.085809999999999</fb>
    <v>0</v>
  </rv>
  <rv s="4">
    <v>https://www.bing.com/search?q=nouakchott&amp;form=skydnc</v>
    <v>Learn more on Bing</v>
  </rv>
  <rv s="0">
    <fb>-15.9785</fb>
    <v>0</v>
  </rv>
  <rv s="0">
    <fb>1446761</fb>
    <v>9</v>
  </rv>
  <rv s="17">
    <v>#VALUE!</v>
    <v>en-US</v>
    <v>298678cd-131e-4a85-4423-240d0b436346</v>
    <v>536870912</v>
    <v>1</v>
    <v>934</v>
    <v>110</v>
    <v>Nouakchott</v>
    <v>5</v>
    <v>6</v>
    <v>Map</v>
    <v>7</v>
    <v>111</v>
    <v>5896</v>
    <v>5897</v>
    <v>5898</v>
    <v>Nouakchott is the capital and largest city of Mauritania. Located in the southwestern part of the country, it is one of the largest cities in the Sahara. The city also serves as the administrative and economic center of Mauritania.</v>
    <v>5899</v>
    <v>5900</v>
    <v>5901</v>
    <v>5902</v>
    <v>Nouakchott</v>
    <v>5903</v>
    <v>1712</v>
    <v>Nouakchott</v>
    <v>mdp/vdpid/5732411163484880897</v>
  </rv>
  <rv s="0">
    <fb>0.38528184728825104</fb>
    <v>28</v>
  </rv>
  <rv s="0">
    <fb>1030700</fb>
    <v>9</v>
  </rv>
  <rv s="0">
    <fb>21000</fb>
    <v>9</v>
  </rv>
  <rv s="0">
    <fb>33.694000000000003</fb>
    <v>29</v>
  </rv>
  <rv s="0">
    <fb>222</fb>
    <v>30</v>
  </rv>
  <rv s="0">
    <fb>2739.2489999999998</fb>
    <v>9</v>
  </rv>
  <rv s="0">
    <fb>135.01889679773399</fb>
    <v>31</v>
  </rv>
  <rv s="0">
    <fb>2.3000926211793803E-2</fb>
    <v>28</v>
  </rv>
  <rv s="0">
    <fb>4.5609999999999999</fb>
    <v>29</v>
  </rv>
  <rv s="0">
    <fb>2.1441738624236001E-3</fb>
    <v>28</v>
  </rv>
  <rv s="0">
    <fb>7593752450.2054996</fb>
    <v>33</v>
  </rv>
  <rv s="0">
    <fb>0.99891760000000007</fb>
    <v>28</v>
  </rv>
  <rv s="0">
    <fb>4.9991199999999993E-2</fb>
    <v>28</v>
  </rv>
  <rv s="2">
    <v>198</v>
    <v>7</v>
    <v>936</v>
    <v>7</v>
    <v>0</v>
    <v>Image of Mauritania</v>
  </rv>
  <rv s="0">
    <fb>51.5</fb>
    <v>34</v>
  </rv>
  <rv s="1">
    <v>805306368</v>
    <v>Mohamed Ould Ghazouani (President)</v>
    <v>e8eb333b-b5a7-b1c4-9b2b-8ca315d4dfe5</v>
    <v>en-US</v>
    <v>Generic</v>
  </rv>
  <rv s="1">
    <v>805306368</v>
    <v>Mokhtar Ould Djay (Prime minister)</v>
    <v>41988a36-348d-ddea-4240-7431ab04fead</v>
    <v>en-US</v>
    <v>Generic</v>
  </rv>
  <rv s="3">
    <v>412</v>
  </rv>
  <rv s="4">
    <v>https://www.bing.com/search?q=mauritania&amp;form=skydnc</v>
    <v>Learn more on Bing</v>
  </rv>
  <rv s="0">
    <fb>64.703999999999994</fb>
    <v>34</v>
  </rv>
  <rv s="0">
    <fb>766</fb>
    <v>34</v>
  </rv>
  <rv s="0">
    <fb>0.53</fb>
    <v>32</v>
  </rv>
  <rv s="0">
    <fb>0.4823745512</fb>
    <v>28</v>
  </rv>
  <rv s="0">
    <fb>0.1865</fb>
    <v>29</v>
  </rv>
  <rv s="0">
    <fb>4736139</fb>
    <v>9</v>
  </rv>
  <rv s="0">
    <fb>0.249</fb>
    <v>28</v>
  </rv>
  <rv s="0">
    <fb>0.45883998870849602</fb>
    <v>28</v>
  </rv>
  <rv s="1">
    <v>536870912</v>
    <v>Adrar region</v>
    <v>813a6daf-b201-aadd-cc3c-1962f5918185</v>
    <v>en-US</v>
    <v>Map</v>
  </rv>
  <rv s="1">
    <v>536870912</v>
    <v>Assaba region</v>
    <v>a58f4240-4eb5-bf38-bd0b-75f1ae94d17b</v>
    <v>en-US</v>
    <v>Map</v>
  </rv>
  <rv s="1">
    <v>536870912</v>
    <v>Brakna region</v>
    <v>5011c80b-9e00-a377-4615-f8264328d0aa</v>
    <v>en-US</v>
    <v>Map</v>
  </rv>
  <rv s="1">
    <v>536870912</v>
    <v>Dakhlet Nouadhibou region</v>
    <v>50715551-3dbf-4406-b74d-5de046a157da</v>
    <v>en-US</v>
    <v>Map</v>
  </rv>
  <rv s="1">
    <v>536870912</v>
    <v>Gorgol region</v>
    <v>72757e0e-4848-d303-fba2-f31c52a4b0e5</v>
    <v>en-US</v>
    <v>Map</v>
  </rv>
  <rv s="1">
    <v>536870912</v>
    <v>Guidimaka region</v>
    <v>d82dc308-f9ee-1690-ab46-575c3e429984</v>
    <v>en-US</v>
    <v>Map</v>
  </rv>
  <rv s="1">
    <v>536870912</v>
    <v>Hodh Ech Chargui region</v>
    <v>e73c452a-369c-484c-b276-23ad30b89536</v>
    <v>en-US</v>
    <v>Map</v>
  </rv>
  <rv s="1">
    <v>536870912</v>
    <v>Hodh El Gharbi region</v>
    <v>af953511-3591-4176-be81-acbbb366e7ff</v>
    <v>en-US</v>
    <v>Map</v>
  </rv>
  <rv s="1">
    <v>536870912</v>
    <v>Inchiri region</v>
    <v>c62460e6-2156-4054-ac45-5e7fd7d9f56e</v>
    <v>en-US</v>
    <v>Map</v>
  </rv>
  <rv s="1">
    <v>536870912</v>
    <v>Tagant region</v>
    <v>5c3c1eda-a331-31e9-911f-a9440ed7c01a</v>
    <v>en-US</v>
    <v>Map</v>
  </rv>
  <rv s="1">
    <v>536870912</v>
    <v>Tiris Zemmour region</v>
    <v>8c838683-fd5b-480c-8df6-d0acadfeed7c</v>
    <v>en-US</v>
    <v>Map</v>
  </rv>
  <rv s="1">
    <v>536870912</v>
    <v>Trarza region</v>
    <v>d4004e90-738c-9d73-0d79-ece97ac6f42e</v>
    <v>en-US</v>
    <v>Map</v>
  </rv>
  <rv s="3">
    <v>413</v>
  </rv>
  <rv s="3">
    <v>414</v>
  </rv>
  <rv s="0">
    <fb>0.67</fb>
    <v>28</v>
  </rv>
  <rv s="0">
    <fb>9.5480003356933588E-2</fb>
    <v>35</v>
  </rv>
  <rv s="0">
    <fb>2466821</fb>
    <v>9</v>
  </rv>
  <rv s="33">
    <v>#VALUE!</v>
    <v>en-US</v>
    <v>1378a5bb-c2d8-4ae7-85b5-e75705038775</v>
    <v>536870912</v>
    <v>1</v>
    <v>939</v>
    <v>337</v>
    <v>Mauritania</v>
    <v>5</v>
    <v>6</v>
    <v>Map</v>
    <v>7</v>
    <v>940</v>
    <v>MR</v>
    <v>5905</v>
    <v>5906</v>
    <v>5907</v>
    <v>5908</v>
    <v>5909</v>
    <v>5895</v>
    <v>5910</v>
    <v>5911</v>
    <v>5912</v>
    <v>MRU</v>
    <v>Mauritania, formally the Islamic Republic of Mauritania, is a sovereign country in Northwest Africa. It is bordered by the Atlantic Ocean to the west, Western Sahara to the north and northwest, Algeria to the northeast, Mali to the east and ...</v>
    <v>5913</v>
    <v>5914</v>
    <v>1146</v>
    <v>5915</v>
    <v>5916</v>
    <v>5917</v>
    <v>5918</v>
    <v>5919</v>
    <v>5895</v>
    <v>5922</v>
    <v>5923</v>
    <v>5924</v>
    <v>5925</v>
    <v>5926</v>
    <v>Mauritania</v>
    <v>National anthem of Mauritania</v>
    <v>5321</v>
    <v>الجمهورية الإسلامية الموريتانية</v>
    <v>5927</v>
    <v>5928</v>
    <v>5929</v>
    <v>3683</v>
    <v>5930</v>
    <v>2759</v>
    <v>3400</v>
    <v>176</v>
    <v>940</v>
    <v>3612</v>
    <v>5931</v>
    <v>5944</v>
    <v>5945</v>
    <v>5946</v>
    <v>5947</v>
    <v>Mauritania</v>
    <v>5948</v>
    <v>mdp/vdpid/162</v>
  </rv>
  <rv s="1">
    <v>536870912</v>
    <v>Port Louis</v>
    <v>1f88d0f8-1a57-9810-3550-deb8c9a847d8</v>
    <v>en-US</v>
    <v>Map</v>
  </rv>
  <rv s="0">
    <fb>46.7</fb>
    <v>9</v>
  </rv>
  <rv s="1">
    <v>536870912</v>
    <v>Mauritius</v>
    <v>f9cbeda3-6339-827e-bcf1-2e940cb5e45e</v>
    <v>en-US</v>
    <v>Map</v>
  </rv>
  <rv s="2">
    <v>199</v>
    <v>7</v>
    <v>942</v>
    <v>7</v>
    <v>0</v>
    <v>Image of Port Louis</v>
  </rv>
  <rv s="1">
    <v>805306368</v>
    <v>Mamode Issop Nujuraully (Mayor)</v>
    <v>01dc0194-17f2-fd2d-a30e-be9eb474bfcf</v>
    <v>en-US</v>
    <v>Generic</v>
  </rv>
  <rv s="3">
    <v>415</v>
  </rv>
  <rv s="4">
    <v>https://www.bing.com/search?q=port+louis&amp;form=skydnc</v>
    <v>Learn more on Bing</v>
  </rv>
  <rv s="0">
    <fb>147066</fb>
    <v>9</v>
  </rv>
  <rv s="3">
    <v>416</v>
  </rv>
  <rv s="16">
    <v>#VALUE!</v>
    <v>en-US</v>
    <v>1f88d0f8-1a57-9810-3550-deb8c9a847d8</v>
    <v>536870912</v>
    <v>1</v>
    <v>944</v>
    <v>92</v>
    <v>Port Louis</v>
    <v>5</v>
    <v>6</v>
    <v>Map</v>
    <v>7</v>
    <v>442</v>
    <v>MU-PU</v>
    <v>5951</v>
    <v>5952</v>
    <v>Port Louis is the capital and most populous city of Mauritius, mainly located in the Port Louis District, with a small western part in the Black River District. Port Louis is the country's financial and political centre. It is administered by ...</v>
    <v>5953</v>
    <v>5955</v>
    <v>5956</v>
    <v>Port Louis</v>
    <v>5957</v>
    <v>5958</v>
    <v>Port Louis</v>
    <v>mdp/vdpid/8247281988432560129</v>
  </rv>
  <rv s="0">
    <fb>0.42364532019704398</fb>
    <v>28</v>
  </rv>
  <rv s="0">
    <fb>2040</fb>
    <v>9</v>
  </rv>
  <rv s="0">
    <fb>10.199999999999999</fb>
    <v>29</v>
  </rv>
  <rv s="0">
    <fb>230</fb>
    <v>30</v>
  </rv>
  <rv s="0">
    <fb>4349.0619999999999</fb>
    <v>9</v>
  </rv>
  <rv s="0">
    <fb>129.91403493449801</fb>
    <v>31</v>
  </rv>
  <rv s="0">
    <fb>4.0565519030951102E-3</fb>
    <v>28</v>
  </rv>
  <rv s="0">
    <fb>2182.5091559114098</fb>
    <v>9</v>
  </rv>
  <rv s="0">
    <fb>0.19034482457954902</fb>
    <v>28</v>
  </rv>
  <rv s="0">
    <fb>84.542360303404394</fb>
    <v>34</v>
  </rv>
  <rv s="0">
    <fb>14180444557.2047</fb>
    <v>33</v>
  </rv>
  <rv s="0">
    <fb>1.0110760000000001</fb>
    <v>28</v>
  </rv>
  <rv s="0">
    <fb>0.4059604</fb>
    <v>28</v>
  </rv>
  <rv s="2">
    <v>200</v>
    <v>7</v>
    <v>946</v>
    <v>7</v>
    <v>0</v>
    <v>Image of Mauritius</v>
  </rv>
  <rv s="0">
    <fb>13.6</fb>
    <v>34</v>
  </rv>
  <rv s="1">
    <v>805306368</v>
    <v>Dharam Gokhool (President)</v>
    <v>dac0a2c7-4dc8-8087-d6cc-71bb6c61e6d7</v>
    <v>en-US</v>
    <v>Generic</v>
  </rv>
  <rv s="1">
    <v>805306368</v>
    <v>Robert Hungley (Vice president)</v>
    <v>f975fb45-92aa-075d-b336-5fa00b29c42f</v>
    <v>en-US</v>
    <v>Generic</v>
  </rv>
  <rv s="1">
    <v>805306368</v>
    <v>Navin Ramgoolam (Prime minister)</v>
    <v>9f337d72-40d4-bb5b-fc64-d40c5e250807</v>
    <v>en-US</v>
    <v>Generic</v>
  </rv>
  <rv s="1">
    <v>805306368</v>
    <v>Paul Bérenger (Deputy prime minister)</v>
    <v>2a7c4bc9-867e-6d11-6106-4c8f0ba5e269</v>
    <v>en-US</v>
    <v>Generic</v>
  </rv>
  <rv s="3">
    <v>417</v>
  </rv>
  <rv s="4">
    <v>https://www.bing.com/search?q=mauritius&amp;form=skydnc</v>
    <v>Learn more on Bing</v>
  </rv>
  <rv s="0">
    <fb>74.416341463414597</fb>
    <v>34</v>
  </rv>
  <rv s="0">
    <fb>8615770000</fb>
    <v>33</v>
  </rv>
  <rv s="0">
    <fb>61</fb>
    <v>34</v>
  </rv>
  <rv s="0">
    <fb>0.38</fb>
    <v>32</v>
  </rv>
  <rv s="3">
    <v>418</v>
  </rv>
  <rv s="0">
    <fb>0.50667020360000004</fb>
    <v>28</v>
  </rv>
  <rv s="0">
    <fb>2.5331000000000001</fb>
    <v>29</v>
  </rv>
  <rv s="0">
    <fb>1262523</fb>
    <v>9</v>
  </rv>
  <rv s="0">
    <fb>0.21100000000000002</fb>
    <v>28</v>
  </rv>
  <rv s="0">
    <fb>0.58312999725341796</fb>
    <v>28</v>
  </rv>
  <rv s="1">
    <v>536870912</v>
    <v>Rivière Noire District</v>
    <v>43960efa-cdf4-05b0-7f6a-ade80eb7b2ed</v>
    <v>en-US</v>
    <v>Map</v>
  </rv>
  <rv s="1">
    <v>536870912</v>
    <v>Flacq District</v>
    <v>f6802203-fee5-ab9e-bd66-54e92ba75fd7</v>
    <v>en-US</v>
    <v>Map</v>
  </rv>
  <rv s="1">
    <v>536870912</v>
    <v>Grand Port District</v>
    <v>170c3315-ad31-7197-f357-0133f1949132</v>
    <v>en-US</v>
    <v>Map</v>
  </rv>
  <rv s="1">
    <v>536870912</v>
    <v>Moka District</v>
    <v>ba7a6636-e1ff-4a38-b1c8-3886078dde32</v>
    <v>en-US</v>
    <v>Map</v>
  </rv>
  <rv s="1">
    <v>536870912</v>
    <v>Pamplemousses District</v>
    <v>ae7a0938-d28e-1af4-c525-4d133acea6a2</v>
    <v>en-US</v>
    <v>Map</v>
  </rv>
  <rv s="1">
    <v>536870912</v>
    <v>Plaines Wilhems District</v>
    <v>d6f61cd5-affc-f553-1d54-4e65b787b250</v>
    <v>en-US</v>
    <v>Map</v>
  </rv>
  <rv s="1">
    <v>536870912</v>
    <v>Port Louis District</v>
    <v>1c9ae027-beba-5460-ae7f-66d0a4367fea</v>
    <v>en-US</v>
    <v>Map</v>
  </rv>
  <rv s="1">
    <v>536870912</v>
    <v>Rivière du Rempart District</v>
    <v>21c3a727-199e-4dff-c26c-eefb2d9d1da1</v>
    <v>en-US</v>
    <v>Map</v>
  </rv>
  <rv s="1">
    <v>536870912</v>
    <v>Savanne District</v>
    <v>ceddfba8-fea9-e6df-c942-749c56c7d753</v>
    <v>en-US</v>
    <v>Map</v>
  </rv>
  <rv s="3">
    <v>419</v>
  </rv>
  <rv s="0">
    <fb>0.19073085653774999</fb>
    <v>28</v>
  </rv>
  <rv s="0">
    <fb>6.6739997863769496E-2</fb>
    <v>35</v>
  </rv>
  <rv s="0">
    <fb>515980</fb>
    <v>9</v>
  </rv>
  <rv s="9">
    <v>#VALUE!</v>
    <v>en-US</v>
    <v>f9cbeda3-6339-827e-bcf1-2e940cb5e45e</v>
    <v>536870912</v>
    <v>1</v>
    <v>949</v>
    <v>55</v>
    <v>Mauritius</v>
    <v>5</v>
    <v>6</v>
    <v>Map</v>
    <v>7</v>
    <v>950</v>
    <v>MU</v>
    <v>5960</v>
    <v>5961</v>
    <v>4216</v>
    <v>5962</v>
    <v>5963</v>
    <v>5950</v>
    <v>5964</v>
    <v>5965</v>
    <v>5966</v>
    <v>MUR</v>
    <v>Mauritius, officially the Republic of Mauritius, is an island country in the Indian Ocean, about 2,000 kilometres off the southeastern coast of East Africa, east of Madagascar. It includes the main island, as well as Rodrigues, Agaléga, and St. ...</v>
    <v>5967</v>
    <v>3525</v>
    <v>5968</v>
    <v>5969</v>
    <v>167</v>
    <v>5970</v>
    <v>5971</v>
    <v>5972</v>
    <v>5973</v>
    <v>5974</v>
    <v>5950</v>
    <v>5979</v>
    <v>5980</v>
    <v>5981</v>
    <v>5982</v>
    <v>5983</v>
    <v>5984</v>
    <v>Mauritius</v>
    <v>Motherland</v>
    <v>5985</v>
    <v>Mauritius</v>
    <v>5986</v>
    <v>5987</v>
    <v>5988</v>
    <v>5989</v>
    <v>509</v>
    <v>5122</v>
    <v>1417</v>
    <v>5266</v>
    <v>3740</v>
    <v>1289</v>
    <v>5990</v>
    <v>6000</v>
    <v>6001</v>
    <v>554</v>
    <v>2261</v>
    <v>6002</v>
    <v>Mauritius</v>
    <v>6003</v>
    <v>mdp/vdpid/160</v>
  </rv>
  <rv s="1">
    <v>536870912</v>
    <v>Mexico City</v>
    <v>f1281260-8340-e258-c8ec-3522504400e5</v>
    <v>en-US</v>
    <v>Map</v>
  </rv>
  <rv s="0">
    <fb>1485</fb>
    <v>9</v>
  </rv>
  <rv s="1">
    <v>536870912</v>
    <v>Mexico</v>
    <v>8e475659-4bdc-d912-6494-affce0096bc1</v>
    <v>en-US</v>
    <v>Map</v>
  </rv>
  <rv s="0">
    <fb>2714955</fb>
    <v>9</v>
  </rv>
  <rv s="2">
    <v>201</v>
    <v>7</v>
    <v>951</v>
    <v>7</v>
    <v>0</v>
    <v>Image of Mexico City</v>
  </rv>
  <rv s="1">
    <v>805306368</v>
    <v>Martí Batres (Mayor)</v>
    <v>5a622f9e-7cc9-58c5-fba0-05c932da0c1b</v>
    <v>en-US</v>
    <v>Generic</v>
  </rv>
  <rv s="3">
    <v>420</v>
  </rv>
  <rv s="4">
    <v>https://www.bing.com/search?q=mexico+city&amp;form=skydnc</v>
    <v>Learn more on Bing</v>
  </rv>
  <rv s="0">
    <fb>9209944</fb>
    <v>9</v>
  </rv>
  <rv s="3">
    <v>421</v>
  </rv>
  <rv s="72">
    <v>#VALUE!</v>
    <v>en-US</v>
    <v>f1281260-8340-e258-c8ec-3522504400e5</v>
    <v>536870912</v>
    <v>1</v>
    <v>954</v>
    <v>955</v>
    <v>Mexico City</v>
    <v>5</v>
    <v>6</v>
    <v>Map</v>
    <v>7</v>
    <v>956</v>
    <v>MX-CMX</v>
    <v>6006</v>
    <v>6007</v>
    <v>Mexico City is the capital and largest city of Mexico, and is also North America's most populous city. It is one of the most important cultural and financial centers in the world. Mexico City is located in the Valley of Mexico within the high ...</v>
    <v>6008</v>
    <v>6009</v>
    <v>6011</v>
    <v>6012</v>
    <v>Mexico City</v>
    <v>6013</v>
    <v>6014</v>
    <v>Mexico City</v>
    <v>mdp/vdpid/5162431768069931014</v>
  </rv>
  <rv s="0">
    <fb>0.54649553743666202</fb>
    <v>28</v>
  </rv>
  <rv s="0">
    <fb>1972550</fb>
    <v>9</v>
  </rv>
  <rv s="0">
    <fb>336000</fb>
    <v>9</v>
  </rv>
  <rv s="0">
    <fb>17.602</fb>
    <v>29</v>
  </rv>
  <rv s="0">
    <fb>52</fb>
    <v>30</v>
  </rv>
  <rv s="0">
    <fb>486405.54800000001</fb>
    <v>9</v>
  </rv>
  <rv s="0">
    <fb>141.54252296997399</fb>
    <v>31</v>
  </rv>
  <rv s="0">
    <fb>3.6359614212704998E-2</fb>
    <v>28</v>
  </rv>
  <rv s="0">
    <fb>2157.32394883914</fb>
    <v>9</v>
  </rv>
  <rv s="0">
    <fb>2.129</fb>
    <v>29</v>
  </rv>
  <rv s="0">
    <fb>0.339249458255099</fb>
    <v>28</v>
  </rv>
  <rv s="0">
    <fb>90.426207910940704</fb>
    <v>34</v>
  </rv>
  <rv s="0">
    <fb>0.73</fb>
    <v>32</v>
  </rv>
  <rv s="0">
    <fb>1258286717124.53</fb>
    <v>33</v>
  </rv>
  <rv s="0">
    <fb>1.0577000999999999</fb>
    <v>28</v>
  </rv>
  <rv s="0">
    <fb>0.40228960000000002</fb>
    <v>28</v>
  </rv>
  <rv s="2">
    <v>202</v>
    <v>7</v>
    <v>958</v>
    <v>7</v>
    <v>0</v>
    <v>Image of Mexico</v>
  </rv>
  <rv s="1">
    <v>805306368</v>
    <v>Claudia Sheinbaum (President)</v>
    <v>d0490c30-2b7a-cbfd-f6ed-dffdff40aeb0</v>
    <v>en-US</v>
    <v>Generic</v>
  </rv>
  <rv s="1">
    <v>805306368</v>
    <v>Norma Lucía Piña Hernández (Chief justice)</v>
    <v>c6ded009-db4d-d436-ada5-514c16278dd4</v>
    <v>en-US</v>
    <v>Generic</v>
  </rv>
  <rv s="3">
    <v>422</v>
  </rv>
  <rv s="4">
    <v>https://www.bing.com/search?q=mexico&amp;form=skydnc</v>
    <v>Learn more on Bing</v>
  </rv>
  <rv s="0">
    <fb>74.992000000000004</fb>
    <v>34</v>
  </rv>
  <rv s="0">
    <fb>413618820000</fb>
    <v>33</v>
  </rv>
  <rv s="0">
    <fb>33</fb>
    <v>34</v>
  </rv>
  <rv s="0">
    <fb>0.49</fb>
    <v>32</v>
  </rv>
  <rv s="3">
    <v>423</v>
  </rv>
  <rv s="0">
    <fb>0.41370018680000004</fb>
    <v>28</v>
  </rv>
  <rv s="0">
    <fb>2.3826999999999998</fb>
    <v>29</v>
  </rv>
  <rv s="0">
    <fb>127504125</fb>
    <v>9</v>
  </rv>
  <rv s="0">
    <fb>0.2</fb>
    <v>28</v>
  </rv>
  <rv s="0">
    <fb>0.02</fb>
    <v>28</v>
  </rv>
  <rv s="0">
    <fb>9.5000000000000001E-2</fb>
    <v>28</v>
  </rv>
  <rv s="0">
    <fb>0.13500000000000001</fb>
    <v>28</v>
  </rv>
  <rv s="0">
    <fb>0.60680000305175807</fb>
    <v>28</v>
  </rv>
  <rv s="1">
    <v>536870912</v>
    <v>Aguascalientes</v>
    <v>7f39db16-d0e9-f4ba-b929-2a69336bbcb0</v>
    <v>en-US</v>
    <v>Map</v>
  </rv>
  <rv s="1">
    <v>536870912</v>
    <v>Baja California</v>
    <v>6b504587-24aa-0512-9ca8-180f7fa0f586</v>
    <v>en-US</v>
    <v>Map</v>
  </rv>
  <rv s="1">
    <v>536870912</v>
    <v>Baja California Sur</v>
    <v>72f2373c-402d-1899-776e-ebde71dada5d</v>
    <v>en-US</v>
    <v>Map</v>
  </rv>
  <rv s="1">
    <v>536870912</v>
    <v>Campeche</v>
    <v>7c67b06b-20b4-3244-d633-4a6255df7395</v>
    <v>en-US</v>
    <v>Map</v>
  </rv>
  <rv s="1">
    <v>536870912</v>
    <v>Chiapas</v>
    <v>f0d5e228-a3c3-8699-7df3-32ab85b078b3</v>
    <v>en-US</v>
    <v>Map</v>
  </rv>
  <rv s="1">
    <v>536870912</v>
    <v>Chihuahua</v>
    <v>ce5a5e29-7bae-05e8-fec7-e028f5c1e139</v>
    <v>en-US</v>
    <v>Map</v>
  </rv>
  <rv s="1">
    <v>536870912</v>
    <v>Coahuila</v>
    <v>b1fb0720-5dff-3cd3-aa9b-e91c0988b9f4</v>
    <v>en-US</v>
    <v>Map</v>
  </rv>
  <rv s="1">
    <v>536870912</v>
    <v>Colima</v>
    <v>c5187e51-1440-155f-505d-5c7804e1489f</v>
    <v>en-US</v>
    <v>Map</v>
  </rv>
  <rv s="1">
    <v>536870912</v>
    <v>Durango</v>
    <v>d5a4a060-173a-aa5a-3023-abf4cbc2f03d</v>
    <v>en-US</v>
    <v>Map</v>
  </rv>
  <rv s="1">
    <v>536870912</v>
    <v>Guanajuato</v>
    <v>9eaf00cd-2b5c-3655-adbc-dc91f1f0fca3</v>
    <v>en-US</v>
    <v>Map</v>
  </rv>
  <rv s="1">
    <v>536870912</v>
    <v>Guerrero</v>
    <v>86638283-e8d0-0d69-1241-dc688f82149b</v>
    <v>en-US</v>
    <v>Map</v>
  </rv>
  <rv s="1">
    <v>536870912</v>
    <v>Hidalgo</v>
    <v>76baa939-e01a-077d-0c83-522220d05a5b</v>
    <v>en-US</v>
    <v>Map</v>
  </rv>
  <rv s="1">
    <v>536870912</v>
    <v>Jalisco</v>
    <v>18c29bf9-bbf0-e90f-10f3-c48c9791339b</v>
    <v>en-US</v>
    <v>Map</v>
  </rv>
  <rv s="1">
    <v>536870912</v>
    <v>State of Mexico</v>
    <v>884c2c6c-6f06-85ee-aa8d-65b8980f2231</v>
    <v>en-US</v>
    <v>Map</v>
  </rv>
  <rv s="1">
    <v>536870912</v>
    <v>Michoacán</v>
    <v>33ec3160-5b7b-5fef-defd-4574b6b819d6</v>
    <v>en-US</v>
    <v>Map</v>
  </rv>
  <rv s="1">
    <v>536870912</v>
    <v>Morelos</v>
    <v>457cd12b-12ce-71c2-81d5-f60ba9645b36</v>
    <v>en-US</v>
    <v>Map</v>
  </rv>
  <rv s="1">
    <v>536870912</v>
    <v>Nayarit</v>
    <v>d5ab8703-9922-20b7-03c7-acb17f76b03e</v>
    <v>en-US</v>
    <v>Map</v>
  </rv>
  <rv s="1">
    <v>536870912</v>
    <v>Nuevo León</v>
    <v>1696b325-bf35-b9aa-28db-3304c1996498</v>
    <v>en-US</v>
    <v>Map</v>
  </rv>
  <rv s="1">
    <v>536870912</v>
    <v>Oaxaca</v>
    <v>2a651e2b-4cd2-6315-971b-6bddb30dfb4d</v>
    <v>en-US</v>
    <v>Map</v>
  </rv>
  <rv s="1">
    <v>536870912</v>
    <v>Puebla</v>
    <v>e266f3f0-af5e-7537-36e1-118cfcc783a3</v>
    <v>en-US</v>
    <v>Map</v>
  </rv>
  <rv s="1">
    <v>536870912</v>
    <v>Querétaro</v>
    <v>4a2d4179-0f55-70d5-99e7-165b2289a273</v>
    <v>en-US</v>
    <v>Map</v>
  </rv>
  <rv s="1">
    <v>536870912</v>
    <v>Quintana Roo</v>
    <v>96bcffec-8d1c-5e86-ab0e-e31d5b9a157c</v>
    <v>en-US</v>
    <v>Map</v>
  </rv>
  <rv s="1">
    <v>536870912</v>
    <v>San Luis Potosí</v>
    <v>c228dff2-2024-525b-1b90-fe82a2f5ccfc</v>
    <v>en-US</v>
    <v>Map</v>
  </rv>
  <rv s="1">
    <v>536870912</v>
    <v>Sinaloa</v>
    <v>ef7dcafc-cca2-39b2-e063-e2bbf5b2022e</v>
    <v>en-US</v>
    <v>Map</v>
  </rv>
  <rv s="1">
    <v>536870912</v>
    <v>Sonora</v>
    <v>e59e4f16-5e42-af6e-b970-e0ae59046077</v>
    <v>en-US</v>
    <v>Map</v>
  </rv>
  <rv s="1">
    <v>536870912</v>
    <v>Tabasco</v>
    <v>f96880d9-0a36-58d3-7351-a4c7070c642d</v>
    <v>en-US</v>
    <v>Map</v>
  </rv>
  <rv s="1">
    <v>536870912</v>
    <v>Tamaulipas</v>
    <v>6f2fce2f-2090-8583-dbf3-dd9d6fc3cab3</v>
    <v>en-US</v>
    <v>Map</v>
  </rv>
  <rv s="1">
    <v>536870912</v>
    <v>Tlaxcala</v>
    <v>77063c53-3a0e-fbf0-30d8-68218fbc38fa</v>
    <v>en-US</v>
    <v>Map</v>
  </rv>
  <rv s="1">
    <v>536870912</v>
    <v>Veracruz</v>
    <v>10381f79-264a-f2fd-08f8-cc5377683832</v>
    <v>en-US</v>
    <v>Map</v>
  </rv>
  <rv s="1">
    <v>536870912</v>
    <v>Yucatán</v>
    <v>f096e19b-5b56-f73a-3e33-e3f03e33fffc</v>
    <v>en-US</v>
    <v>Map</v>
  </rv>
  <rv s="1">
    <v>536870912</v>
    <v>Zacatecas</v>
    <v>135a47e4-6f2c-2112-febf-50c21b485bd3</v>
    <v>en-US</v>
    <v>Map</v>
  </rv>
  <rv s="3">
    <v>424</v>
  </rv>
  <rv s="0">
    <fb>0.130829255322402</fb>
    <v>28</v>
  </rv>
  <rv s="3">
    <v>425</v>
  </rv>
  <rv s="0">
    <fb>0.55100000000000005</fb>
    <v>28</v>
  </rv>
  <rv s="0">
    <fb>3.4249999523162801E-2</fb>
    <v>35</v>
  </rv>
  <rv s="0">
    <fb>102626859</fb>
    <v>9</v>
  </rv>
  <rv s="9">
    <v>#VALUE!</v>
    <v>en-US</v>
    <v>8e475659-4bdc-d912-6494-affce0096bc1</v>
    <v>536870912</v>
    <v>1</v>
    <v>961</v>
    <v>55</v>
    <v>Mexico</v>
    <v>5</v>
    <v>6</v>
    <v>Map</v>
    <v>7</v>
    <v>962</v>
    <v>MX</v>
    <v>6016</v>
    <v>6017</v>
    <v>6018</v>
    <v>6019</v>
    <v>6020</v>
    <v>6005</v>
    <v>6021</v>
    <v>6022</v>
    <v>6023</v>
    <v>MXN</v>
    <v>Mexico, officially the United Mexican States, is a country in North America. It borders the United States to the north, and Guatemala and Belize to the southeast; while having maritime boundaries with the Pacific Ocean to the west, the Caribbean ...</v>
    <v>6024</v>
    <v>6025</v>
    <v>6026</v>
    <v>6027</v>
    <v>6028</v>
    <v>6029</v>
    <v>6030</v>
    <v>6031</v>
    <v>6032</v>
    <v>573</v>
    <v>6005</v>
    <v>6035</v>
    <v>6036</v>
    <v>6037</v>
    <v>6038</v>
    <v>6039</v>
    <v>6040</v>
    <v>Mexico</v>
    <v>Himno Nacional Mexicano</v>
    <v>6041</v>
    <v>Estaos Xuníos Mexicanos</v>
    <v>6042</v>
    <v>6043</v>
    <v>6044</v>
    <v>6045</v>
    <v>3236</v>
    <v>1953</v>
    <v>6046</v>
    <v>2827</v>
    <v>6047</v>
    <v>6048</v>
    <v>6049</v>
    <v>6081</v>
    <v>6082</v>
    <v>6083</v>
    <v>6084</v>
    <v>6085</v>
    <v>Mexico</v>
    <v>6086</v>
    <v>mdp/vdpid/166</v>
  </rv>
  <rv s="1">
    <v>536870912</v>
    <v>Palikir</v>
    <v>038b0e9d-2de4-2e92-f4d4-dbf939cdc965</v>
    <v>en-US</v>
    <v>Map</v>
  </rv>
  <rv s="1">
    <v>536870912</v>
    <v>Pohnpei State</v>
    <v>660bd7de-32fc-3f4f-c1b8-949b39774683</v>
    <v>en-US</v>
    <v>Map</v>
  </rv>
  <rv s="1">
    <v>536870912</v>
    <v>Federated States of Micronesia</v>
    <v>b9f97425-2e4f-9921-d91f-c9f6bd7b9fbb</v>
    <v>en-US</v>
    <v>Map</v>
  </rv>
  <rv s="2">
    <v>203</v>
    <v>7</v>
    <v>963</v>
    <v>7</v>
    <v>0</v>
    <v>Image of Palikir</v>
  </rv>
  <rv s="0">
    <fb>6.9177777777777996</fb>
    <v>0</v>
  </rv>
  <rv s="4">
    <v>https://www.bing.com/search?q=palikir&amp;form=skydnc</v>
    <v>Learn more on Bing</v>
  </rv>
  <rv s="0">
    <fb>158.185</fb>
    <v>0</v>
  </rv>
  <rv s="0">
    <fb>6647</fb>
    <v>9</v>
  </rv>
  <rv s="3">
    <v>426</v>
  </rv>
  <rv s="73">
    <v>#VALUE!</v>
    <v>en-US</v>
    <v>038b0e9d-2de4-2e92-f4d4-dbf939cdc965</v>
    <v>536870912</v>
    <v>1</v>
    <v>964</v>
    <v>965</v>
    <v>Palikir</v>
    <v>5</v>
    <v>6</v>
    <v>Map</v>
    <v>7</v>
    <v>966</v>
    <v>6089</v>
    <v>6090</v>
    <v>Palikir is the capital city of the Federated States of Micronesia located in the western Pacific Ocean. A town of slightly under 5,000 residents, it is part of the larger Sokehs municipality, which had a population of 6,647 as of 2010, out of ...</v>
    <v>6091</v>
    <v>6092</v>
    <v>6093</v>
    <v>6094</v>
    <v>Palikir</v>
    <v>6095</v>
    <v>6096</v>
    <v>Palikir</v>
    <v>mdp/vdpid/8053856386427125761</v>
  </rv>
  <rv s="0">
    <fb>0.314285714285714</fb>
    <v>28</v>
  </rv>
  <rv s="0">
    <fb>702</fb>
    <v>9</v>
  </rv>
  <rv s="0">
    <fb>22.82</fb>
    <v>29</v>
  </rv>
  <rv s="0">
    <fb>691</fb>
    <v>30</v>
  </rv>
  <rv s="0">
    <fb>112.096989888685</fb>
    <v>31</v>
  </rv>
  <rv s="0">
    <fb>5.2262390344688303E-3</fb>
    <v>28</v>
  </rv>
  <rv s="0">
    <fb>3.0529999999999999</fb>
    <v>29</v>
  </rv>
  <rv s="0">
    <fb>0.91857147216796908</fb>
    <v>28</v>
  </rv>
  <rv s="0">
    <fb>401932279.01922101</fb>
    <v>33</v>
  </rv>
  <rv s="0">
    <fb>0.97174740000000004</fb>
    <v>28</v>
  </rv>
  <rv s="0">
    <fb>0.14117969999999999</fb>
    <v>28</v>
  </rv>
  <rv s="2">
    <v>204</v>
    <v>7</v>
    <v>968</v>
    <v>7</v>
    <v>0</v>
    <v>Image of Federated States of Micronesia</v>
  </rv>
  <rv s="0">
    <fb>25.6</fb>
    <v>34</v>
  </rv>
  <rv s="1">
    <v>536870912</v>
    <v>Weno</v>
    <v>a6b0b40e-480c-b1f9-ea97-f80984f7a50a</v>
    <v>en-US</v>
    <v>Map</v>
  </rv>
  <rv s="1">
    <v>805306368</v>
    <v>Wesley Simina (President)</v>
    <v>0b783031-78f0-39b0-dea0-98310c038813</v>
    <v>en-US</v>
    <v>Generic</v>
  </rv>
  <rv s="1">
    <v>805306368</v>
    <v>Aren Palik (Vice president)</v>
    <v>ede07b17-716e-9a08-c5fa-ef2b37dd77b5</v>
    <v>en-US</v>
    <v>Generic</v>
  </rv>
  <rv s="3">
    <v>427</v>
  </rv>
  <rv s="4">
    <v>https://www.bing.com/search?q=federated+states+of+micronesia&amp;form=skydnc</v>
    <v>Learn more on Bing</v>
  </rv>
  <rv s="0">
    <fb>67.754999999999995</fb>
    <v>34</v>
  </rv>
  <rv s="0">
    <fb>88</fb>
    <v>34</v>
  </rv>
  <rv s="0">
    <fb>2.4602904799999999E-2</fb>
    <v>28</v>
  </rv>
  <rv s="0">
    <fb>0.17699999999999999</fb>
    <v>29</v>
  </rv>
  <rv s="0">
    <fb>114164</fb>
    <v>9</v>
  </rv>
  <rv s="0">
    <fb>0.46</fb>
    <v>28</v>
  </rv>
  <rv s="1">
    <v>536870912</v>
    <v>Chuuk State</v>
    <v>b1970d67-de63-df9c-e9b8-bd3e679a1c3b</v>
    <v>en-US</v>
    <v>Map</v>
  </rv>
  <rv s="1">
    <v>536870912</v>
    <v>Yap State</v>
    <v>a9bf872c-75e9-7dc7-6d69-b00782e9a4e1</v>
    <v>en-US</v>
    <v>Map</v>
  </rv>
  <rv s="3">
    <v>428</v>
  </rv>
  <rv s="0">
    <fb>0.25196273850098599</fb>
    <v>28</v>
  </rv>
  <rv s="3">
    <v>429</v>
  </rv>
  <rv s="0">
    <fb>0.60499999999999998</fb>
    <v>28</v>
  </rv>
  <rv s="0">
    <fb>25963</fb>
    <v>9</v>
  </rv>
  <rv s="74">
    <v>#VALUE!</v>
    <v>en-US</v>
    <v>b9f97425-2e4f-9921-d91f-c9f6bd7b9fbb</v>
    <v>536870912</v>
    <v>1</v>
    <v>971</v>
    <v>972</v>
    <v>Federated States of Micronesia</v>
    <v>5</v>
    <v>6</v>
    <v>Map</v>
    <v>7</v>
    <v>973</v>
    <v>FM</v>
    <v>6098</v>
    <v>6099</v>
    <v>6100</v>
    <v>6101</v>
    <v>6088</v>
    <v>5845</v>
    <v>6102</v>
    <v>6103</v>
    <v>USD</v>
    <v>The Federated States of Micronesia, or simply Micronesia, is an island country in Micronesia, a subregion of Oceania. The federation consists of four states—from west to east: Yap, Chuuk, Pohnpei, and Kosrae—that span across the western Pacific ...</v>
    <v>6104</v>
    <v>6105</v>
    <v>6106</v>
    <v>6107</v>
    <v>6108</v>
    <v>6109</v>
    <v>6110</v>
    <v>6111</v>
    <v>6114</v>
    <v>6115</v>
    <v>6116</v>
    <v>6117</v>
    <v>Federated States of Micronesia</v>
    <v>Patriots of Micronesia</v>
    <v>448</v>
    <v>les États fédérés de Micronésie</v>
    <v>6118</v>
    <v>6119</v>
    <v>6120</v>
    <v>3398</v>
    <v>3488</v>
    <v>6121</v>
    <v>1662</v>
    <v>3006</v>
    <v>2265</v>
    <v>1360</v>
    <v>6124</v>
    <v>6125</v>
    <v>6126</v>
    <v>6127</v>
    <v>Federated States of Micronesia</v>
    <v>6128</v>
    <v>mdp/vdpid/80</v>
  </rv>
  <rv s="1">
    <v>536870912</v>
    <v>Chișinău</v>
    <v>9274279d-0140-1f5d-0a98-a8f07250eb4a</v>
    <v>en-US</v>
    <v>Map</v>
  </rv>
  <rv s="0">
    <fb>123</fb>
    <v>9</v>
  </rv>
  <rv s="1">
    <v>536870912</v>
    <v>Moldova</v>
    <v>cc6beb87-eebc-d1b9-c08d-94ab92488417</v>
    <v>en-US</v>
    <v>Map</v>
  </rv>
  <rv s="2">
    <v>205</v>
    <v>7</v>
    <v>974</v>
    <v>7</v>
    <v>0</v>
    <v>Image of Chișinău</v>
  </rv>
  <rv s="1">
    <v>805306368</v>
    <v>Ion Ceban (Mayor)</v>
    <v>6bce1154-ca57-4a5c-90f2-25e85a0a8acc</v>
    <v>en-US</v>
    <v>Generic</v>
  </rv>
  <rv s="3">
    <v>430</v>
  </rv>
  <rv s="4">
    <v>https://www.bing.com/search?q=chi%c8%99in%c4%83u&amp;form=skydnc</v>
    <v>Learn more on Bing</v>
  </rv>
  <rv s="0">
    <fb>651880</fb>
    <v>9</v>
  </rv>
  <rv s="16">
    <v>#VALUE!</v>
    <v>en-US</v>
    <v>9274279d-0140-1f5d-0a98-a8f07250eb4a</v>
    <v>536870912</v>
    <v>1</v>
    <v>976</v>
    <v>92</v>
    <v>Chișinău</v>
    <v>5</v>
    <v>6</v>
    <v>Map</v>
    <v>7</v>
    <v>169</v>
    <v>MD-CU</v>
    <v>6131</v>
    <v>6132</v>
    <v>Chișinău is the capital and largest city of Moldova. The city is Moldova's main industrial and commercial centre, and is located in the middle of the country, on the river Bîc, a tributary of the Dniester. According to the results of the 2014 ...</v>
    <v>6133</v>
    <v>6135</v>
    <v>6136</v>
    <v>Chișinău</v>
    <v>6137</v>
    <v>3369</v>
    <v>Chișinău</v>
    <v>mdp/vdpid/7051617827869949953</v>
  </rv>
  <rv s="0">
    <fb>0.74217087260565506</fb>
    <v>28</v>
  </rv>
  <rv s="0">
    <fb>33843.5</fb>
    <v>9</v>
  </rv>
  <rv s="0">
    <fb>373</fb>
    <v>30</v>
  </rv>
  <rv s="0">
    <fb>5115.4650000000001</fb>
    <v>9</v>
  </rv>
  <rv s="0">
    <fb>166.19627963692099</fb>
    <v>31</v>
  </rv>
  <rv s="0">
    <fb>4.83778351428725E-2</fb>
    <v>28</v>
  </rv>
  <rv s="0">
    <fb>1386.2344389560601</fb>
    <v>9</v>
  </rv>
  <rv s="0">
    <fb>1.262</fb>
    <v>29</v>
  </rv>
  <rv s="0">
    <fb>0.12575251021694001</fb>
    <v>28</v>
  </rv>
  <rv s="0">
    <fb>88.688022239406195</fb>
    <v>34</v>
  </rv>
  <rv s="0">
    <fb>11955435456.7957</fb>
    <v>33</v>
  </rv>
  <rv s="0">
    <fb>0.90618759999999998</fb>
    <v>28</v>
  </rv>
  <rv s="0">
    <fb>0.39821240000000002</fb>
    <v>28</v>
  </rv>
  <rv s="2">
    <v>206</v>
    <v>7</v>
    <v>978</v>
    <v>7</v>
    <v>0</v>
    <v>Image of Moldova</v>
  </rv>
  <rv s="1">
    <v>805306368</v>
    <v>Maia Sandu (President)</v>
    <v>8ffda83f-9dad-4a14-a39b-00493ab4ffa1</v>
    <v>en-US</v>
    <v>Generic</v>
  </rv>
  <rv s="1">
    <v>805306368</v>
    <v>Dorin Recean (Prime minister)</v>
    <v>2aefa8a0-b837-4b49-b239-fb29ea18b1e4</v>
    <v>en-US</v>
    <v>Generic</v>
  </rv>
  <rv s="3">
    <v>431</v>
  </rv>
  <rv s="4">
    <v>https://www.bing.com/search?q=moldova&amp;form=skydnc</v>
    <v>Learn more on Bing</v>
  </rv>
  <rv s="0">
    <fb>71.808000000000007</fb>
    <v>34</v>
  </rv>
  <rv s="0">
    <fb>19</fb>
    <v>34</v>
  </rv>
  <rv s="0">
    <fb>0.31</fb>
    <v>32</v>
  </rv>
  <rv s="3">
    <v>432</v>
  </rv>
  <rv s="0">
    <fb>0.46187765570000006</fb>
    <v>28</v>
  </rv>
  <rv s="0">
    <fb>3.2065999999999999</fb>
    <v>29</v>
  </rv>
  <rv s="0">
    <fb>2592477</fb>
    <v>9</v>
  </rv>
  <rv s="0">
    <fb>0.36</fb>
    <v>28</v>
  </rv>
  <rv s="0">
    <fb>4.4000000000000004E-2</fb>
    <v>28</v>
  </rv>
  <rv s="0">
    <fb>0.430859985351563</fb>
    <v>28</v>
  </rv>
  <rv s="1">
    <v>536870912</v>
    <v>Anenii Noi District</v>
    <v>00fbbcee-9f60-a2dc-30b0-a97c52cf9ebe</v>
    <v>en-US</v>
    <v>Map</v>
  </rv>
  <rv s="1">
    <v>536870912</v>
    <v>Basarabeasca District</v>
    <v>c5e91e54-685e-22a4-4b02-6bda72de73ae</v>
    <v>en-US</v>
    <v>Map</v>
  </rv>
  <rv s="1">
    <v>536870912</v>
    <v>Briceni District</v>
    <v>d55ddb65-6298-ea5c-4012-8ca41a65ae2f</v>
    <v>en-US</v>
    <v>Map</v>
  </rv>
  <rv s="1">
    <v>536870912</v>
    <v>Cahul District</v>
    <v>ae750499-fd09-3581-eca5-32c41a29b14b</v>
    <v>en-US</v>
    <v>Map</v>
  </rv>
  <rv s="1">
    <v>536870912</v>
    <v>Cantemir District</v>
    <v>1e52884e-e76d-82ad-62c5-5a2eef643828</v>
    <v>en-US</v>
    <v>Map</v>
  </rv>
  <rv s="1">
    <v>536870912</v>
    <v>Călărași District</v>
    <v>923a3877-8419-8db5-190c-388ea9000964</v>
    <v>en-US</v>
    <v>Map</v>
  </rv>
  <rv s="1">
    <v>536870912</v>
    <v>Căușeni District</v>
    <v>921d73c6-df75-d40c-d05a-2613f102d3f3</v>
    <v>en-US</v>
    <v>Map</v>
  </rv>
  <rv s="1">
    <v>536870912</v>
    <v>Cimișlia District</v>
    <v>17d45124-6f0e-3eeb-772f-7bbe855b9569</v>
    <v>en-US</v>
    <v>Map</v>
  </rv>
  <rv s="1">
    <v>536870912</v>
    <v>Criuleni District</v>
    <v>6d55321c-a6b0-ef2c-aad3-cb22f3f5c2df</v>
    <v>en-US</v>
    <v>Map</v>
  </rv>
  <rv s="1">
    <v>536870912</v>
    <v>Dondușeni District</v>
    <v>781dbd12-4056-a6e9-f9b8-d47e9f70182d</v>
    <v>en-US</v>
    <v>Map</v>
  </rv>
  <rv s="1">
    <v>536870912</v>
    <v>Drochia District</v>
    <v>6de256f4-615c-af70-9768-e059ddf0e96a</v>
    <v>en-US</v>
    <v>Map</v>
  </rv>
  <rv s="1">
    <v>536870912</v>
    <v>Dubăsari District</v>
    <v>b25870a9-db57-4b63-97c7-313fc028bbd3</v>
    <v>en-US</v>
    <v>Map</v>
  </rv>
  <rv s="1">
    <v>536870912</v>
    <v>Edineț District</v>
    <v>524b623a-e464-88df-af1f-c443942d61c7</v>
    <v>en-US</v>
    <v>Map</v>
  </rv>
  <rv s="1">
    <v>536870912</v>
    <v>Fălești District</v>
    <v>f5d678e6-231a-fe64-8f4b-309c0e3daa9f</v>
    <v>en-US</v>
    <v>Map</v>
  </rv>
  <rv s="1">
    <v>536870912</v>
    <v>Florești District</v>
    <v>1d8fb8dc-5a8f-8a4a-cc38-7ce81a60373d</v>
    <v>en-US</v>
    <v>Map</v>
  </rv>
  <rv s="1">
    <v>536870912</v>
    <v>Glodeni District</v>
    <v>b6e3ea24-0722-48c5-8154-20f8d749a89d</v>
    <v>en-US</v>
    <v>Map</v>
  </rv>
  <rv s="1">
    <v>536870912</v>
    <v>Hîncești District</v>
    <v>24073425-a3ac-09ae-eb8e-305ecb7c5eb9</v>
    <v>en-US</v>
    <v>Map</v>
  </rv>
  <rv s="1">
    <v>536870912</v>
    <v>Ialoveni District</v>
    <v>4fca5b26-b7de-40b7-99c0-aca53db3bd03</v>
    <v>en-US</v>
    <v>Map</v>
  </rv>
  <rv s="1">
    <v>536870912</v>
    <v>Leova District</v>
    <v>2225ac49-247d-0bd2-8578-a91ef17c97a3</v>
    <v>en-US</v>
    <v>Map</v>
  </rv>
  <rv s="1">
    <v>536870912</v>
    <v>Nisporeni District</v>
    <v>bf2ad605-9233-4f63-8082-489b0ca64e77</v>
    <v>en-US</v>
    <v>Map</v>
  </rv>
  <rv s="1">
    <v>536870912</v>
    <v>Ocnița District</v>
    <v>26dff043-9f51-584f-bb4a-f610faccecf6</v>
    <v>en-US</v>
    <v>Map</v>
  </rv>
  <rv s="1">
    <v>536870912</v>
    <v>Orhei District</v>
    <v>79f970d0-7548-4202-865c-96c4ef91a7c0</v>
    <v>en-US</v>
    <v>Map</v>
  </rv>
  <rv s="1">
    <v>536870912</v>
    <v>Rezina District</v>
    <v>394dc29d-e26f-b5bb-7aba-8ef616223c73</v>
    <v>en-US</v>
    <v>Map</v>
  </rv>
  <rv s="1">
    <v>536870912</v>
    <v>Rîșcani District</v>
    <v>5be0ce4f-d963-1786-1634-57f0a5c172cb</v>
    <v>en-US</v>
    <v>Map</v>
  </rv>
  <rv s="1">
    <v>536870912</v>
    <v>Sîngerei District</v>
    <v>90f0d7fa-9bbe-5865-3e85-25ba5e3cb57e</v>
    <v>en-US</v>
    <v>Map</v>
  </rv>
  <rv s="1">
    <v>536870912</v>
    <v>Soroca District</v>
    <v>03254326-9f67-4724-b8ca-4558c48cd311</v>
    <v>en-US</v>
    <v>Map</v>
  </rv>
  <rv s="1">
    <v>536870912</v>
    <v>Strășeni District</v>
    <v>26bf9fc0-fdae-1fbd-fdfe-d503f11e3196</v>
    <v>en-US</v>
    <v>Map</v>
  </rv>
  <rv s="1">
    <v>536870912</v>
    <v>Șoldănești District</v>
    <v>c303ac4e-60cf-2c5d-1894-27c77eb98d24</v>
    <v>en-US</v>
    <v>Map</v>
  </rv>
  <rv s="1">
    <v>536870912</v>
    <v>Ștefan Vodă District</v>
    <v>a8ddc1c1-62ce-3ce7-a54a-6e7276f7bde6</v>
    <v>en-US</v>
    <v>Map</v>
  </rv>
  <rv s="1">
    <v>536870912</v>
    <v>Telenești District</v>
    <v>9730ba5c-6063-c805-fb2a-75565105a6dc</v>
    <v>en-US</v>
    <v>Map</v>
  </rv>
  <rv s="1">
    <v>536870912</v>
    <v>Ungheni District</v>
    <v>6488f6ec-42ae-43dd-a391-b6350607fbf5</v>
    <v>en-US</v>
    <v>Map</v>
  </rv>
  <rv s="1">
    <v>536870912</v>
    <v>Gagauzia</v>
    <v>0314e6e7-9f5f-4491-ba35-ee6a86e2c6f8</v>
    <v>en-US</v>
    <v>Map</v>
  </rv>
  <rv s="1">
    <v>536870912</v>
    <v>Administrative-Territorial Units of the Left Bank of the Dniester</v>
    <v>af409511-164e-437c-aeb0-c76a6cce59a1</v>
    <v>en-US</v>
    <v>Map</v>
  </rv>
  <rv s="3">
    <v>433</v>
  </rv>
  <rv s="0">
    <fb>0.17691629524637301</fb>
    <v>28</v>
  </rv>
  <rv s="0">
    <fb>5.4730000495910598E-2</fb>
    <v>35</v>
  </rv>
  <rv s="0">
    <fb>1135502</fb>
    <v>9</v>
  </rv>
  <rv s="8">
    <v>#VALUE!</v>
    <v>en-US</v>
    <v>cc6beb87-eebc-d1b9-c08d-94ab92488417</v>
    <v>536870912</v>
    <v>1</v>
    <v>981</v>
    <v>46</v>
    <v>Moldova</v>
    <v>5</v>
    <v>6</v>
    <v>Map</v>
    <v>7</v>
    <v>107</v>
    <v>MD</v>
    <v>6139</v>
    <v>6140</v>
    <v>3656</v>
    <v>1986</v>
    <v>6141</v>
    <v>6130</v>
    <v>6142</v>
    <v>6143</v>
    <v>6144</v>
    <v>MDL</v>
    <v>Moldova, officially the Republic of Moldova, is a landlocked country in Eastern Europe, on the northeastern corner of the Balkans. The country spans a total of 33,483 km² and has a population of approximately 2.42 million as of January 2024. ...</v>
    <v>6145</v>
    <v>6146</v>
    <v>6147</v>
    <v>6148</v>
    <v>5245</v>
    <v>6149</v>
    <v>6150</v>
    <v>6151</v>
    <v>6152</v>
    <v>5974</v>
    <v>6130</v>
    <v>6155</v>
    <v>6156</v>
    <v>6157</v>
    <v>6158</v>
    <v>6159</v>
    <v>Moldova</v>
    <v>Limba noastră</v>
    <v>6160</v>
    <v>Republica Moldova</v>
    <v>6161</v>
    <v>6162</v>
    <v>6163</v>
    <v>648</v>
    <v>4610</v>
    <v>6164</v>
    <v>6165</v>
    <v>2586</v>
    <v>1112</v>
    <v>246</v>
    <v>6166</v>
    <v>6200</v>
    <v>6201</v>
    <v>2730</v>
    <v>5667</v>
    <v>6202</v>
    <v>Moldova</v>
    <v>6203</v>
    <v>mdp/vdpid/152</v>
  </rv>
  <rv s="1">
    <v>536870912</v>
    <v>Monaco City</v>
    <v>e2c8acee-ade6-7390-be22-b8d3d72b1354</v>
    <v>en-US</v>
    <v>Map</v>
  </rv>
  <rv s="0">
    <fb>0.2</fb>
    <v>9</v>
  </rv>
  <rv s="1">
    <v>536870912</v>
    <v>Monaco</v>
    <v>641c5b20-4d7d-f3b8-b1f9-c1c0bdc2b8f7</v>
    <v>en-US</v>
    <v>Map</v>
  </rv>
  <rv s="2">
    <v>207</v>
    <v>7</v>
    <v>982</v>
    <v>7</v>
    <v>0</v>
    <v>Image of Monaco City</v>
  </rv>
  <rv s="0">
    <fb>43.730969999999999</fb>
    <v>0</v>
  </rv>
  <rv s="4">
    <v>https://www.bing.com/search?q=monaco-ville&amp;form=skydnc</v>
    <v>Learn more on Bing</v>
  </rv>
  <rv s="0">
    <fb>7.4248149999999997</fb>
    <v>0</v>
  </rv>
  <rv s="0">
    <fb>975</fb>
    <v>9</v>
  </rv>
  <rv s="3">
    <v>434</v>
  </rv>
  <rv s="19">
    <v>#VALUE!</v>
    <v>en-US</v>
    <v>e2c8acee-ade6-7390-be22-b8d3d72b1354</v>
    <v>536870912</v>
    <v>1</v>
    <v>983</v>
    <v>135</v>
    <v>Monaco City</v>
    <v>5</v>
    <v>6</v>
    <v>Map</v>
    <v>7</v>
    <v>819</v>
    <v>6206</v>
    <v>6207</v>
    <v>Monaco City is the southcentral ward in the Principality of Monaco. Located on a headland that extends into the Mediterranean Sea, it is nicknamed The Rock. The name "Monaco City" is misleading: it is not itself a city, but a historical and ...</v>
    <v>6208</v>
    <v>6209</v>
    <v>6210</v>
    <v>6211</v>
    <v>Monaco City</v>
    <v>6212</v>
    <v>6213</v>
    <v>Monaco City</v>
    <v>mdp/vdpid/7208253231170846723</v>
  </rv>
  <rv s="0">
    <fb>2.02</fb>
    <v>9</v>
  </rv>
  <rv s="0">
    <fb>5.9</fb>
    <v>29</v>
  </rv>
  <rv s="0">
    <fb>377</fb>
    <v>30</v>
  </rv>
  <rv s="0">
    <fb>7184844192.6345596</fb>
    <v>33</v>
  </rv>
  <rv s="2">
    <v>208</v>
    <v>7</v>
    <v>985</v>
    <v>7</v>
    <v>0</v>
    <v>Image of Monaco</v>
  </rv>
  <rv s="1">
    <v>805306368</v>
    <v>Albert II, Prince of Monaco (Monarch)</v>
    <v>b32cecce-46dc-2989-4b6d-7895808d7d1b</v>
    <v>en-US</v>
    <v>Generic</v>
  </rv>
  <rv s="1">
    <v>805306368</v>
    <v>Isabelle Berro-Amadeï (Minister of State)</v>
    <v>335da876-5b07-bc97-79d3-1c9bd052087f</v>
    <v>en-US</v>
    <v>Generic</v>
  </rv>
  <rv s="3">
    <v>435</v>
  </rv>
  <rv s="4">
    <v>https://www.bing.com/search?q=monaco&amp;form=skydnc</v>
    <v>Learn more on Bing</v>
  </rv>
  <rv s="0">
    <fb>11.72</fb>
    <v>32</v>
  </rv>
  <rv s="3">
    <v>436</v>
  </rv>
  <rv s="0">
    <fb>6.0633433899999999E-2</fb>
    <v>28</v>
  </rv>
  <rv s="0">
    <fb>6.5617000000000001</fb>
    <v>29</v>
  </rv>
  <rv s="0">
    <fb>36469</fb>
    <v>9</v>
  </rv>
  <rv s="0">
    <fb>38964</fb>
    <v>9</v>
  </rv>
  <rv s="75">
    <v>#VALUE!</v>
    <v>en-US</v>
    <v>641c5b20-4d7d-f3b8-b1f9-c1c0bdc2b8f7</v>
    <v>536870912</v>
    <v>1</v>
    <v>988</v>
    <v>989</v>
    <v>Monaco</v>
    <v>5</v>
    <v>6</v>
    <v>Map</v>
    <v>7</v>
    <v>990</v>
    <v>MC</v>
    <v>6215</v>
    <v>6216</v>
    <v>6217</v>
    <v>6205</v>
    <v>EUR</v>
    <v>Monaco, officially the Principality of Monaco, is a sovereign city-state and microstate on the French Riviera a few kilometres west of the Italian region of Liguria, in Western Europe, on the Mediterranean Sea. It is a semi-enclave bordered by ...</v>
    <v>2184</v>
    <v>6218</v>
    <v>6219</v>
    <v>1038</v>
    <v>6205</v>
    <v>6222</v>
    <v>6223</v>
    <v>6224</v>
    <v>Monaco</v>
    <v>Hymne monégasque</v>
    <v>6225</v>
    <v>Monaco</v>
    <v>6226</v>
    <v>6227</v>
    <v>6228</v>
    <v>193</v>
    <v>Monaco</v>
    <v>6229</v>
    <v>mdp/vdpid/158</v>
  </rv>
  <rv s="1">
    <v>536870912</v>
    <v>Ulaanbaatar</v>
    <v>c11a6c9b-cae8-fd85-165c-84f646e12623</v>
    <v>en-US</v>
    <v>Map</v>
  </rv>
  <rv s="0">
    <fb>4704.3999999999996</fb>
    <v>9</v>
  </rv>
  <rv s="1">
    <v>536870912</v>
    <v>Mongolia</v>
    <v>ea062577-4c66-e22b-7054-abf32c1063b0</v>
    <v>en-US</v>
    <v>Map</v>
  </rv>
  <rv s="2">
    <v>209</v>
    <v>7</v>
    <v>991</v>
    <v>7</v>
    <v>0</v>
    <v>Image of Ulaanbaatar</v>
  </rv>
  <rv s="4">
    <v>https://www.bing.com/search?q=ulan+bator&amp;form=skydnc</v>
    <v>Learn more on Bing</v>
  </rv>
  <rv s="0">
    <fb>1672627</fb>
    <v>9</v>
  </rv>
  <rv s="10">
    <v>#VALUE!</v>
    <v>en-US</v>
    <v>c11a6c9b-cae8-fd85-165c-84f646e12623</v>
    <v>536870912</v>
    <v>1</v>
    <v>993</v>
    <v>60</v>
    <v>Ulaanbaatar</v>
    <v>5</v>
    <v>6</v>
    <v>Map</v>
    <v>7</v>
    <v>216</v>
    <v>MN-1</v>
    <v>6232</v>
    <v>6233</v>
    <v>Ulaanbaatar is the capital and most populous city of Mongolia. It has a population of 1.6 million, and it is the coldest capital city in the world by average yearly temperature. The municipality is located in north central Mongolia at an ...</v>
    <v>6234</v>
    <v>6235</v>
    <v>Ulaanbaatar</v>
    <v>6236</v>
    <v>1612</v>
    <v>Ulaanbaatar</v>
    <v>mdp/vdpid/7600341448306720769</v>
  </rv>
  <rv s="0">
    <fb>0.71488840550091393</fb>
    <v>28</v>
  </rv>
  <rv s="0">
    <fb>1564116</fb>
    <v>9</v>
  </rv>
  <rv s="0">
    <fb>24.131</fb>
    <v>29</v>
  </rv>
  <rv s="0">
    <fb>976</fb>
    <v>30</v>
  </rv>
  <rv s="0">
    <fb>25368.306</fb>
    <v>9</v>
  </rv>
  <rv s="0">
    <fb>195.762902940885</fb>
    <v>31</v>
  </rv>
  <rv s="0">
    <fb>7.3048159748014804E-2</fb>
    <v>28</v>
  </rv>
  <rv s="0">
    <fb>2006.38888095267</fb>
    <v>9</v>
  </rv>
  <rv s="0">
    <fb>2.895</fb>
    <v>29</v>
  </rv>
  <rv s="0">
    <fb>8.0174048837830497E-2</fb>
    <v>28</v>
  </rv>
  <rv s="0">
    <fb>93.199382825958295</fb>
    <v>34</v>
  </rv>
  <rv s="0">
    <fb>13852850259.485399</fb>
    <v>33</v>
  </rv>
  <rv s="0">
    <fb>1.0404036000000001</fb>
    <v>28</v>
  </rv>
  <rv s="0">
    <fb>0.65595439999999994</fb>
    <v>28</v>
  </rv>
  <rv s="2">
    <v>210</v>
    <v>7</v>
    <v>995</v>
    <v>7</v>
    <v>0</v>
    <v>Image of Mongolia</v>
  </rv>
  <rv s="0">
    <fb>14</fb>
    <v>34</v>
  </rv>
  <rv s="1">
    <v>805306368</v>
    <v>Ukhnaagiin Khürelsükh (President)</v>
    <v>bc801878-ff5f-0137-5b5c-42148a01e142</v>
    <v>en-US</v>
    <v>Generic</v>
  </rv>
  <rv s="1">
    <v>805306368</v>
    <v>Luvsannamsrain Oyun-Erdene (Prime minister)</v>
    <v>8003655e-4b2a-63b8-1fd2-6559bcc5b341</v>
    <v>en-US</v>
    <v>Generic</v>
  </rv>
  <rv s="1">
    <v>805306368</v>
    <v>Dashzegviin Amarbayasgalan (Chairman)</v>
    <v>614c9ae6-5c28-74ed-640f-f45d38028a56</v>
    <v>en-US</v>
    <v>Generic</v>
  </rv>
  <rv s="3">
    <v>437</v>
  </rv>
  <rv s="4">
    <v>https://www.bing.com/search?q=mongolia&amp;form=skydnc</v>
    <v>Learn more on Bing</v>
  </rv>
  <rv s="0">
    <fb>69.688999999999993</fb>
    <v>34</v>
  </rv>
  <rv s="0">
    <fb>45</fb>
    <v>34</v>
  </rv>
  <rv s="0">
    <fb>0.65</fb>
    <v>32</v>
  </rv>
  <rv s="3">
    <v>438</v>
  </rv>
  <rv s="0">
    <fb>0.39295083490000005</fb>
    <v>28</v>
  </rv>
  <rv s="0">
    <fb>2.8592</fb>
    <v>29</v>
  </rv>
  <rv s="0">
    <fb>3398366</fb>
    <v>9</v>
  </rv>
  <rv s="0">
    <fb>0.40899999999999997</fb>
    <v>28</v>
  </rv>
  <rv s="0">
    <fb>0.59675998687744103</fb>
    <v>28</v>
  </rv>
  <rv s="1">
    <v>536870912</v>
    <v>Arkhangai Province</v>
    <v>edd50e4a-5ecc-305a-df7e-74921f647452</v>
    <v>en-US</v>
    <v>Map</v>
  </rv>
  <rv s="1">
    <v>536870912</v>
    <v>Bayan-Ölgii Province</v>
    <v>50c83bc0-6f0f-59ba-f5d1-bcf9ceb80062</v>
    <v>en-US</v>
    <v>Map</v>
  </rv>
  <rv s="1">
    <v>536870912</v>
    <v>Bayankhongor Province</v>
    <v>6cd2c4a5-4966-4b19-3238-7a58159b158a</v>
    <v>en-US</v>
    <v>Map</v>
  </rv>
  <rv s="1">
    <v>536870912</v>
    <v>Bulgan Province</v>
    <v>e3437407-0307-eaea-a174-7efe4ce6eef5</v>
    <v>en-US</v>
    <v>Map</v>
  </rv>
  <rv s="1">
    <v>536870912</v>
    <v>Darkhan-Uul Province</v>
    <v>c8aeff9e-52e2-62e9-6a80-1e8d4e295a44</v>
    <v>en-US</v>
    <v>Map</v>
  </rv>
  <rv s="1">
    <v>536870912</v>
    <v>Dornod Province</v>
    <v>e0525b6e-3acb-9b47-cdcd-1f3b551cdf1b</v>
    <v>en-US</v>
    <v>Map</v>
  </rv>
  <rv s="1">
    <v>536870912</v>
    <v>Dornogovi Province</v>
    <v>83fd1fbf-9885-13dd-5f94-776cb9aaf282</v>
    <v>en-US</v>
    <v>Map</v>
  </rv>
  <rv s="1">
    <v>536870912</v>
    <v>Dundgobi Province</v>
    <v>81437413-692a-683c-d1d6-72f105203c6b</v>
    <v>en-US</v>
    <v>Map</v>
  </rv>
  <rv s="1">
    <v>536870912</v>
    <v>Govi-Altai Province</v>
    <v>c8bf4ce2-d29e-8a68-6052-28112a2e41f2</v>
    <v>en-US</v>
    <v>Map</v>
  </rv>
  <rv s="1">
    <v>536870912</v>
    <v>Govisümber Province</v>
    <v>8825bc76-9d25-63a9-fef6-7b13f2b456ae</v>
    <v>en-US</v>
    <v>Map</v>
  </rv>
  <rv s="1">
    <v>536870912</v>
    <v>Khentii Province</v>
    <v>f1aa4d79-c82c-7fa9-0808-63e4bb7a84a6</v>
    <v>en-US</v>
    <v>Map</v>
  </rv>
  <rv s="1">
    <v>536870912</v>
    <v>Khovd Province</v>
    <v>9579df50-cdf8-e0f5-1366-2f94d9268421</v>
    <v>en-US</v>
    <v>Map</v>
  </rv>
  <rv s="1">
    <v>536870912</v>
    <v>Khövsgöl Province</v>
    <v>980dcf67-5ab3-8f72-810e-b08e04e958bc</v>
    <v>en-US</v>
    <v>Map</v>
  </rv>
  <rv s="1">
    <v>536870912</v>
    <v>Orkhon Province</v>
    <v>9a9fbd7c-1921-d5b2-18f3-e6db75d8c628</v>
    <v>en-US</v>
    <v>Map</v>
  </rv>
  <rv s="1">
    <v>536870912</v>
    <v>Övörkhangai Province</v>
    <v>f72f2a5b-aa15-a3f1-54be-0d059ad7c7b2</v>
    <v>en-US</v>
    <v>Map</v>
  </rv>
  <rv s="1">
    <v>536870912</v>
    <v>Selenge Province</v>
    <v>8d58b013-7c74-c2c9-c4e9-f248a88ead31</v>
    <v>en-US</v>
    <v>Map</v>
  </rv>
  <rv s="1">
    <v>536870912</v>
    <v>Sükhbaatar Province</v>
    <v>9ac4b054-5253-dbe4-1f52-dfc13c9df5eb</v>
    <v>en-US</v>
    <v>Map</v>
  </rv>
  <rv s="1">
    <v>536870912</v>
    <v>Töv Province</v>
    <v>ff8d47ea-055d-0d90-3dee-9fa1f9dc0682</v>
    <v>en-US</v>
    <v>Map</v>
  </rv>
  <rv s="1">
    <v>536870912</v>
    <v>Uvs Province</v>
    <v>06abb258-94fa-9b40-34c2-ed3ee6456d79</v>
    <v>en-US</v>
    <v>Map</v>
  </rv>
  <rv s="1">
    <v>536870912</v>
    <v>Zavkhan Province</v>
    <v>fda03c42-cec6-29f7-632e-3a19bc1ac52e</v>
    <v>en-US</v>
    <v>Map</v>
  </rv>
  <rv s="3">
    <v>439</v>
  </rv>
  <rv s="0">
    <fb>0.16776784623697399</fb>
    <v>28</v>
  </rv>
  <rv s="0">
    <fb>6.0110001564025899E-2</fb>
    <v>35</v>
  </rv>
  <rv s="0">
    <fb>2210626</fb>
    <v>9</v>
  </rv>
  <rv s="8">
    <v>#VALUE!</v>
    <v>en-US</v>
    <v>ea062577-4c66-e22b-7054-abf32c1063b0</v>
    <v>536870912</v>
    <v>1</v>
    <v>998</v>
    <v>46</v>
    <v>Mongolia</v>
    <v>5</v>
    <v>6</v>
    <v>Map</v>
    <v>7</v>
    <v>502</v>
    <v>MN</v>
    <v>6238</v>
    <v>6239</v>
    <v>2606</v>
    <v>6240</v>
    <v>6241</v>
    <v>6231</v>
    <v>6242</v>
    <v>6243</v>
    <v>6244</v>
    <v>MNT</v>
    <v>Mongolia is a landlocked country in East Asia, bordered by Russia to the north and China to the south. It covers an area of 1,564,116 square kilometres, with a population of 3.5 million, making it the world's most sparsely populated sovereign ...</v>
    <v>6245</v>
    <v>6246</v>
    <v>6247</v>
    <v>6248</v>
    <v>1206</v>
    <v>6249</v>
    <v>6250</v>
    <v>6251</v>
    <v>6252</v>
    <v>6253</v>
    <v>6231</v>
    <v>6257</v>
    <v>6258</v>
    <v>6259</v>
    <v>6260</v>
    <v>6261</v>
    <v>Mongolia</v>
    <v>National anthem of Mongolia</v>
    <v>6262</v>
    <v>Монгол Улс</v>
    <v>6263</v>
    <v>6264</v>
    <v>6265</v>
    <v>3398</v>
    <v>5767</v>
    <v>6266</v>
    <v>587</v>
    <v>4417</v>
    <v>1418</v>
    <v>178</v>
    <v>6267</v>
    <v>6288</v>
    <v>6289</v>
    <v>1612</v>
    <v>5767</v>
    <v>6290</v>
    <v>Mongolia</v>
    <v>6291</v>
    <v>mdp/vdpid/154</v>
  </rv>
  <rv s="1">
    <v>536870912</v>
    <v>Podgorica</v>
    <v>8cd372e7-d0e4-b57b-42ec-5553ec56dfd8</v>
    <v>en-US</v>
    <v>Map</v>
  </rv>
  <rv s="1">
    <v>536870912</v>
    <v>Podgorica Capital City</v>
    <v>1b997d29-a716-4538-a589-3e0996365705</v>
    <v>en-US</v>
    <v>Map</v>
  </rv>
  <rv s="0">
    <fb>1205</fb>
    <v>9</v>
  </rv>
  <rv s="1">
    <v>536870912</v>
    <v>Montenegro</v>
    <v>af9f6af3-dd71-b99f-0f24-acfa43b556ef</v>
    <v>en-US</v>
    <v>Map</v>
  </rv>
  <rv s="2">
    <v>211</v>
    <v>7</v>
    <v>999</v>
    <v>7</v>
    <v>0</v>
    <v>Image of Podgorica</v>
  </rv>
  <rv s="0">
    <fb>42.441388888888902</fb>
    <v>0</v>
  </rv>
  <rv s="1">
    <v>805306368</v>
    <v>Saša Mujović (Mayor)</v>
    <v>9de21faa-90a8-d8b5-ee0f-a2c794543ad5</v>
    <v>en-US</v>
    <v>Generic</v>
  </rv>
  <rv s="3">
    <v>440</v>
  </rv>
  <rv s="4">
    <v>https://www.bing.com/search?q=podgorica&amp;form=skydnc</v>
    <v>Learn more on Bing</v>
  </rv>
  <rv s="0">
    <fb>19.262777777777799</fb>
    <v>0</v>
  </rv>
  <rv s="0">
    <fb>150977</fb>
    <v>9</v>
  </rv>
  <rv s="7">
    <v>#VALUE!</v>
    <v>en-US</v>
    <v>8cd372e7-d0e4-b57b-42ec-5553ec56dfd8</v>
    <v>536870912</v>
    <v>1</v>
    <v>1000</v>
    <v>38</v>
    <v>Podgorica</v>
    <v>5</v>
    <v>6</v>
    <v>Map</v>
    <v>7</v>
    <v>39</v>
    <v>6294</v>
    <v>6295</v>
    <v>6296</v>
    <v>Podgorica is the capital and largest city of Montenegro. The city is just north of Lake Skadar and close to coastal destinations on the Adriatic Sea. Historically, it was Podgorica's position at the confluence of the Ribnica and Morača rivers ...</v>
    <v>6297</v>
    <v>6298</v>
    <v>6300</v>
    <v>6301</v>
    <v>6302</v>
    <v>Podgorica</v>
    <v>6303</v>
    <v>141</v>
    <v>Podgorica</v>
    <v>mdp/vdpid/7217566949457264641</v>
  </rv>
  <rv s="0">
    <fb>0.189591078066914</fb>
    <v>28</v>
  </rv>
  <rv s="0">
    <fb>13883</fb>
    <v>9</v>
  </rv>
  <rv s="0">
    <fb>11.731999999999999</fb>
    <v>29</v>
  </rv>
  <rv s="0">
    <fb>382</fb>
    <v>30</v>
  </rv>
  <rv s="0">
    <fb>2016.85</fb>
    <v>9</v>
  </rv>
  <rv s="0">
    <fb>116.32011728325899</fb>
    <v>31</v>
  </rv>
  <rv s="0">
    <fb>2.6112164723023201E-2</fb>
    <v>28</v>
  </rv>
  <rv s="0">
    <fb>4612.3413904568897</fb>
    <v>9</v>
  </rv>
  <rv s="0">
    <fb>1.7450000000000001</fb>
    <v>29</v>
  </rv>
  <rv s="0">
    <fb>0.61486988847583601</fb>
    <v>28</v>
  </rv>
  <rv s="0">
    <fb>64.664697002011494</fb>
    <v>34</v>
  </rv>
  <rv s="0">
    <fb>5494736901.0299997</fb>
    <v>33</v>
  </rv>
  <rv s="0">
    <fb>1.0000255</fb>
    <v>28</v>
  </rv>
  <rv s="0">
    <fb>0.56080969999999997</fb>
    <v>28</v>
  </rv>
  <rv s="2">
    <v>212</v>
    <v>7</v>
    <v>1002</v>
    <v>7</v>
    <v>0</v>
    <v>Image of Montenegro</v>
  </rv>
  <rv s="0">
    <fb>2.2999999999999998</fb>
    <v>34</v>
  </rv>
  <rv s="1">
    <v>805306368</v>
    <v>Jakov Milatović (President)</v>
    <v>c5ebdbf4-0ea1-7fdf-3183-65fe6ba3951f</v>
    <v>en-US</v>
    <v>Generic</v>
  </rv>
  <rv s="1">
    <v>805306368</v>
    <v>Milojko Spajić (Prime minister)</v>
    <v>765c984e-797a-8014-56a5-505ab4c9d031</v>
    <v>en-US</v>
    <v>Generic</v>
  </rv>
  <rv s="3">
    <v>441</v>
  </rv>
  <rv s="4">
    <v>https://www.bing.com/search?q=montenegro&amp;form=skydnc</v>
    <v>Learn more on Bing</v>
  </rv>
  <rv s="0">
    <fb>76.77</fb>
    <v>34</v>
  </rv>
  <rv s="0">
    <fb>3787240000</fb>
    <v>33</v>
  </rv>
  <rv s="3">
    <v>442</v>
  </rv>
  <rv s="0">
    <fb>0.3182014152</fb>
    <v>28</v>
  </rv>
  <rv s="0">
    <fb>2.7557</fb>
    <v>29</v>
  </rv>
  <rv s="0">
    <fb>616159</fb>
    <v>9</v>
  </rv>
  <rv s="0">
    <fb>0.23499999999999999</fb>
    <v>28</v>
  </rv>
  <rv s="0">
    <fb>0.44299999999999995</fb>
    <v>28</v>
  </rv>
  <rv s="0">
    <fb>5.2000000000000005E-2</fb>
    <v>28</v>
  </rv>
  <rv s="0">
    <fb>0.54443000793457008</fb>
    <v>28</v>
  </rv>
  <rv s="1">
    <v>536870912</v>
    <v>Andrijevica Municipality</v>
    <v>15a37fd2-f0ad-4044-9048-f5902e1cdf8e</v>
    <v>en-US</v>
    <v>Map</v>
  </rv>
  <rv s="1">
    <v>536870912</v>
    <v>Bar Municipality</v>
    <v>ef402ae9-9313-4a3d-bcb2-2fdd468f608e</v>
    <v>en-US</v>
    <v>Map</v>
  </rv>
  <rv s="1">
    <v>536870912</v>
    <v>Berane Municipality</v>
    <v>ba21b443-43c6-4420-8c5a-6541e36f2955</v>
    <v>en-US</v>
    <v>Map</v>
  </rv>
  <rv s="1">
    <v>536870912</v>
    <v>Bijelo Polje Municipality</v>
    <v>af43ef93-bd2b-4959-bb03-8d4924e72043</v>
    <v>en-US</v>
    <v>Map</v>
  </rv>
  <rv s="1">
    <v>536870912</v>
    <v>Budva Municipality</v>
    <v>503e2de6-0c48-43c1-8cf7-dc1bf1d58e41</v>
    <v>en-US</v>
    <v>Map</v>
  </rv>
  <rv s="1">
    <v>536870912</v>
    <v>Kotor Municipality</v>
    <v>7d2d8478-3eec-4f4d-8904-aed6eb68977f</v>
    <v>en-US</v>
    <v>Map</v>
  </rv>
  <rv s="1">
    <v>536870912</v>
    <v>Old Royal Capital Cetinje</v>
    <v>af4f2915-ea34-41ab-94ef-68e51355a455</v>
    <v>en-US</v>
    <v>Map</v>
  </rv>
  <rv s="1">
    <v>536870912</v>
    <v>Danilovgrad Municipality</v>
    <v>e0623382-556b-4a20-a0c6-e12a7ea20bd3</v>
    <v>en-US</v>
    <v>Map</v>
  </rv>
  <rv s="1">
    <v>536870912</v>
    <v>Ulcinj Municipality</v>
    <v>fc0d2072-fca6-4699-9021-0607660d0ac6</v>
    <v>en-US</v>
    <v>Map</v>
  </rv>
  <rv s="1">
    <v>536870912</v>
    <v>Kolašin Municipality</v>
    <v>17e42a17-1587-4293-b180-a2e85d6bc4db</v>
    <v>en-US</v>
    <v>Map</v>
  </rv>
  <rv s="1">
    <v>536870912</v>
    <v>Mojkovac Municipality</v>
    <v>3f1ef5ae-3f29-4643-9439-cc3c8109fdf5</v>
    <v>en-US</v>
    <v>Map</v>
  </rv>
  <rv s="1">
    <v>536870912</v>
    <v>Nikšić Municipality</v>
    <v>56916107-c5a6-4deb-8948-9e0835af416f</v>
    <v>en-US</v>
    <v>Map</v>
  </rv>
  <rv s="1">
    <v>536870912</v>
    <v>Plav Municipality</v>
    <v>d4702035-6dee-47bd-b576-a1316db150a6</v>
    <v>en-US</v>
    <v>Map</v>
  </rv>
  <rv s="1">
    <v>536870912</v>
    <v>Pljevlja Municipality</v>
    <v>2834b7b3-5e41-4d03-9414-41ae6c7e882c</v>
    <v>en-US</v>
    <v>Map</v>
  </rv>
  <rv s="1">
    <v>536870912</v>
    <v>Plužine Municipality</v>
    <v>1eb28701-9a95-4f2f-8055-cb5c70ac9077</v>
    <v>en-US</v>
    <v>Map</v>
  </rv>
  <rv s="1">
    <v>536870912</v>
    <v>Rožaje Municipality</v>
    <v>1a5c0b0d-df89-4bc0-8d71-752272966a86</v>
    <v>en-US</v>
    <v>Map</v>
  </rv>
  <rv s="1">
    <v>536870912</v>
    <v>Šavnik Municipality</v>
    <v>c19e8398-1916-46d8-b7a8-0c535c22023c</v>
    <v>en-US</v>
    <v>Map</v>
  </rv>
  <rv s="1">
    <v>536870912</v>
    <v>Tivat Municipality</v>
    <v>f95f9e50-aa80-488e-babc-916a41ffe420</v>
    <v>en-US</v>
    <v>Map</v>
  </rv>
  <rv s="1">
    <v>536870912</v>
    <v>Žabljak Municipality</v>
    <v>f1f84361-1f5b-4ff9-ade2-f85534e8c1d1</v>
    <v>en-US</v>
    <v>Map</v>
  </rv>
  <rv s="1">
    <v>536870912</v>
    <v>Petnjica Municipality</v>
    <v>639aacbf-be60-7b50-a111-95e35036c2dc</v>
    <v>en-US</v>
    <v>Map</v>
  </rv>
  <rv s="1">
    <v>536870912</v>
    <v>Gusinje Municipality</v>
    <v>f7f5835a-889d-4113-68ea-2009058f1a4d</v>
    <v>en-US</v>
    <v>Map</v>
  </rv>
  <rv s="3">
    <v>443</v>
  </rv>
  <rv s="0">
    <fb>0.14883000373840299</fb>
    <v>35</v>
  </rv>
  <rv s="0">
    <fb>417765</fb>
    <v>9</v>
  </rv>
  <rv s="44">
    <v>#VALUE!</v>
    <v>en-US</v>
    <v>af9f6af3-dd71-b99f-0f24-acfa43b556ef</v>
    <v>536870912</v>
    <v>1</v>
    <v>1005</v>
    <v>485</v>
    <v>Montenegro</v>
    <v>5</v>
    <v>6</v>
    <v>Map</v>
    <v>7</v>
    <v>1006</v>
    <v>ME</v>
    <v>6305</v>
    <v>6306</v>
    <v>1196</v>
    <v>6307</v>
    <v>6308</v>
    <v>6293</v>
    <v>6309</v>
    <v>6310</v>
    <v>6311</v>
    <v>EUR</v>
    <v>Montenegro is a country in Southeastern Europe, on the Balkan Peninsula. Its 25 municipalities have a total population of 633,158 people in an area of 13,883 km². It is bordered by Bosnia and Herzegovina to the northwest, Serbia to the ...</v>
    <v>6312</v>
    <v>6313</v>
    <v>6314</v>
    <v>6315</v>
    <v>5419</v>
    <v>6316</v>
    <v>6317</v>
    <v>6318</v>
    <v>6319</v>
    <v>6320</v>
    <v>6293</v>
    <v>6323</v>
    <v>6324</v>
    <v>6325</v>
    <v>6326</v>
    <v>642</v>
    <v>2339</v>
    <v>Montenegro</v>
    <v>Oj, svijetla majska zoro</v>
    <v>6327</v>
    <v>Crna Gora</v>
    <v>6328</v>
    <v>6329</v>
    <v>6330</v>
    <v>6331</v>
    <v>3684</v>
    <v>6332</v>
    <v>511</v>
    <v>6333</v>
    <v>2265</v>
    <v>3332</v>
    <v>6334</v>
    <v>6356</v>
    <v>193</v>
    <v>2261</v>
    <v>6357</v>
    <v>Montenegro</v>
    <v>6358</v>
    <v>mdp/vdpid/270</v>
  </rv>
  <rv s="1">
    <v>536870912</v>
    <v>Rabat</v>
    <v>c1bdba78-6d2f-350d-fb4e-8a0636bc1a1f</v>
    <v>en-US</v>
    <v>Map</v>
  </rv>
  <rv s="1">
    <v>536870912</v>
    <v>Rabat-Salé-Kénitra</v>
    <v>d608a3a6-e00a-255a-7bb0-4c932d8ac70e</v>
    <v>en-US</v>
    <v>Map</v>
  </rv>
  <rv s="0">
    <fb>118</fb>
    <v>9</v>
  </rv>
  <rv s="1">
    <v>536870912</v>
    <v>Morocco</v>
    <v>70f80aeb-dadf-b744-30f3-cea7fe3e7a8f</v>
    <v>en-US</v>
    <v>Map</v>
  </rv>
  <rv s="2">
    <v>213</v>
    <v>7</v>
    <v>1007</v>
    <v>7</v>
    <v>0</v>
    <v>Image of Rabat</v>
  </rv>
  <rv s="0">
    <fb>34.025277777778001</fb>
    <v>0</v>
  </rv>
  <rv s="1">
    <v>805306368</v>
    <v>Asmaa Rhlalou (Mayor)</v>
    <v>f564bbbd-b45c-b0df-b992-cca722e2da69</v>
    <v>en-US</v>
    <v>Generic</v>
  </rv>
  <rv s="3">
    <v>444</v>
  </rv>
  <rv s="4">
    <v>https://www.bing.com/search?q=rabat&amp;form=skydnc</v>
    <v>Learn more on Bing</v>
  </rv>
  <rv s="0">
    <fb>-6.8361111111110997</fb>
    <v>0</v>
  </rv>
  <rv s="0">
    <fb>572717</fb>
    <v>9</v>
  </rv>
  <rv s="24">
    <v>#VALUE!</v>
    <v>en-US</v>
    <v>c1bdba78-6d2f-350d-fb4e-8a0636bc1a1f</v>
    <v>536870912</v>
    <v>1</v>
    <v>1008</v>
    <v>189</v>
    <v>Rabat</v>
    <v>5</v>
    <v>6</v>
    <v>Map</v>
    <v>7</v>
    <v>158</v>
    <v>6361</v>
    <v>6362</v>
    <v>6363</v>
    <v>Rabat is the capital city of Morocco and the country's seventh-largest city with an urban population of approximately 580,000 and a metropolitan population of over 1.2 million. It is also the capital city of the Rabat-Salé-Kénitra administrative ...</v>
    <v>6364</v>
    <v>6365</v>
    <v>6367</v>
    <v>6368</v>
    <v>6369</v>
    <v>Rabat</v>
    <v>6370</v>
    <v>Rabat</v>
    <v>mdp/vdpid/5672233515610013697</v>
  </rv>
  <rv s="0">
    <fb>0.68544700873851694</fb>
    <v>28</v>
  </rv>
  <rv s="0">
    <fb>446550</fb>
    <v>9</v>
  </rv>
  <rv s="0">
    <fb>246000</fb>
    <v>9</v>
  </rv>
  <rv s="0">
    <fb>18.937000000000001</fb>
    <v>29</v>
  </rv>
  <rv s="0">
    <fb>212</fb>
    <v>30</v>
  </rv>
  <rv s="0">
    <fb>61275.57</fb>
    <v>9</v>
  </rv>
  <rv s="0">
    <fb>111.06755821996801</fb>
    <v>31</v>
  </rv>
  <rv s="0">
    <fb>1.9606552057642502E-3</fb>
    <v>28</v>
  </rv>
  <rv s="0">
    <fb>904.442154848276</fb>
    <v>9</v>
  </rv>
  <rv s="0">
    <fb>2.415</fb>
    <v>29</v>
  </rv>
  <rv s="0">
    <fb>0.12601389200089599</fb>
    <v>28</v>
  </rv>
  <rv s="0">
    <fb>88.468862812342195</fb>
    <v>34</v>
  </rv>
  <rv s="0">
    <fb>118725279596.13</fb>
    <v>33</v>
  </rv>
  <rv s="0">
    <fb>1.1387658000000001</fb>
    <v>28</v>
  </rv>
  <rv s="0">
    <fb>0.35935929999999999</fb>
    <v>28</v>
  </rv>
  <rv s="2">
    <v>214</v>
    <v>7</v>
    <v>1010</v>
    <v>7</v>
    <v>0</v>
    <v>Image of Morocco</v>
  </rv>
  <rv s="1">
    <v>536870912</v>
    <v>Casablanca</v>
    <v>6e0e6ca2-e092-9d0b-f376-e56de22511d6</v>
    <v>en-US</v>
    <v>Map</v>
  </rv>
  <rv s="1">
    <v>805306368</v>
    <v>Mohammed VI of Morocco (King)</v>
    <v>a8b6463e-cb6c-6fcd-25da-aea08a8138f6</v>
    <v>en-US</v>
    <v>Generic</v>
  </rv>
  <rv s="1">
    <v>805306368</v>
    <v>Aziz Akhannouch (Prime minister)</v>
    <v>0857cab8-6f91-95d6-9379-d47107139224</v>
    <v>en-US</v>
    <v>Generic</v>
  </rv>
  <rv s="3">
    <v>445</v>
  </rv>
  <rv s="4">
    <v>https://www.bing.com/search?q=morocco&amp;form=skydnc</v>
    <v>Learn more on Bing</v>
  </rv>
  <rv s="0">
    <fb>76.453000000000003</fb>
    <v>34</v>
  </rv>
  <rv s="0">
    <fb>65415260000</fb>
    <v>33</v>
  </rv>
  <rv s="3">
    <v>446</v>
  </rv>
  <rv s="0">
    <fb>0.53084071929999999</fb>
    <v>28</v>
  </rv>
  <rv s="0">
    <fb>0.72729999999999995</fb>
    <v>29</v>
  </rv>
  <rv s="0">
    <fb>37457971</fb>
    <v>9</v>
  </rv>
  <rv s="0">
    <fb>0.47</fb>
    <v>28</v>
  </rv>
  <rv s="0">
    <fb>0.45305999755859405</fb>
    <v>28</v>
  </rv>
  <rv s="1">
    <v>536870912</v>
    <v>Tangier-Tetouan-Al Hoceima</v>
    <v>b2b988dd-fd79-ea5e-aab0-e61172e8563a</v>
    <v>en-US</v>
    <v>Map</v>
  </rv>
  <rv s="1">
    <v>536870912</v>
    <v>Oriental</v>
    <v>ede82c2d-4963-5eaa-dd72-96771e2b4ad7</v>
    <v>en-US</v>
    <v>Map</v>
  </rv>
  <rv s="1">
    <v>536870912</v>
    <v>Fez-Meknes</v>
    <v>1796453a-bad4-8b50-6a38-ec8e50763de3</v>
    <v>en-US</v>
    <v>Map</v>
  </rv>
  <rv s="1">
    <v>536870912</v>
    <v>Béni Mellal-Khénifra</v>
    <v>63a560e7-a92b-91a4-d450-0070c6d646ed</v>
    <v>en-US</v>
    <v>Map</v>
  </rv>
  <rv s="1">
    <v>536870912</v>
    <v>Casablanca-Settat</v>
    <v>0a1da02f-c2ab-cd63-4513-0ad53a204add</v>
    <v>en-US</v>
    <v>Map</v>
  </rv>
  <rv s="1">
    <v>536870912</v>
    <v>Marrakesh–Safi</v>
    <v>72062986-b181-1c91-77d8-f1c50d8e1167</v>
    <v>en-US</v>
    <v>Map</v>
  </rv>
  <rv s="1">
    <v>536870912</v>
    <v>Drâa-Tafilalet</v>
    <v>a5af6ee0-6211-7bcb-e47f-24318991bc0b</v>
    <v>en-US</v>
    <v>Map</v>
  </rv>
  <rv s="1">
    <v>536870912</v>
    <v>Souss-Massa</v>
    <v>79a4822d-1223-a9ce-9ec7-82f8f2f4efb9</v>
    <v>en-US</v>
    <v>Map</v>
  </rv>
  <rv s="1">
    <v>536870912</v>
    <v>Guelmim-Oued Noun</v>
    <v>f0a8c051-b07e-0e55-2dd7-9c218b5ead01</v>
    <v>en-US</v>
    <v>Map</v>
  </rv>
  <rv s="1">
    <v>536870912</v>
    <v>Laâyoune-Sakia El Hamra</v>
    <v>dc6d2a0d-e8e8-c9ba-7064-112a1b9c2b06</v>
    <v>en-US</v>
    <v>Map</v>
  </rv>
  <rv s="1">
    <v>536870912</v>
    <v>Dakhla-Oued Ed-Dahab</v>
    <v>9b6060ab-7891-e388-112f-5d61ad7cdad5</v>
    <v>en-US</v>
    <v>Map</v>
  </rv>
  <rv s="3">
    <v>447</v>
  </rv>
  <rv s="0">
    <fb>0.21906614484662298</fb>
    <v>28</v>
  </rv>
  <rv s="3">
    <v>448</v>
  </rv>
  <rv s="0">
    <fb>0.45799999999999996</fb>
    <v>28</v>
  </rv>
  <rv s="0">
    <fb>9.0190000534057596E-2</fb>
    <v>35</v>
  </rv>
  <rv s="0">
    <fb>22975026</fb>
    <v>9</v>
  </rv>
  <rv s="9">
    <v>#VALUE!</v>
    <v>en-US</v>
    <v>70f80aeb-dadf-b744-30f3-cea7fe3e7a8f</v>
    <v>536870912</v>
    <v>1</v>
    <v>1013</v>
    <v>55</v>
    <v>Morocco</v>
    <v>5</v>
    <v>6</v>
    <v>Map</v>
    <v>7</v>
    <v>1014</v>
    <v>MA</v>
    <v>6372</v>
    <v>6373</v>
    <v>6374</v>
    <v>6375</v>
    <v>6376</v>
    <v>6360</v>
    <v>6377</v>
    <v>6378</v>
    <v>6379</v>
    <v>MAD</v>
    <v>Morocco, officially the Kingdom of Morocco, is a country in the Maghreb region of North Africa. It overlooks the Mediterranean Sea to the north and the Atlantic Ocean to the west, and has land borders with Algeria to the east, and the disputed ...</v>
    <v>6380</v>
    <v>6381</v>
    <v>6382</v>
    <v>6383</v>
    <v>435</v>
    <v>6384</v>
    <v>6385</v>
    <v>6386</v>
    <v>6387</v>
    <v>712</v>
    <v>6388</v>
    <v>6391</v>
    <v>6392</v>
    <v>6393</v>
    <v>6394</v>
    <v>835</v>
    <v>4072</v>
    <v>Morocco</v>
    <v>Cherifian Anthem</v>
    <v>6395</v>
    <v>Kongeriget Marokko</v>
    <v>6396</v>
    <v>6397</v>
    <v>6398</v>
    <v>724</v>
    <v>1660</v>
    <v>6399</v>
    <v>1287</v>
    <v>1288</v>
    <v>2265</v>
    <v>4241</v>
    <v>6400</v>
    <v>6412</v>
    <v>6413</v>
    <v>6414</v>
    <v>6415</v>
    <v>6416</v>
    <v>Morocco</v>
    <v>6417</v>
    <v>mdp/vdpid/159</v>
  </rv>
  <rv s="1">
    <v>536870912</v>
    <v>Maputo</v>
    <v>d995e878-d96c-85c9-a3eb-fae711074afd</v>
    <v>en-US</v>
    <v>Map</v>
  </rv>
  <rv s="0">
    <fb>346.77</fb>
    <v>9</v>
  </rv>
  <rv s="1">
    <v>536870912</v>
    <v>Mozambique</v>
    <v>a7f78d5f-1f90-031f-0dbd-c31c66e057d5</v>
    <v>en-US</v>
    <v>Map</v>
  </rv>
  <rv s="2">
    <v>215</v>
    <v>7</v>
    <v>1015</v>
    <v>7</v>
    <v>0</v>
    <v>Image of Maputo</v>
  </rv>
  <rv s="1">
    <v>805306368</v>
    <v>Iolanda Cintura (Governor)</v>
    <v>187d0d3e-302a-add3-ac74-9b0e806a0bca</v>
    <v>en-US</v>
    <v>Generic</v>
  </rv>
  <rv s="3">
    <v>449</v>
  </rv>
  <rv s="4">
    <v>https://www.bing.com/search?q=maputo&amp;form=skydnc</v>
    <v>Learn more on Bing</v>
  </rv>
  <rv s="0">
    <fb>1124988</fb>
    <v>9</v>
  </rv>
  <rv s="16">
    <v>#VALUE!</v>
    <v>en-US</v>
    <v>d995e878-d96c-85c9-a3eb-fae711074afd</v>
    <v>536870912</v>
    <v>1</v>
    <v>1017</v>
    <v>92</v>
    <v>Maputo</v>
    <v>5</v>
    <v>6</v>
    <v>Map</v>
    <v>7</v>
    <v>8</v>
    <v>MZ-MPM</v>
    <v>6420</v>
    <v>6421</v>
    <v>Maputo is the capital and largest city of Mozambique. Located near the southern end of the country, it is within 120 kilometres of the borders with Eswatini and South Africa. The city has a population of 1,088,449 distributed over a land area of ...</v>
    <v>6422</v>
    <v>6424</v>
    <v>6425</v>
    <v>Maputo</v>
    <v>6426</v>
    <v>3369</v>
    <v>Maputo</v>
    <v>mdp/vdpid/8182639636053491713</v>
  </rv>
  <rv s="0">
    <fb>0.63518909433098503</fb>
    <v>28</v>
  </rv>
  <rv s="0">
    <fb>801590</fb>
    <v>9</v>
  </rv>
  <rv s="0">
    <fb>37.520000000000003</fb>
    <v>29</v>
  </rv>
  <rv s="0">
    <fb>258</fb>
    <v>30</v>
  </rv>
  <rv s="0">
    <fb>7942.7219999999998</fb>
    <v>9</v>
  </rv>
  <rv s="0">
    <fb>182.31478337639101</fb>
    <v>31</v>
  </rv>
  <rv s="0">
    <fb>2.7811063118294198E-2</fb>
    <v>28</v>
  </rv>
  <rv s="0">
    <fb>478.92117232933498</fb>
    <v>9</v>
  </rv>
  <rv s="0">
    <fb>4.8520000000000003</fb>
    <v>29</v>
  </rv>
  <rv s="0">
    <fb>0.47983928332994202</fb>
    <v>28</v>
  </rv>
  <rv s="0">
    <fb>12.6199534718635</fb>
    <v>34</v>
  </rv>
  <rv s="0">
    <fb>14934159925.523399</fb>
    <v>33</v>
  </rv>
  <rv s="0">
    <fb>1.1260497999999999</fb>
    <v>28</v>
  </rv>
  <rv s="0">
    <fb>7.3125499999999996E-2</fb>
    <v>28</v>
  </rv>
  <rv s="2">
    <v>216</v>
    <v>7</v>
    <v>1019</v>
    <v>7</v>
    <v>0</v>
    <v>Image of Mozambique</v>
  </rv>
  <rv s="1">
    <v>805306368</v>
    <v>Daniel Chapo (President)</v>
    <v>db7012c2-0af9-88e4-9ea1-19537331dd45</v>
    <v>en-US</v>
    <v>Generic</v>
  </rv>
  <rv s="1">
    <v>805306368</v>
    <v>Maria Benvinda Levy (Prime minister)</v>
    <v>1c131e3c-98d5-72f6-b903-029c3d9dad0b</v>
    <v>en-US</v>
    <v>Generic</v>
  </rv>
  <rv s="3">
    <v>450</v>
  </rv>
  <rv s="4">
    <v>https://www.bing.com/search?q=mozambique&amp;form=skydnc</v>
    <v>Learn more on Bing</v>
  </rv>
  <rv s="0">
    <fb>60.162999999999997</fb>
    <v>34</v>
  </rv>
  <rv s="0">
    <fb>289</fb>
    <v>34</v>
  </rv>
  <rv s="3">
    <v>451</v>
  </rv>
  <rv s="0">
    <fb>6.8464365599999993E-2</fb>
    <v>28</v>
  </rv>
  <rv s="0">
    <fb>8.3799999999999999E-2</fb>
    <v>29</v>
  </rv>
  <rv s="0">
    <fb>32969518</fb>
    <v>9</v>
  </rv>
  <rv s="0">
    <fb>0.59499999999999997</fb>
    <v>28</v>
  </rv>
  <rv s="0">
    <fb>0.11199999999999999</fb>
    <v>28</v>
  </rv>
  <rv s="0">
    <fb>0.78097000122070304</fb>
    <v>28</v>
  </rv>
  <rv s="1">
    <v>536870912</v>
    <v>Cabo Delgado Province</v>
    <v>e5092fb2-807d-6dde-7af0-8c5ce915dc09</v>
    <v>en-US</v>
    <v>Map</v>
  </rv>
  <rv s="1">
    <v>536870912</v>
    <v>Gaza Province</v>
    <v>ed9118ad-6a52-a758-4ad2-3bb6d7ad6a72</v>
    <v>en-US</v>
    <v>Map</v>
  </rv>
  <rv s="1">
    <v>536870912</v>
    <v>Inhambane Province</v>
    <v>d5ef9c0c-291b-87ed-3596-2c66485f7bcb</v>
    <v>en-US</v>
    <v>Map</v>
  </rv>
  <rv s="1">
    <v>536870912</v>
    <v>Manica Province</v>
    <v>d1fb7605-afd7-bf22-9c3e-885d5343919c</v>
    <v>en-US</v>
    <v>Map</v>
  </rv>
  <rv s="1">
    <v>536870912</v>
    <v>Maputo Province</v>
    <v>4af3ad4a-4b1f-83c9-d3b3-6993c601770f</v>
    <v>en-US</v>
    <v>Map</v>
  </rv>
  <rv s="1">
    <v>536870912</v>
    <v>Nampula Province</v>
    <v>b45ef35f-3689-e855-c77c-99ce450bac9e</v>
    <v>en-US</v>
    <v>Map</v>
  </rv>
  <rv s="1">
    <v>536870912</v>
    <v>Niassa Province</v>
    <v>42011373-ef53-85b1-2f7e-7ac3b4192e52</v>
    <v>en-US</v>
    <v>Map</v>
  </rv>
  <rv s="1">
    <v>536870912</v>
    <v>Sofala Province</v>
    <v>4f472e22-3748-7fd0-52b2-aff1245d8f5d</v>
    <v>en-US</v>
    <v>Map</v>
  </rv>
  <rv s="1">
    <v>536870912</v>
    <v>Tete Province</v>
    <v>cfa93a22-ea12-c7f6-686b-5c7b7852f88e</v>
    <v>en-US</v>
    <v>Map</v>
  </rv>
  <rv s="1">
    <v>536870912</v>
    <v>Zambezia Province</v>
    <v>1ff2b2ab-acf2-31bb-c86a-1a3705c17787</v>
    <v>en-US</v>
    <v>Map</v>
  </rv>
  <rv s="3">
    <v>452</v>
  </rv>
  <rv s="0">
    <fb>2.1625512934769699E-4</fb>
    <v>28</v>
  </rv>
  <rv s="3">
    <v>453</v>
  </rv>
  <rv s="0">
    <fb>0.36099999999999999</fb>
    <v>28</v>
  </rv>
  <rv s="0">
    <fb>3.2409999370575003E-2</fb>
    <v>35</v>
  </rv>
  <rv s="0">
    <fb>11092106</fb>
    <v>9</v>
  </rv>
  <rv s="8">
    <v>#VALUE!</v>
    <v>en-US</v>
    <v>a7f78d5f-1f90-031f-0dbd-c31c66e057d5</v>
    <v>536870912</v>
    <v>1</v>
    <v>1022</v>
    <v>46</v>
    <v>Mozambique</v>
    <v>5</v>
    <v>6</v>
    <v>Map</v>
    <v>7</v>
    <v>1023</v>
    <v>MZ</v>
    <v>6428</v>
    <v>6429</v>
    <v>1390</v>
    <v>6430</v>
    <v>6431</v>
    <v>6419</v>
    <v>6432</v>
    <v>6433</v>
    <v>6434</v>
    <v>MZN</v>
    <v>Mozambique, officially the Republic of Mozambique, is a country located in Southeast Africa bordered by the Indian Ocean to the east, Tanzania to the north, Malawi and Zambia to the northwest, Zimbabwe to the west, and Eswatini and South Africa ...</v>
    <v>6435</v>
    <v>6436</v>
    <v>6437</v>
    <v>6438</v>
    <v>6261</v>
    <v>6439</v>
    <v>6440</v>
    <v>6441</v>
    <v>6442</v>
    <v>4170</v>
    <v>6419</v>
    <v>6445</v>
    <v>6446</v>
    <v>6447</v>
    <v>6448</v>
    <v>3910</v>
    <v>Mozambique</v>
    <v>Pátria Amada</v>
    <v>6449</v>
    <v>República de Moçambique</v>
    <v>6450</v>
    <v>6451</v>
    <v>6452</v>
    <v>3546</v>
    <v>4198</v>
    <v>6453</v>
    <v>2420</v>
    <v>2469</v>
    <v>3851</v>
    <v>6454</v>
    <v>6455</v>
    <v>6466</v>
    <v>6467</v>
    <v>6468</v>
    <v>6469</v>
    <v>6470</v>
    <v>Mozambique</v>
    <v>6471</v>
    <v>mdp/vdpid/168</v>
  </rv>
  <rv s="1">
    <v>536870912</v>
    <v>Naypyidaw</v>
    <v>df9278da-189d-76cf-6686-5d6e12deb605</v>
    <v>en-US</v>
    <v>Map</v>
  </rv>
  <rv s="1">
    <v>536870912</v>
    <v>Naypyidaw Union Territory</v>
    <v>6e3c6c16-bfed-4b3f-909a-af9490096dc2</v>
    <v>en-US</v>
    <v>Map</v>
  </rv>
  <rv s="0">
    <fb>7054.37</fb>
    <v>9</v>
  </rv>
  <rv s="1">
    <v>536870912</v>
    <v>Myanmar</v>
    <v>403039e1-0344-6b36-8fb6-123e2767192e</v>
    <v>en-US</v>
    <v>Map</v>
  </rv>
  <rv s="2">
    <v>217</v>
    <v>7</v>
    <v>1024</v>
    <v>7</v>
    <v>0</v>
    <v>Image of Naypyidaw</v>
  </rv>
  <rv s="0">
    <fb>19.747499999999999</fb>
    <v>0</v>
  </rv>
  <rv s="1">
    <v>805306368</v>
    <v>Myo Aung (Chairman)</v>
    <v>d8e16266-b504-9e92-7e15-458790af8df6</v>
    <v>en-US</v>
    <v>Generic</v>
  </rv>
  <rv s="3">
    <v>454</v>
  </rv>
  <rv s="4">
    <v>https://www.bing.com/search?q=naypyidaw&amp;form=skydnc</v>
    <v>Learn more on Bing</v>
  </rv>
  <rv s="0">
    <fb>96.114999999999995</fb>
    <v>0</v>
  </rv>
  <rv s="0">
    <fb>1160242</fb>
    <v>9</v>
  </rv>
  <rv s="24">
    <v>#VALUE!</v>
    <v>en-US</v>
    <v>df9278da-189d-76cf-6686-5d6e12deb605</v>
    <v>536870912</v>
    <v>1</v>
    <v>1025</v>
    <v>189</v>
    <v>Naypyidaw</v>
    <v>5</v>
    <v>6</v>
    <v>Map</v>
    <v>7</v>
    <v>158</v>
    <v>6474</v>
    <v>6475</v>
    <v>6476</v>
    <v>Naypyidaw, officially romanized Nay Pyi Taw, is the capital and third-largest city of Myanmar. The city is located at the centre of the Naypyidaw Union Territory. It is unusual among Myanmar's cities, as it is an entirely planned city outside of ...</v>
    <v>6477</v>
    <v>6478</v>
    <v>6480</v>
    <v>6481</v>
    <v>6482</v>
    <v>Naypyidaw</v>
    <v>6483</v>
    <v>Naypyidaw</v>
    <v>mdp/vdpid/7856915913562390529</v>
  </rv>
  <rv s="0">
    <fb>0.19538188277086999</fb>
    <v>28</v>
  </rv>
  <rv s="0">
    <fb>676577.2</fb>
    <v>9</v>
  </rv>
  <rv s="0">
    <fb>513000</fb>
    <v>9</v>
  </rv>
  <rv s="0">
    <fb>17.552</fb>
    <v>29</v>
  </rv>
  <rv s="0">
    <fb>95</fb>
    <v>30</v>
  </rv>
  <rv s="0">
    <fb>25280.297999999999</fb>
    <v>9</v>
  </rv>
  <rv s="0">
    <fb>168.18270065936699</fb>
    <v>31</v>
  </rv>
  <rv s="0">
    <fb>8.8250669680456195E-2</fb>
    <v>28</v>
  </rv>
  <rv s="0">
    <fb>215.29889544359901</fb>
    <v>9</v>
  </rv>
  <rv s="0">
    <fb>2.1539999999999999</fb>
    <v>29</v>
  </rv>
  <rv s="0">
    <fb>0.43631101257694299</fb>
    <v>28</v>
  </rv>
  <rv s="0">
    <fb>44.2898952399838</fb>
    <v>34</v>
  </rv>
  <rv s="0">
    <fb>0.54</fb>
    <v>32</v>
  </rv>
  <rv s="0">
    <fb>76085852617.1371</fb>
    <v>33</v>
  </rv>
  <rv s="0">
    <fb>1.1230666999999999</fb>
    <v>28</v>
  </rv>
  <rv s="0">
    <fb>0.1881594</fb>
    <v>28</v>
  </rv>
  <rv s="2">
    <v>218</v>
    <v>7</v>
    <v>1027</v>
    <v>7</v>
    <v>0</v>
    <v>Image of Myanmar</v>
  </rv>
  <rv s="0">
    <fb>36.799999999999997</fb>
    <v>34</v>
  </rv>
  <rv s="1">
    <v>536870912</v>
    <v>Yangon</v>
    <v>4e695ae0-edc6-6c76-7ab3-29aac71540d2</v>
    <v>en-US</v>
    <v>Map</v>
  </rv>
  <rv s="1">
    <v>805306368</v>
    <v>Min Aung Hlaing (President)</v>
    <v>e7a53bf8-cc3a-4416-9e73-c6d65f1c755c</v>
    <v>en-US</v>
    <v>Generic</v>
  </rv>
  <rv s="1">
    <v>805306368</v>
    <v>Min Aung Hlaing (Chairman)</v>
    <v>e7a53bf8-cc3a-4416-9e73-c6d65f1c755c</v>
    <v>en-US</v>
    <v>Generic</v>
  </rv>
  <rv s="1">
    <v>805306368</v>
    <v>Min Aung Hlaing (Prime minister)</v>
    <v>e7a53bf8-cc3a-4416-9e73-c6d65f1c755c</v>
    <v>en-US</v>
    <v>Generic</v>
  </rv>
  <rv s="1">
    <v>805306368</v>
    <v>Soe Win (Deputy prime minister)</v>
    <v>82978d9c-d0ee-3489-8a33-63a6c4a9da25</v>
    <v>en-US</v>
    <v>Generic</v>
  </rv>
  <rv s="3">
    <v>455</v>
  </rv>
  <rv s="4">
    <v>https://www.bing.com/search?q=burma&amp;form=skydnc</v>
    <v>Learn more on Bing</v>
  </rv>
  <rv s="0">
    <fb>66.867000000000004</fb>
    <v>34</v>
  </rv>
  <rv s="0">
    <fb>250</fb>
    <v>34</v>
  </rv>
  <rv s="3">
    <v>456</v>
  </rv>
  <rv s="0">
    <fb>0.73910675850000007</fb>
    <v>28</v>
  </rv>
  <rv s="0">
    <fb>0.67700000000000005</fb>
    <v>29</v>
  </rv>
  <rv s="0">
    <fb>54179306</fb>
    <v>9</v>
  </rv>
  <rv s="0">
    <fb>0.39899999999999997</fb>
    <v>28</v>
  </rv>
  <rv s="0">
    <fb>0.61665000915527302</fb>
    <v>28</v>
  </rv>
  <rv s="1">
    <v>536870912</v>
    <v>Rakhine State</v>
    <v>7f5cf9bf-6a7d-34cf-56b9-977c5d2c4c28</v>
    <v>en-US</v>
    <v>Map</v>
  </rv>
  <rv s="1">
    <v>536870912</v>
    <v>Chin State</v>
    <v>8767daf8-6c44-f4eb-6952-b31b3116dfdc</v>
    <v>en-US</v>
    <v>Map</v>
  </rv>
  <rv s="1">
    <v>536870912</v>
    <v>Kachin State</v>
    <v>b37f2071-79b3-08c2-84ff-b5d2f7a84b50</v>
    <v>en-US</v>
    <v>Map</v>
  </rv>
  <rv s="1">
    <v>536870912</v>
    <v>Shan State</v>
    <v>e156690a-20dc-8fec-2221-6b900a5faac3</v>
    <v>en-US</v>
    <v>Map</v>
  </rv>
  <rv s="1">
    <v>536870912</v>
    <v>Kayah State</v>
    <v>7e558f70-1a57-2f54-267a-0b2f5e276566</v>
    <v>en-US</v>
    <v>Map</v>
  </rv>
  <rv s="1">
    <v>536870912</v>
    <v>Kayin State</v>
    <v>0b0aceeb-7d5a-c7fb-2fd9-223daff2915f</v>
    <v>en-US</v>
    <v>Map</v>
  </rv>
  <rv s="1">
    <v>536870912</v>
    <v>Mon State</v>
    <v>f2e9fbb5-4623-ba3a-a364-d55ba46d5f89</v>
    <v>en-US</v>
    <v>Map</v>
  </rv>
  <rv s="1">
    <v>536870912</v>
    <v>Sagaing Region</v>
    <v>e45333f7-2673-3131-0573-3d3292d7d372</v>
    <v>en-US</v>
    <v>Map</v>
  </rv>
  <rv s="1">
    <v>536870912</v>
    <v>Tanintharyi Region</v>
    <v>4ad2bbb0-a1cf-5faa-71c3-9006b452138c</v>
    <v>en-US</v>
    <v>Map</v>
  </rv>
  <rv s="1">
    <v>536870912</v>
    <v>Ayeyarwady Region</v>
    <v>79fa91fb-1f1a-bedf-d43c-719505f21579</v>
    <v>en-US</v>
    <v>Map</v>
  </rv>
  <rv s="1">
    <v>536870912</v>
    <v>Yangon Region</v>
    <v>fd1c9c78-e8ec-f259-baa1-fa7f54d9953d</v>
    <v>en-US</v>
    <v>Map</v>
  </rv>
  <rv s="1">
    <v>536870912</v>
    <v>Bago Region</v>
    <v>a8109f5a-d15c-fc8e-df32-b9b9720cb90b</v>
    <v>en-US</v>
    <v>Map</v>
  </rv>
  <rv s="1">
    <v>536870912</v>
    <v>Magway Region</v>
    <v>863af825-4d0c-a30c-0216-cfb5e4c37073</v>
    <v>en-US</v>
    <v>Map</v>
  </rv>
  <rv s="1">
    <v>536870912</v>
    <v>Mandalay Region</v>
    <v>efcc164d-4675-ecd6-872f-210989854d60</v>
    <v>en-US</v>
    <v>Map</v>
  </rv>
  <rv s="3">
    <v>457</v>
  </rv>
  <rv s="0">
    <fb>5.36699529080766E-2</fb>
    <v>28</v>
  </rv>
  <rv s="3">
    <v>458</v>
  </rv>
  <rv s="0">
    <fb>1.57700002193451E-2</fb>
    <v>35</v>
  </rv>
  <rv s="0">
    <fb>16674093</fb>
    <v>9</v>
  </rv>
  <rv s="8">
    <v>#VALUE!</v>
    <v>en-US</v>
    <v>403039e1-0344-6b36-8fb6-123e2767192e</v>
    <v>536870912</v>
    <v>1</v>
    <v>1030</v>
    <v>46</v>
    <v>Myanmar</v>
    <v>5</v>
    <v>6</v>
    <v>Map</v>
    <v>7</v>
    <v>1031</v>
    <v>MM</v>
    <v>6485</v>
    <v>6486</v>
    <v>6487</v>
    <v>6488</v>
    <v>6489</v>
    <v>6473</v>
    <v>6490</v>
    <v>6491</v>
    <v>6492</v>
    <v>MMK</v>
    <v>Myanmar, officially the Republic of the Union of Myanmar and also rendered as Burma, is a country in northwest Southeast Asia. It is the largest country by area in Mainland Southeast Asia and has a population of about 55 million. It is bordered ...</v>
    <v>6493</v>
    <v>6494</v>
    <v>6495</v>
    <v>6496</v>
    <v>6497</v>
    <v>6498</v>
    <v>6499</v>
    <v>6500</v>
    <v>6501</v>
    <v>6502</v>
    <v>6503</v>
    <v>6508</v>
    <v>6509</v>
    <v>6510</v>
    <v>6511</v>
    <v>1219</v>
    <v>Myanmar</v>
    <v>Kaba Ma Kyei</v>
    <v>6512</v>
    <v>Republic of the Union of Myanmar</v>
    <v>6513</v>
    <v>6514</v>
    <v>6515</v>
    <v>1816</v>
    <v>2758</v>
    <v>6516</v>
    <v>386</v>
    <v>5206</v>
    <v>2530</v>
    <v>730</v>
    <v>6517</v>
    <v>6532</v>
    <v>6533</v>
    <v>6534</v>
    <v>4295</v>
    <v>6535</v>
    <v>Myanmar</v>
    <v>6536</v>
    <v>mdp/vdpid/27</v>
  </rv>
  <rv s="1">
    <v>536870912</v>
    <v>Windhoek</v>
    <v>61966627-3552-ec0f-dc8a-65cecb9ffb6a</v>
    <v>en-US</v>
    <v>Map</v>
  </rv>
  <rv s="1">
    <v>536870912</v>
    <v>Khomas Region</v>
    <v>1bcf84dc-ec83-87ee-188b-9bbb34834301</v>
    <v>en-US</v>
    <v>Map</v>
  </rv>
  <rv s="0">
    <fb>645</fb>
    <v>9</v>
  </rv>
  <rv s="1">
    <v>536870912</v>
    <v>Namibia</v>
    <v>8fa38619-fcde-c9ff-939f-48a96fb1e4a6</v>
    <v>en-US</v>
    <v>Map</v>
  </rv>
  <rv s="2">
    <v>219</v>
    <v>7</v>
    <v>1033</v>
    <v>7</v>
    <v>0</v>
    <v>Image of Windhoek</v>
  </rv>
  <rv s="0">
    <fb>-22.57</fb>
    <v>0</v>
  </rv>
  <rv s="1">
    <v>805306368</v>
    <v>Queen Kamati (Mayor)</v>
    <v>2f88cd0d-c32c-e829-e709-a871cb2ba4c0</v>
    <v>en-US</v>
    <v>Generic</v>
  </rv>
  <rv s="1">
    <v>805306368</v>
    <v>Joseph Uapingene (Deputy mayor)</v>
    <v>c8c7a952-89f4-dc9a-b1ba-d3c6674ccd26</v>
    <v>en-US</v>
    <v>Generic</v>
  </rv>
  <rv s="3">
    <v>459</v>
  </rv>
  <rv s="4">
    <v>https://www.bing.com/search?q=windhoek&amp;form=skydnc</v>
    <v>Learn more on Bing</v>
  </rv>
  <rv s="0">
    <fb>17.083611111111001</fb>
    <v>0</v>
  </rv>
  <rv s="0">
    <fb>431000</fb>
    <v>9</v>
  </rv>
  <rv s="24">
    <v>#VALUE!</v>
    <v>en-US</v>
    <v>61966627-3552-ec0f-dc8a-65cecb9ffb6a</v>
    <v>536870912</v>
    <v>1</v>
    <v>1034</v>
    <v>189</v>
    <v>Windhoek</v>
    <v>5</v>
    <v>6</v>
    <v>Map</v>
    <v>7</v>
    <v>8</v>
    <v>6539</v>
    <v>6540</v>
    <v>6541</v>
    <v>Windhoek is the capital and largest city of Namibia. It is located in central Namibia in the Khomas Highland plateau area, at around 1,700 m above sea level, almost exactly at the country's geographical centre. The population of Windhoek in 2020 ...</v>
    <v>6542</v>
    <v>6543</v>
    <v>6546</v>
    <v>6547</v>
    <v>6548</v>
    <v>Windhoek</v>
    <v>6549</v>
    <v>Windhoek</v>
    <v>mdp/vdpid/8105730892963512321</v>
  </rv>
  <rv s="0">
    <fb>0.47138918242660499</fb>
    <v>28</v>
  </rv>
  <rv s="0">
    <fb>825615</fb>
    <v>9</v>
  </rv>
  <rv s="0">
    <fb>28.638999999999999</fb>
    <v>29</v>
  </rv>
  <rv s="0">
    <fb>264</fb>
    <v>30</v>
  </rv>
  <rv s="0">
    <fb>4228.0510000000004</fb>
    <v>9</v>
  </rv>
  <rv s="0">
    <fb>157.96836796149401</fb>
    <v>31</v>
  </rv>
  <rv s="0">
    <fb>3.7269751162113902E-2</fb>
    <v>28</v>
  </rv>
  <rv s="0">
    <fb>1652.56902565727</fb>
    <v>9</v>
  </rv>
  <rv s="0">
    <fb>3.3959999999999999</fb>
    <v>29</v>
  </rv>
  <rv s="0">
    <fb>8.3139596068062302E-2</fb>
    <v>28</v>
  </rv>
  <rv s="0">
    <fb>66.719090832065604</fb>
    <v>34</v>
  </rv>
  <rv s="0">
    <fb>12366527719.332199</fb>
    <v>33</v>
  </rv>
  <rv s="0">
    <fb>1.2424839000000001</fb>
    <v>28</v>
  </rv>
  <rv s="0">
    <fb>0.22888159999999999</fb>
    <v>28</v>
  </rv>
  <rv s="2">
    <v>220</v>
    <v>7</v>
    <v>1036</v>
    <v>7</v>
    <v>0</v>
    <v>Image of Namibia</v>
  </rv>
  <rv s="1">
    <v>805306368</v>
    <v>Nangolo Mbumba (President)</v>
    <v>a97b47aa-9826-f80c-12f7-e8308dc5656d</v>
    <v>en-US</v>
    <v>Generic</v>
  </rv>
  <rv s="1">
    <v>805306368</v>
    <v>Netumbo Nandi-Ndaitwah (Vice president)</v>
    <v>f1af9554-b3e8-140c-1b86-c381ced93512</v>
    <v>en-US</v>
    <v>Generic</v>
  </rv>
  <rv s="1">
    <v>805306368</v>
    <v>Saara Kuugongelwa (Prime minister)</v>
    <v>4f8f6318-a7c7-8cf9-17a1-b446ae3b5648</v>
    <v>en-US</v>
    <v>Generic</v>
  </rv>
  <rv s="1">
    <v>805306368</v>
    <v>John Mutorwa (Deputy prime minister)</v>
    <v>7ebaffea-1c75-4643-04b6-a29ead07c6a9</v>
    <v>en-US</v>
    <v>Generic</v>
  </rv>
  <rv s="1">
    <v>805306368</v>
    <v>Peter Shivute (Chief justice)</v>
    <v>e9ef246f-6cda-b0f8-c6f9-30ca0b3a86ff</v>
    <v>en-US</v>
    <v>Generic</v>
  </rv>
  <rv s="3">
    <v>460</v>
  </rv>
  <rv s="4">
    <v>https://www.bing.com/search?q=namibia&amp;form=skydnc</v>
    <v>Learn more on Bing</v>
  </rv>
  <rv s="0">
    <fb>63.372999999999998</fb>
    <v>34</v>
  </rv>
  <rv s="0">
    <fb>2609010000</fb>
    <v>33</v>
  </rv>
  <rv s="0">
    <fb>195</fb>
    <v>34</v>
  </rv>
  <rv s="0">
    <fb>8.3264359300000007E-2</fb>
    <v>28</v>
  </rv>
  <rv s="0">
    <fb>0.41820000000000002</fb>
    <v>29</v>
  </rv>
  <rv s="0">
    <fb>2567012</fb>
    <v>9</v>
  </rv>
  <rv s="0">
    <fb>0.17899999999999999</fb>
    <v>28</v>
  </rv>
  <rv s="0">
    <fb>0.63700000000000001</fb>
    <v>28</v>
  </rv>
  <rv s="0">
    <fb>0.59534000396728504</fb>
    <v>28</v>
  </rv>
  <rv s="1">
    <v>536870912</v>
    <v>Zambezi Region</v>
    <v>1bf4722e-e938-ad4c-053a-5c5c7f5b14eb</v>
    <v>en-US</v>
    <v>Map</v>
  </rv>
  <rv s="1">
    <v>536870912</v>
    <v>Erongo Region</v>
    <v>7072d0f4-22f8-e275-f0aa-83396628c9f3</v>
    <v>en-US</v>
    <v>Map</v>
  </rv>
  <rv s="1">
    <v>536870912</v>
    <v>Hardap Region</v>
    <v>475a376d-8f09-927c-3e85-1b422c2179b4</v>
    <v>en-US</v>
    <v>Map</v>
  </rv>
  <rv s="1">
    <v>536870912</v>
    <v>ǁKaras Region</v>
    <v>73468a3b-7afd-9db8-82f1-bb96ada49696</v>
    <v>en-US</v>
    <v>Map</v>
  </rv>
  <rv s="1">
    <v>536870912</v>
    <v>Kavango East</v>
    <v>afd19a17-dd6f-4fbf-911a-62084dec9dd8</v>
    <v>en-US</v>
    <v>Map</v>
  </rv>
  <rv s="1">
    <v>536870912</v>
    <v>Kunene Region</v>
    <v>727f4106-d962-2f6e-aea5-6208d9a9b21f</v>
    <v>en-US</v>
    <v>Map</v>
  </rv>
  <rv s="1">
    <v>536870912</v>
    <v>Ohangwena Region</v>
    <v>b34e8d41-f19f-dc00-4a44-24d519a4d386</v>
    <v>en-US</v>
    <v>Map</v>
  </rv>
  <rv s="1">
    <v>536870912</v>
    <v>Omaheke Region</v>
    <v>40cbe65c-9c66-4caa-1fb9-957cb23c070a</v>
    <v>en-US</v>
    <v>Map</v>
  </rv>
  <rv s="1">
    <v>536870912</v>
    <v>Omusati Region</v>
    <v>b1abbd50-50bb-d8f9-0fed-7c3e07895a7b</v>
    <v>en-US</v>
    <v>Map</v>
  </rv>
  <rv s="1">
    <v>536870912</v>
    <v>Oshana Region</v>
    <v>2e086734-bbe2-f5af-51ee-1f83de3d43c0</v>
    <v>en-US</v>
    <v>Map</v>
  </rv>
  <rv s="1">
    <v>536870912</v>
    <v>Oshikoto Region</v>
    <v>fa58d0b5-8c90-9050-fb4b-e92fbeef64db</v>
    <v>en-US</v>
    <v>Map</v>
  </rv>
  <rv s="1">
    <v>536870912</v>
    <v>Otjozondjupa Region</v>
    <v>da0a0614-db74-f49b-c81c-18ff9df883d3</v>
    <v>en-US</v>
    <v>Map</v>
  </rv>
  <rv s="1">
    <v>536870912</v>
    <v>Kavango West</v>
    <v>758e8b1a-cc53-4671-7d80-3a49ec51d39f</v>
    <v>en-US</v>
    <v>Map</v>
  </rv>
  <rv s="3">
    <v>461</v>
  </rv>
  <rv s="0">
    <fb>0.271186804983226</fb>
    <v>28</v>
  </rv>
  <rv s="3">
    <v>462</v>
  </rv>
  <rv s="0">
    <fb>0.202730007171631</fb>
    <v>35</v>
  </rv>
  <rv s="0">
    <fb>1273258</fb>
    <v>9</v>
  </rv>
  <rv s="40">
    <v>#VALUE!</v>
    <v>en-US</v>
    <v>8fa38619-fcde-c9ff-939f-48a96fb1e4a6</v>
    <v>536870912</v>
    <v>1</v>
    <v>1039</v>
    <v>433</v>
    <v>Namibia</v>
    <v>5</v>
    <v>6</v>
    <v>Map</v>
    <v>7</v>
    <v>1040</v>
    <v>NA</v>
    <v>6551</v>
    <v>6552</v>
    <v>2734</v>
    <v>6553</v>
    <v>6554</v>
    <v>6538</v>
    <v>6555</v>
    <v>6556</v>
    <v>6557</v>
    <v>NAD</v>
    <v>Namibia, officially the Republic of Namibia, is a country on the west coast of Southern Africa. Its borders include the Atlantic Ocean to the west, Angola and Zambia to the north, Botswana to the east and South Africa to the south; in the ...</v>
    <v>6558</v>
    <v>6559</v>
    <v>6560</v>
    <v>6561</v>
    <v>3775</v>
    <v>6562</v>
    <v>6563</v>
    <v>6564</v>
    <v>6565</v>
    <v>2255</v>
    <v>6538</v>
    <v>6571</v>
    <v>6572</v>
    <v>6573</v>
    <v>6574</v>
    <v>6575</v>
    <v>Namibia</v>
    <v>Namibia, Land of the Brave</v>
    <v>448</v>
    <v>Namibia</v>
    <v>6576</v>
    <v>6577</v>
    <v>6578</v>
    <v>6579</v>
    <v>5648</v>
    <v>6580</v>
    <v>1226</v>
    <v>651</v>
    <v>2192</v>
    <v>2930</v>
    <v>6581</v>
    <v>6595</v>
    <v>6596</v>
    <v>6597</v>
    <v>2466</v>
    <v>6598</v>
    <v>Namibia</v>
    <v>6599</v>
    <v>mdp/vdpid/254</v>
  </rv>
  <rv s="1">
    <v>536870912</v>
    <v>Yaren District</v>
    <v>e6820c83-0638-4d25-20b7-235f002cda38</v>
    <v>en-US</v>
    <v>Map</v>
  </rv>
  <rv s="0">
    <fb>1.5</fb>
    <v>9</v>
  </rv>
  <rv s="1">
    <v>536870912</v>
    <v>Nauru</v>
    <v>ac2140ed-6b6a-e3f2-2c87-907a652c04d6</v>
    <v>en-US</v>
    <v>Map</v>
  </rv>
  <rv s="2">
    <v>221</v>
    <v>7</v>
    <v>1041</v>
    <v>7</v>
    <v>0</v>
    <v>Image of Yaren District</v>
  </rv>
  <rv s="4">
    <v>https://www.bing.com/search?q=yaren+district+nauru&amp;form=skydnc</v>
    <v>Learn more on Bing</v>
  </rv>
  <rv s="0">
    <fb>803</fb>
    <v>9</v>
  </rv>
  <rv s="10">
    <v>#VALUE!</v>
    <v>en-US</v>
    <v>e6820c83-0638-4d25-20b7-235f002cda38</v>
    <v>536870912</v>
    <v>1</v>
    <v>1043</v>
    <v>60</v>
    <v>Yaren District</v>
    <v>5</v>
    <v>6</v>
    <v>Map</v>
    <v>7</v>
    <v>216</v>
    <v>NR-14</v>
    <v>6602</v>
    <v>6603</v>
    <v>Yaren is a district of the Pacific island country of Nauru. It is the de facto capital of Nauru and is coextensive with Yaren Constituency. It is also the fourth-least-populated capital in the world. The district was created in 1968. Its ...</v>
    <v>6604</v>
    <v>6605</v>
    <v>Yaren District</v>
    <v>6606</v>
    <v>3500</v>
    <v>Yaren District</v>
    <v>mdp/vdpid/8829929963315527681</v>
  </rv>
  <rv s="0">
    <fb>21</fb>
    <v>9</v>
  </rv>
  <rv s="0">
    <fb>674</fb>
    <v>30</v>
  </rv>
  <rv s="0">
    <fb>133000000</fb>
    <v>33</v>
  </rv>
  <rv s="2">
    <v>222</v>
    <v>7</v>
    <v>1045</v>
    <v>7</v>
    <v>0</v>
    <v>Image of Nauru</v>
  </rv>
  <rv s="1">
    <v>536870912</v>
    <v>Denigomodu District</v>
    <v>f0fd75c9-5643-bf30-9386-c545cb5692ce</v>
    <v>en-US</v>
    <v>Map</v>
  </rv>
  <rv s="1">
    <v>805306368</v>
    <v>David Adeang (President)</v>
    <v>2dfe9177-bc53-1531-78b4-ab84a60418f7</v>
    <v>en-US</v>
    <v>Generic</v>
  </rv>
  <rv s="3">
    <v>463</v>
  </rv>
  <rv s="4">
    <v>https://www.bing.com/search?q=nauru&amp;form=skydnc</v>
    <v>Learn more on Bing</v>
  </rv>
  <rv s="3">
    <v>464</v>
  </rv>
  <rv s="0">
    <fb>12668</fb>
    <v>9</v>
  </rv>
  <rv s="1">
    <v>536870912</v>
    <v>Aiwo District</v>
    <v>298426e3-08bb-5c9e-3698-4e801b0b0065</v>
    <v>en-US</v>
    <v>Map</v>
  </rv>
  <rv s="1">
    <v>536870912</v>
    <v>Anabar District</v>
    <v>3458e671-578e-b5fe-acc9-bf69c548ae75</v>
    <v>en-US</v>
    <v>Map</v>
  </rv>
  <rv s="1">
    <v>536870912</v>
    <v>Anetan District</v>
    <v>4d4939ac-9858-bcbd-31c8-d78cec76b3bf</v>
    <v>en-US</v>
    <v>Map</v>
  </rv>
  <rv s="1">
    <v>536870912</v>
    <v>Anibare District</v>
    <v>3e4ac31a-6890-07d8-7844-ca64ae958d25</v>
    <v>en-US</v>
    <v>Map</v>
  </rv>
  <rv s="1">
    <v>536870912</v>
    <v>Baitsi District</v>
    <v>f86dde9b-a3c5-3f7e-dc92-23446950f42a</v>
    <v>en-US</v>
    <v>Map</v>
  </rv>
  <rv s="1">
    <v>536870912</v>
    <v>Boe District</v>
    <v>0f8def35-e360-612b-9a91-c620fdfe6e3d</v>
    <v>en-US</v>
    <v>Map</v>
  </rv>
  <rv s="1">
    <v>536870912</v>
    <v>Buada District</v>
    <v>af093458-8dca-6c59-d1d8-cd4a03574862</v>
    <v>en-US</v>
    <v>Map</v>
  </rv>
  <rv s="1">
    <v>536870912</v>
    <v>Ewa District, Nauru</v>
    <v>b84cebbb-e10d-5226-3372-64bb8f13d002</v>
    <v>en-US</v>
    <v>Map</v>
  </rv>
  <rv s="1">
    <v>536870912</v>
    <v>Ijuw District</v>
    <v>a24994f0-109d-72fb-1105-78ef203ad318</v>
    <v>en-US</v>
    <v>Map</v>
  </rv>
  <rv s="1">
    <v>536870912</v>
    <v>Meneng District</v>
    <v>b920bca0-8266-3509-914c-d6b8572ee42d</v>
    <v>en-US</v>
    <v>Map</v>
  </rv>
  <rv s="1">
    <v>536870912</v>
    <v>Nibok District</v>
    <v>9761ba33-007d-f9bb-bdfa-f3d2abf67b7c</v>
    <v>en-US</v>
    <v>Map</v>
  </rv>
  <rv s="1">
    <v>536870912</v>
    <v>Uaboe District</v>
    <v>5d0fec2c-2947-8aa6-dee1-bd2f220c047a</v>
    <v>en-US</v>
    <v>Map</v>
  </rv>
  <rv s="3">
    <v>465</v>
  </rv>
  <rv s="76">
    <v>#VALUE!</v>
    <v>en-US</v>
    <v>ac2140ed-6b6a-e3f2-2c87-907a652c04d6</v>
    <v>536870912</v>
    <v>1</v>
    <v>1047</v>
    <v>1048</v>
    <v>Nauru</v>
    <v>5</v>
    <v>6</v>
    <v>Map</v>
    <v>7</v>
    <v>1049</v>
    <v>NR</v>
    <v>6608</v>
    <v>6609</v>
    <v>6601</v>
    <v>AUD</v>
    <v>Nauru, officially the Republic of Nauru, formerly known as Pleasant Island, is an island country and microstate in Micronesia, part of the Oceania region in the Central Pacific. Its nearest neighbour is Banaba of Kiribati about 300 kilometres to ...</v>
    <v>6610</v>
    <v>6611</v>
    <v>6612</v>
    <v>6614</v>
    <v>6615</v>
    <v>Nauru</v>
    <v>Nauru Bwiema</v>
    <v>6616</v>
    <v>Ripublik Naoero</v>
    <v>6617</v>
    <v>6630</v>
    <v>3500</v>
    <v>Nauru</v>
    <v>mdp/vdpid/180</v>
  </rv>
  <rv s="1">
    <v>536870912</v>
    <v>Kathmandu</v>
    <v>8c342aa7-7eee-ebe4-9909-39edc49959d8</v>
    <v>en-US</v>
    <v>Map</v>
  </rv>
  <rv s="1">
    <v>536870912</v>
    <v>Kathmandu District</v>
    <v>a34bcb9a-ec30-9787-40d9-bf11d6c8767f</v>
    <v>en-US</v>
    <v>Map</v>
  </rv>
  <rv s="0">
    <fb>50.67</fb>
    <v>9</v>
  </rv>
  <rv s="1">
    <v>536870912</v>
    <v>Nepal</v>
    <v>bd25e121-3806-b6fe-1af9-3f5745ae2708</v>
    <v>en-US</v>
    <v>Map</v>
  </rv>
  <rv s="2">
    <v>223</v>
    <v>7</v>
    <v>1051</v>
    <v>7</v>
    <v>0</v>
    <v>Image of Kathmandu</v>
  </rv>
  <rv s="0">
    <fb>27.71</fb>
    <v>0</v>
  </rv>
  <rv s="1">
    <v>805306368</v>
    <v>Balen Shah (Mayor)</v>
    <v>cec33e0a-39bd-b841-e3ba-d292296f612d</v>
    <v>en-US</v>
    <v>Generic</v>
  </rv>
  <rv s="1">
    <v>805306368</v>
    <v>Sunita Dangol (Deputy mayor)</v>
    <v>81ebd2b5-279b-92d5-ac9e-22cc39cbf5ec</v>
    <v>en-US</v>
    <v>Generic</v>
  </rv>
  <rv s="3">
    <v>466</v>
  </rv>
  <rv s="4">
    <v>https://www.bing.com/search?q=kathmandu&amp;form=skydnc</v>
    <v>Learn more on Bing</v>
  </rv>
  <rv s="0">
    <fb>85.32</fb>
    <v>0</v>
  </rv>
  <rv s="0">
    <fb>845767</fb>
    <v>9</v>
  </rv>
  <rv s="3">
    <v>467</v>
  </rv>
  <rv s="66">
    <v>#VALUE!</v>
    <v>en-US</v>
    <v>8c342aa7-7eee-ebe4-9909-39edc49959d8</v>
    <v>536870912</v>
    <v>1</v>
    <v>1052</v>
    <v>876</v>
    <v>Kathmandu</v>
    <v>5</v>
    <v>6</v>
    <v>Map</v>
    <v>7</v>
    <v>216</v>
    <v>6633</v>
    <v>6634</v>
    <v>6635</v>
    <v>Kathmandu, officially Kathmandu Metropolitan City, is the capital and most populous city of Nepal with 845,767 inhabitants living in 105,649 households as of the 2021 Nepal census and 2.9 million people in its urban agglomeration. It is located ...</v>
    <v>6636</v>
    <v>6637</v>
    <v>6640</v>
    <v>6641</v>
    <v>6642</v>
    <v>Kathmandu</v>
    <v>6643</v>
    <v>6644</v>
    <v>Kathmandu</v>
    <v>mdp/vdpid/7419724212996145153</v>
  </rv>
  <rv s="0">
    <fb>0.287478200209278</fb>
    <v>28</v>
  </rv>
  <rv s="0">
    <fb>147181.254346</fb>
    <v>9</v>
  </rv>
  <rv s="0">
    <fb>112000</fb>
    <v>9</v>
  </rv>
  <rv s="0">
    <fb>19.887</fb>
    <v>29</v>
  </rv>
  <rv s="0">
    <fb>977</fb>
    <v>30</v>
  </rv>
  <rv s="0">
    <fb>9105.1610000000001</fb>
    <v>9</v>
  </rv>
  <rv s="0">
    <fb>188.72997716222099</fb>
    <v>31</v>
  </rv>
  <rv s="0">
    <fb>5.5686854778492501E-2</fb>
    <v>28</v>
  </rv>
  <rv s="0">
    <fb>146.46786481666501</fb>
    <v>9</v>
  </rv>
  <rv s="0">
    <fb>1.917</fb>
    <v>29</v>
  </rv>
  <rv s="0">
    <fb>0.25364492500871999</fb>
    <v>28</v>
  </rv>
  <rv s="0">
    <fb>15.482679402670501</fb>
    <v>34</v>
  </rv>
  <rv s="0">
    <fb>0.91</fb>
    <v>32</v>
  </rv>
  <rv s="0">
    <fb>30641380604.298401</fb>
    <v>33</v>
  </rv>
  <rv s="0">
    <fb>1.4214347000000001</fb>
    <v>28</v>
  </rv>
  <rv s="0">
    <fb>0.1241086</fb>
    <v>28</v>
  </rv>
  <rv s="2">
    <v>224</v>
    <v>7</v>
    <v>1054</v>
    <v>7</v>
    <v>0</v>
    <v>Image of Nepal</v>
  </rv>
  <rv s="0">
    <fb>26.7</fb>
    <v>34</v>
  </rv>
  <rv s="1">
    <v>805306368</v>
    <v>Ram Chandra Poudel (President)</v>
    <v>92bdb8bc-9ee8-f693-6801-e521c6564ef4</v>
    <v>en-US</v>
    <v>Generic</v>
  </rv>
  <rv s="1">
    <v>805306368</v>
    <v>Ram Sahaya Yadav (Vice president)</v>
    <v>145d7e4e-a306-9780-bef2-90d044619a98</v>
    <v>en-US</v>
    <v>Generic</v>
  </rv>
  <rv s="1">
    <v>805306368</v>
    <v>K. P. Sharma Oli (Prime minister)</v>
    <v>781fbb8b-b4b2-4e0d-89f3-777d45178799</v>
    <v>en-US</v>
    <v>Generic</v>
  </rv>
  <rv s="1">
    <v>805306368</v>
    <v>Bishowambhar Prasad Shrestha (Chief justice)</v>
    <v>d2cb73a7-424c-e197-dba9-56ffb9e79f8f</v>
    <v>en-US</v>
    <v>Generic</v>
  </rv>
  <rv s="3">
    <v>468</v>
  </rv>
  <rv s="4">
    <v>https://www.bing.com/search?q=nepal&amp;form=skydnc</v>
    <v>Learn more on Bing</v>
  </rv>
  <rv s="0">
    <fb>70.477999999999994</fb>
    <v>34</v>
  </rv>
  <rv s="0">
    <fb>186</fb>
    <v>34</v>
  </rv>
  <rv s="3">
    <v>469</v>
  </rv>
  <rv s="0">
    <fb>0.6040867741</fb>
    <v>28</v>
  </rv>
  <rv s="0">
    <fb>0.74860000000000004</fb>
    <v>29</v>
  </rv>
  <rv s="0">
    <fb>30547580</fb>
    <v>9</v>
  </rv>
  <rv s="0">
    <fb>0.83805000305175792</fb>
    <v>28</v>
  </rv>
  <rv s="0">
    <fb>0.207023851874477</fb>
    <v>28</v>
  </rv>
  <rv s="0">
    <fb>0.41799999999999998</fb>
    <v>28</v>
  </rv>
  <rv s="0">
    <fb>1.4069999456405601E-2</fb>
    <v>35</v>
  </rv>
  <rv s="0">
    <fb>5765513</fb>
    <v>9</v>
  </rv>
  <rv s="38">
    <v>#VALUE!</v>
    <v>en-US</v>
    <v>bd25e121-3806-b6fe-1af9-3f5745ae2708</v>
    <v>536870912</v>
    <v>1</v>
    <v>1057</v>
    <v>405</v>
    <v>Nepal</v>
    <v>5</v>
    <v>6</v>
    <v>Map</v>
    <v>7</v>
    <v>1058</v>
    <v>NP</v>
    <v>6646</v>
    <v>6647</v>
    <v>6648</v>
    <v>6649</v>
    <v>6650</v>
    <v>6632</v>
    <v>6651</v>
    <v>6652</v>
    <v>6653</v>
    <v>NPR</v>
    <v>Nepal, officially the Federal Democratic Republic of Nepal, is a landlocked country in South Asia. It is mainly situated in the Himalayas, but also includes parts of the Indo-Gangetic Plain. It borders the Tibet Autonomous Region of China to the ...</v>
    <v>6654</v>
    <v>6655</v>
    <v>6656</v>
    <v>6657</v>
    <v>6658</v>
    <v>6659</v>
    <v>6660</v>
    <v>6661</v>
    <v>6662</v>
    <v>6663</v>
    <v>6632</v>
    <v>6668</v>
    <v>6669</v>
    <v>6670</v>
    <v>6671</v>
    <v>2579</v>
    <v>Nepal</v>
    <v>Sayaun Thunga Phulka</v>
    <v>6672</v>
    <v>नेपाल</v>
    <v>6673</v>
    <v>6674</v>
    <v>6675</v>
    <v>2128</v>
    <v>4140</v>
    <v>1470</v>
    <v>4949</v>
    <v>4185</v>
    <v>3331</v>
    <v>3142</v>
    <v>6676</v>
    <v>6677</v>
    <v>6644</v>
    <v>6678</v>
    <v>6679</v>
    <v>Nepal</v>
    <v>6680</v>
    <v>mdp/vdpid/178</v>
  </rv>
  <rv s="1">
    <v>536870912</v>
    <v>Amsterdam</v>
    <v>0b840501-8599-9528-5b22-13589caf205a</v>
    <v>en-US</v>
    <v>Map</v>
  </rv>
  <rv s="1">
    <v>536870912</v>
    <v>North Holland</v>
    <v>1cbd1d08-fab6-2da6-0edd-41aa626502c2</v>
    <v>en-US</v>
    <v>Map</v>
  </rv>
  <rv s="1">
    <v>536870912</v>
    <v>Amsterdam</v>
    <v>932643fc-35be-4e28-93fd-e26c5579eba3</v>
    <v>en-US</v>
    <v>Map</v>
  </rv>
  <rv s="0">
    <fb>219</fb>
    <v>9</v>
  </rv>
  <rv s="1">
    <v>536870912</v>
    <v>Dutch Republic</v>
    <v>2746288d-527e-de36-876d-a7386efcc2df</v>
    <v>en-US</v>
    <v>Map</v>
  </rv>
  <rv s="2">
    <v>225</v>
    <v>7</v>
    <v>1059</v>
    <v>7</v>
    <v>0</v>
    <v>Image of Amsterdam</v>
  </rv>
  <rv s="1">
    <v>805306368</v>
    <v>Femke Halsema (Mayor)</v>
    <v>559283ff-2e7e-6d20-ef0a-8903e2f919f1</v>
    <v>en-US</v>
    <v>Generic</v>
  </rv>
  <rv s="3">
    <v>470</v>
  </rv>
  <rv s="4">
    <v>https://www.bing.com/search?q=amsterdam&amp;form=skydnc</v>
    <v>Learn more on Bing</v>
  </rv>
  <rv s="0">
    <fb>921468</fb>
    <v>9</v>
  </rv>
  <rv s="5">
    <v>#VALUE!</v>
    <v>en-US</v>
    <v>0b840501-8599-9528-5b22-13589caf205a</v>
    <v>536870912</v>
    <v>1</v>
    <v>1060</v>
    <v>3</v>
    <v>Amsterdam</v>
    <v>5</v>
    <v>6</v>
    <v>Map</v>
    <v>7</v>
    <v>111</v>
    <v>6683</v>
    <v>6684</v>
    <v>6685</v>
    <v>6686</v>
    <v>Amsterdam is the capital and most populated city of the Netherlands. It has a population of 933,680 in June 2024 within the city proper, 1,457,018 in the urban area and 2,480,394 in the metropolitan area. Located in the Dutch province of North ...</v>
    <v>6687</v>
    <v>26</v>
    <v>6689</v>
    <v>6690</v>
    <v>27</v>
    <v>Amsterdam</v>
    <v>6691</v>
    <v>1425</v>
    <v>Amsterdam</v>
    <v>mdp/vdpid/7009530453665251330</v>
  </rv>
  <rv s="1">
    <v>536870912</v>
    <v>Wellington</v>
    <v>32f22f58-aa8d-2985-7edd-15665cf5d1d4</v>
    <v>en-US</v>
    <v>Map</v>
  </rv>
  <rv s="0">
    <fb>444</fb>
    <v>9</v>
  </rv>
  <rv s="1">
    <v>536870912</v>
    <v>New Zealand</v>
    <v>6517d967-9362-4c0d-83d2-cf369fa5fcda</v>
    <v>en-US</v>
    <v>Map</v>
  </rv>
  <rv s="2">
    <v>226</v>
    <v>7</v>
    <v>1061</v>
    <v>7</v>
    <v>0</v>
    <v>Image of Wellington</v>
  </rv>
  <rv s="1">
    <v>805306368</v>
    <v>Tory Whanau (Mayor)</v>
    <v>1dbe780f-ee6c-dc19-3794-34c7d8f96cdc</v>
    <v>en-US</v>
    <v>Generic</v>
  </rv>
  <rv s="3">
    <v>471</v>
  </rv>
  <rv s="4">
    <v>https://www.bing.com/search?q=wellington+new+zealand&amp;form=skydnc</v>
    <v>Learn more on Bing</v>
  </rv>
  <rv s="0">
    <fb>215100</fb>
    <v>9</v>
  </rv>
  <rv s="56">
    <v>#VALUE!</v>
    <v>en-US</v>
    <v>32f22f58-aa8d-2985-7edd-15665cf5d1d4</v>
    <v>536870912</v>
    <v>1</v>
    <v>1062</v>
    <v>703</v>
    <v>Wellington</v>
    <v>5</v>
    <v>6</v>
    <v>Map</v>
    <v>7</v>
    <v>8</v>
    <v>6694</v>
    <v>6695</v>
    <v>Wellington is the capital city of New Zealand. It is located at the south-western tip of the North Island, between Cook Strait and the Remutaka Range. Wellington is the third-largest city in New Zealand, and is the administrative centre of the ...</v>
    <v>6696</v>
    <v>28</v>
    <v>6698</v>
    <v>6699</v>
    <v>29</v>
    <v>Wellington</v>
    <v>6700</v>
    <v>Wellington</v>
    <v>mdp/vdpid/8933186409641017345</v>
  </rv>
  <rv s="0">
    <fb>0.40450419657437997</fb>
    <v>28</v>
  </rv>
  <rv s="0">
    <fb>268021</fb>
    <v>9</v>
  </rv>
  <rv s="0">
    <fb>11.98</fb>
    <v>29</v>
  </rv>
  <rv s="0">
    <fb>64</fb>
    <v>30</v>
  </rv>
  <rv s="0">
    <fb>34381.792000000001</fb>
    <v>9</v>
  </rv>
  <rv s="0">
    <fb>114.24091176441399</fb>
    <v>31</v>
  </rv>
  <rv s="0">
    <fb>1.61963190184049E-2</fb>
    <v>28</v>
  </rv>
  <rv s="0">
    <fb>9026.32104131095</fb>
    <v>9</v>
  </rv>
  <rv s="0">
    <fb>1.71</fb>
    <v>29</v>
  </rv>
  <rv s="0">
    <fb>0.385560753306464</fb>
    <v>28</v>
  </rv>
  <rv s="0">
    <fb>59.749168536122298</fb>
    <v>34</v>
  </rv>
  <rv s="0">
    <fb>206928765543.935</fb>
    <v>33</v>
  </rv>
  <rv s="0">
    <fb>0.99974760000000007</fb>
    <v>28</v>
  </rv>
  <rv s="0">
    <fb>0.82033219999999996</fb>
    <v>28</v>
  </rv>
  <rv s="2">
    <v>227</v>
    <v>7</v>
    <v>1064</v>
    <v>7</v>
    <v>0</v>
    <v>Image of New Zealand</v>
  </rv>
  <rv s="0">
    <fb>4.7</fb>
    <v>34</v>
  </rv>
  <rv s="1">
    <v>536870912</v>
    <v>Auckland</v>
    <v>49fabed5-6ff0-6935-ebef-34c7b83444c6</v>
    <v>en-US</v>
    <v>Map</v>
  </rv>
  <rv s="1">
    <v>805306368</v>
    <v>Christopher Luxon (Prime minister)</v>
    <v>f4acd941-0c27-c0d7-9cd8-d4caf5b2eca7</v>
    <v>en-US</v>
    <v>Generic</v>
  </rv>
  <rv s="3">
    <v>472</v>
  </rv>
  <rv s="4">
    <v>https://www.bing.com/search?q=new+zealand&amp;form=skydnc</v>
    <v>Learn more on Bing</v>
  </rv>
  <rv s="0">
    <fb>81.858536585365897</fb>
    <v>34</v>
  </rv>
  <rv s="0">
    <fb>107879780000</fb>
    <v>33</v>
  </rv>
  <rv s="0">
    <fb>11.49</fb>
    <v>32</v>
  </rv>
  <rv s="3">
    <v>473</v>
  </rv>
  <rv s="0">
    <fb>0.1262851619</fb>
    <v>28</v>
  </rv>
  <rv s="0">
    <fb>3.5897999999999999</fb>
    <v>29</v>
  </rv>
  <rv s="0">
    <fb>5124100</fb>
    <v>9</v>
  </rv>
  <rv s="0">
    <fb>0.69907997131347699</fb>
    <v>28</v>
  </rv>
  <rv s="1">
    <v>536870912</v>
    <v>Northland Region</v>
    <v>2665962f-608c-e3a6-90ac-6dae5fcfa89a</v>
    <v>en-US</v>
    <v>Map</v>
  </rv>
  <rv s="1">
    <v>536870912</v>
    <v>Auckland Region</v>
    <v>d8789fe9-89c8-cf4c-4ab2-749138d529af</v>
    <v>en-US</v>
    <v>Map</v>
  </rv>
  <rv s="1">
    <v>536870912</v>
    <v>Waikato</v>
    <v>66746262-e3dd-ecd0-3365-023774ad95f3</v>
    <v>en-US</v>
    <v>Map</v>
  </rv>
  <rv s="1">
    <v>536870912</v>
    <v>Gisborne District</v>
    <v>979bc9a8-a9fe-f6f1-4e5a-eda4cdb2aa39</v>
    <v>en-US</v>
    <v>Map</v>
  </rv>
  <rv s="1">
    <v>536870912</v>
    <v>Taranaki</v>
    <v>63a5cf5c-10da-bf8e-86f5-0eae79126fd5</v>
    <v>en-US</v>
    <v>Map</v>
  </rv>
  <rv s="1">
    <v>536870912</v>
    <v>Manawatū-Whanganui</v>
    <v>12b5d5c7-22b1-fad0-7588-ee18879fcaf1</v>
    <v>en-US</v>
    <v>Map</v>
  </rv>
  <rv s="1">
    <v>536870912</v>
    <v>Hawke's Bay</v>
    <v>3fbdf1b6-a72b-cb02-0247-761081d3eb9b</v>
    <v>en-US</v>
    <v>Map</v>
  </rv>
  <rv s="1">
    <v>536870912</v>
    <v>Marlborough District</v>
    <v>da16a0fa-e7d9-7398-48d7-25300defd7a1</v>
    <v>en-US</v>
    <v>Map</v>
  </rv>
  <rv s="1">
    <v>536870912</v>
    <v>Tasman District</v>
    <v>7594ce17-48d4-850a-d609-fff5294ec8a8</v>
    <v>en-US</v>
    <v>Map</v>
  </rv>
  <rv s="1">
    <v>536870912</v>
    <v>West Coast Region</v>
    <v>3ff3be7b-ae84-7078-9f30-e95a8ff9130d</v>
    <v>en-US</v>
    <v>Map</v>
  </rv>
  <rv s="1">
    <v>536870912</v>
    <v>Canterbury Region</v>
    <v>0e1a0dee-2d50-4b7e-a077-88d33118ccb8</v>
    <v>en-US</v>
    <v>Map</v>
  </rv>
  <rv s="1">
    <v>536870912</v>
    <v>Otago</v>
    <v>17e97a96-3af4-d536-b6c0-a3027228ac45</v>
    <v>en-US</v>
    <v>Map</v>
  </rv>
  <rv s="1">
    <v>536870912</v>
    <v>Southland Region</v>
    <v>4fd239d4-c566-75fc-eb92-c963e312af8b</v>
    <v>en-US</v>
    <v>Map</v>
  </rv>
  <rv s="3">
    <v>474</v>
  </rv>
  <rv s="0">
    <fb>0.28975427581727603</fb>
    <v>28</v>
  </rv>
  <rv s="3">
    <v>475</v>
  </rv>
  <rv s="0">
    <fb>0.34600000000000003</fb>
    <v>28</v>
  </rv>
  <rv s="0">
    <fb>4.0689997673034703E-2</fb>
    <v>35</v>
  </rv>
  <rv s="0">
    <fb>4258860</fb>
    <v>9</v>
  </rv>
  <rv s="62">
    <v>#VALUE!</v>
    <v>en-US</v>
    <v>6517d967-9362-4c0d-83d2-cf369fa5fcda</v>
    <v>536870912</v>
    <v>1</v>
    <v>1067</v>
    <v>791</v>
    <v>New Zealand</v>
    <v>5</v>
    <v>6</v>
    <v>Map</v>
    <v>7</v>
    <v>1068</v>
    <v>NZ</v>
    <v>6702</v>
    <v>6703</v>
    <v>145</v>
    <v>6704</v>
    <v>6705</v>
    <v>6693</v>
    <v>6706</v>
    <v>6707</v>
    <v>6708</v>
    <v>NZD</v>
    <v>New Zealand is an island country in the southwestern Pacific Ocean. It consists of two main landmasses—the North Island and the South Island —and over 600 smaller islands. It is the sixth-largest island country by area and lies east of Australia ...</v>
    <v>6709</v>
    <v>6710</v>
    <v>6711</v>
    <v>6712</v>
    <v>2682</v>
    <v>6713</v>
    <v>6714</v>
    <v>6715</v>
    <v>6716</v>
    <v>6717</v>
    <v>6718</v>
    <v>6720</v>
    <v>6721</v>
    <v>6722</v>
    <v>6723</v>
    <v>3392</v>
    <v>6724</v>
    <v>New Zealand</v>
    <v>God Defend New Zealand</v>
    <v>6725</v>
    <v>New Zealand</v>
    <v>6726</v>
    <v>6727</v>
    <v>6728</v>
    <v>6729</v>
    <v>6743</v>
    <v>6744</v>
    <v>6745</v>
    <v>6746</v>
    <v>6747</v>
    <v>New Zealand</v>
    <v>6748</v>
    <v>mdp/vdpid/183</v>
  </rv>
  <rv s="1">
    <v>536870912</v>
    <v>Managua</v>
    <v>a2ab3b13-a211-525f-4c89-5ec78fab662f</v>
    <v>en-US</v>
    <v>Map</v>
  </rv>
  <rv s="1">
    <v>536870912</v>
    <v>Managua Department</v>
    <v>617c016b-1093-0490-3463-34b0e746c50d</v>
    <v>en-US</v>
    <v>Map</v>
  </rv>
  <rv s="0">
    <fb>267.2</fb>
    <v>9</v>
  </rv>
  <rv s="1">
    <v>536870912</v>
    <v>Nicaragua</v>
    <v>69beb9ab-56a0-e052-4bf5-5aac6f9d8bc4</v>
    <v>en-US</v>
    <v>Map</v>
  </rv>
  <rv s="2">
    <v>228</v>
    <v>7</v>
    <v>1069</v>
    <v>7</v>
    <v>0</v>
    <v>Image of Managua</v>
  </rv>
  <rv s="0">
    <fb>12.1543722222222</fb>
    <v>0</v>
  </rv>
  <rv s="1">
    <v>805306368</v>
    <v>Reyna Rueda (Mayor)</v>
    <v>f441be5c-135d-e7d7-d802-943ae8013364</v>
    <v>en-US</v>
    <v>Generic</v>
  </rv>
  <rv s="3">
    <v>476</v>
  </rv>
  <rv s="4">
    <v>https://www.bing.com/search?q=managua&amp;form=skydnc</v>
    <v>Learn more on Bing</v>
  </rv>
  <rv s="0">
    <fb>-86.273766666666702</fb>
    <v>0</v>
  </rv>
  <rv s="0">
    <fb>1061054</fb>
    <v>9</v>
  </rv>
  <rv s="7">
    <v>#VALUE!</v>
    <v>en-US</v>
    <v>a2ab3b13-a211-525f-4c89-5ec78fab662f</v>
    <v>536870912</v>
    <v>1</v>
    <v>1070</v>
    <v>38</v>
    <v>Managua</v>
    <v>5</v>
    <v>6</v>
    <v>Map</v>
    <v>7</v>
    <v>61</v>
    <v>6751</v>
    <v>6752</v>
    <v>6753</v>
    <v>Managua is the capital and largest city of Nicaragua, and one of the largest cities in Central America. Located on the shores of Lake Managua, the city had an estimated population of 1,055,247 as of 2020, and a population of 1,401,687 in its ...</v>
    <v>6754</v>
    <v>6755</v>
    <v>6757</v>
    <v>6758</v>
    <v>6759</v>
    <v>Managua</v>
    <v>6760</v>
    <v>1176</v>
    <v>Managua</v>
    <v>mdp/vdpid/5554971700908523521</v>
  </rv>
  <rv s="0">
    <fb>0.42089080937344198</fb>
    <v>28</v>
  </rv>
  <rv s="0">
    <fb>130375</fb>
    <v>9</v>
  </rv>
  <rv s="0">
    <fb>20.640999999999998</fb>
    <v>29</v>
  </rv>
  <rv s="0">
    <fb>505</fb>
    <v>30</v>
  </rv>
  <rv s="0">
    <fb>5592.1750000000002</fb>
    <v>9</v>
  </rv>
  <rv s="0">
    <fb>162.739607236815</fb>
    <v>31</v>
  </rv>
  <rv s="0">
    <fb>5.3762899084413E-2</fb>
    <v>28</v>
  </rv>
  <rv s="0">
    <fb>568.31381080701397</fb>
    <v>9</v>
  </rv>
  <rv s="0">
    <fb>2.4039999999999999</fb>
    <v>29</v>
  </rv>
  <rv s="0">
    <fb>0.25876682732258599</fb>
    <v>28</v>
  </rv>
  <rv s="0">
    <fb>40.6953920569917</fb>
    <v>34</v>
  </rv>
  <rv s="0">
    <fb>12520915291.183701</fb>
    <v>33</v>
  </rv>
  <rv s="0">
    <fb>1.2064043</fb>
    <v>28</v>
  </rv>
  <rv s="0">
    <fb>0.17423739999999999</fb>
    <v>28</v>
  </rv>
  <rv s="2">
    <v>229</v>
    <v>7</v>
    <v>1072</v>
    <v>7</v>
    <v>0</v>
    <v>Image of Nicaragua</v>
  </rv>
  <rv s="0">
    <fb>15.7</fb>
    <v>34</v>
  </rv>
  <rv s="1">
    <v>805306368</v>
    <v>Daniel Ortega (President)</v>
    <v>ac55a86e-637b-881b-bf5a-b4ef15e8fa9c</v>
    <v>en-US</v>
    <v>Generic</v>
  </rv>
  <rv s="1">
    <v>805306368</v>
    <v>Rosario Murillo (Vice president)</v>
    <v>09da9873-a16b-b570-19b5-b4d6beb3e2f5</v>
    <v>en-US</v>
    <v>Generic</v>
  </rv>
  <rv s="3">
    <v>477</v>
  </rv>
  <rv s="4">
    <v>https://www.bing.com/search?q=nicaragua&amp;form=skydnc</v>
    <v>Learn more on Bing</v>
  </rv>
  <rv s="0">
    <fb>74.275000000000006</fb>
    <v>34</v>
  </rv>
  <rv s="0">
    <fb>98</fb>
    <v>34</v>
  </rv>
  <rv s="3">
    <v>478</v>
  </rv>
  <rv s="0">
    <fb>0.35988268679999996</fb>
    <v>28</v>
  </rv>
  <rv s="0">
    <fb>0.97750000000000004</fb>
    <v>29</v>
  </rv>
  <rv s="0">
    <fb>6948392</fb>
    <v>9</v>
  </rv>
  <rv s="0">
    <fb>0.66404998779296909</fb>
    <v>28</v>
  </rv>
  <rv s="1">
    <v>536870912</v>
    <v>Boaco Department</v>
    <v>f4a2997d-6569-deac-bd36-1d9768d518db</v>
    <v>en-US</v>
    <v>Map</v>
  </rv>
  <rv s="1">
    <v>536870912</v>
    <v>Carazo Department</v>
    <v>b62e3414-410f-d232-ca00-d86157c9c0fe</v>
    <v>en-US</v>
    <v>Map</v>
  </rv>
  <rv s="1">
    <v>536870912</v>
    <v>Chinandega Department</v>
    <v>14f90df8-68f9-84d9-a362-3345b849bb38</v>
    <v>en-US</v>
    <v>Map</v>
  </rv>
  <rv s="1">
    <v>536870912</v>
    <v>Chontales Department</v>
    <v>1eed54b8-e6d3-bfd5-63ee-cc9a5b0041d7</v>
    <v>en-US</v>
    <v>Map</v>
  </rv>
  <rv s="1">
    <v>536870912</v>
    <v>Estelí Department</v>
    <v>dfd7438e-3ec0-15c9-87fe-fc72effd4a92</v>
    <v>en-US</v>
    <v>Map</v>
  </rv>
  <rv s="1">
    <v>536870912</v>
    <v>Granada Department</v>
    <v>5e3471d8-4752-03dd-5cd5-dd61e1ee616c</v>
    <v>en-US</v>
    <v>Map</v>
  </rv>
  <rv s="1">
    <v>536870912</v>
    <v>Jinotega Department</v>
    <v>60398820-edbb-ec8a-84c4-b5ac8549d71e</v>
    <v>en-US</v>
    <v>Map</v>
  </rv>
  <rv s="1">
    <v>536870912</v>
    <v>León Department</v>
    <v>a0f42223-6d04-d9d7-7b62-12425cccc416</v>
    <v>en-US</v>
    <v>Map</v>
  </rv>
  <rv s="1">
    <v>536870912</v>
    <v>Madriz Department</v>
    <v>81728ee1-79f6-9b76-c5cc-ee37f878b3a0</v>
    <v>en-US</v>
    <v>Map</v>
  </rv>
  <rv s="1">
    <v>536870912</v>
    <v>Masaya Department</v>
    <v>375fbc9c-cbcf-1580-6076-ec3acfdd9353</v>
    <v>en-US</v>
    <v>Map</v>
  </rv>
  <rv s="1">
    <v>536870912</v>
    <v>Matagalpa Department</v>
    <v>bda587c9-d64e-df8e-4b77-d9ba64a91c5e</v>
    <v>en-US</v>
    <v>Map</v>
  </rv>
  <rv s="1">
    <v>536870912</v>
    <v>Nueva Segovia Department</v>
    <v>3e264ac6-d062-e9da-1ef9-6cdee93cd8d0</v>
    <v>en-US</v>
    <v>Map</v>
  </rv>
  <rv s="1">
    <v>536870912</v>
    <v>Rivas Department</v>
    <v>d3c0a132-7da8-49f2-a7a1-f47797b6b409</v>
    <v>en-US</v>
    <v>Map</v>
  </rv>
  <rv s="1">
    <v>536870912</v>
    <v>Río San Juan Department</v>
    <v>d3ff03b5-049c-549d-a0ce-006ec8b69962</v>
    <v>en-US</v>
    <v>Map</v>
  </rv>
  <rv s="1">
    <v>536870912</v>
    <v>North Caribbean Coast Autonomous Region</v>
    <v>1d653296-e843-a712-1c4f-a638d23e4441</v>
    <v>en-US</v>
    <v>Map</v>
  </rv>
  <rv s="1">
    <v>536870912</v>
    <v>South Caribbean Coast Autonomous Region</v>
    <v>89d65d77-37fc-6893-ed2e-4c5f37a4d6cb</v>
    <v>en-US</v>
    <v>Map</v>
  </rv>
  <rv s="3">
    <v>479</v>
  </rv>
  <rv s="0">
    <fb>0.15588586333905899</fb>
    <v>28</v>
  </rv>
  <rv s="0">
    <fb>0.60599999999999998</fb>
    <v>28</v>
  </rv>
  <rv s="0">
    <fb>6.8369998931884807E-2</fb>
    <v>35</v>
  </rv>
  <rv s="0">
    <fb>3846137</fb>
    <v>9</v>
  </rv>
  <rv s="8">
    <v>#VALUE!</v>
    <v>en-US</v>
    <v>69beb9ab-56a0-e052-4bf5-5aac6f9d8bc4</v>
    <v>536870912</v>
    <v>1</v>
    <v>1075</v>
    <v>46</v>
    <v>Nicaragua</v>
    <v>5</v>
    <v>6</v>
    <v>Map</v>
    <v>7</v>
    <v>1076</v>
    <v>NI</v>
    <v>6762</v>
    <v>6763</v>
    <v>1196</v>
    <v>6764</v>
    <v>6765</v>
    <v>6750</v>
    <v>6766</v>
    <v>6767</v>
    <v>6768</v>
    <v>NIC</v>
    <v>Nicaragua, officially the Republic of Nicaragua, is the geographically largest country in Central America, comprising 130,370 km². With a population of 7,142,529 as of 2024, it is the third-most populous country in Central America after ...</v>
    <v>6769</v>
    <v>6770</v>
    <v>6771</v>
    <v>6772</v>
    <v>6658</v>
    <v>6773</v>
    <v>6774</v>
    <v>6775</v>
    <v>6776</v>
    <v>6777</v>
    <v>6750</v>
    <v>6780</v>
    <v>6781</v>
    <v>6782</v>
    <v>6783</v>
    <v>6497</v>
    <v>Nicaragua</v>
    <v>Salve a ti, Nicaragua</v>
    <v>6784</v>
    <v>la République du Nicaragua</v>
    <v>6785</v>
    <v>6786</v>
    <v>6787</v>
    <v>6045</v>
    <v>242</v>
    <v>1225</v>
    <v>6046</v>
    <v>4687</v>
    <v>3069</v>
    <v>245</v>
    <v>6788</v>
    <v>6805</v>
    <v>6806</v>
    <v>1176</v>
    <v>6807</v>
    <v>6808</v>
    <v>Nicaragua</v>
    <v>6809</v>
    <v>mdp/vdpid/182</v>
  </rv>
  <rv s="1">
    <v>536870912</v>
    <v>Niamey</v>
    <v>29005fbc-3404-89a3-0cf4-d85e20f4b1f2</v>
    <v>en-US</v>
    <v>Map</v>
  </rv>
  <rv s="0">
    <fb>239.3</fb>
    <v>9</v>
  </rv>
  <rv s="1">
    <v>536870912</v>
    <v>Niger</v>
    <v>1e2e2e3e-477e-d95f-bbf4-3ccf31b3f684</v>
    <v>en-US</v>
    <v>Map</v>
  </rv>
  <rv s="2">
    <v>230</v>
    <v>7</v>
    <v>1078</v>
    <v>7</v>
    <v>0</v>
    <v>Image of Niamey</v>
  </rv>
  <rv s="1">
    <v>805306368</v>
    <v>Assane Seydou Sanda (Mayor)</v>
    <v>b6189275-8b63-2231-87d5-861554be5f6d</v>
    <v>en-US</v>
    <v>Generic</v>
  </rv>
  <rv s="3">
    <v>480</v>
  </rv>
  <rv s="4">
    <v>https://www.bing.com/search?q=niamey&amp;form=skydnc</v>
    <v>Learn more on Bing</v>
  </rv>
  <rv s="0">
    <fb>1334984</fb>
    <v>9</v>
  </rv>
  <rv s="16">
    <v>#VALUE!</v>
    <v>en-US</v>
    <v>29005fbc-3404-89a3-0cf4-d85e20f4b1f2</v>
    <v>536870912</v>
    <v>1</v>
    <v>1079</v>
    <v>92</v>
    <v>Niamey</v>
    <v>5</v>
    <v>6</v>
    <v>Map</v>
    <v>7</v>
    <v>8</v>
    <v>NE-8</v>
    <v>6812</v>
    <v>6813</v>
    <v>Niamey is the capital and largest city of Niger. Niamey lies on the Niger River, primarily situated on the east bank. Niamey's population was counted as 1,026,848 as of the 2012 census. As of 2017, population projections show the capital ...</v>
    <v>6814</v>
    <v>6816</v>
    <v>6817</v>
    <v>Niamey</v>
    <v>6818</v>
    <v>141</v>
    <v>Niamey</v>
    <v>mdp/vdpid/7283645577353494529</v>
  </rv>
  <rv s="0">
    <fb>0.36063787795058</fb>
    <v>28</v>
  </rv>
  <rv s="0">
    <fb>1267000</fb>
    <v>9</v>
  </rv>
  <rv s="0">
    <fb>46.079000000000001</fb>
    <v>29</v>
  </rv>
  <rv s="0">
    <fb>227</fb>
    <v>30</v>
  </rv>
  <rv s="0">
    <fb>109.323686827592</fb>
    <v>31</v>
  </rv>
  <rv s="0">
    <fb>-2.48979265070851E-2</fb>
    <v>28</v>
  </rv>
  <rv s="0">
    <fb>51.195008439899901</fb>
    <v>9</v>
  </rv>
  <rv s="0">
    <fb>6.9130000000000003</fb>
    <v>29</v>
  </rv>
  <rv s="0">
    <fb>8.9176598688398209E-3</fb>
    <v>28</v>
  </rv>
  <rv s="0">
    <fb>24.060368154274201</fb>
    <v>34</v>
  </rv>
  <rv s="0">
    <fb>12928145120.0296</fb>
    <v>33</v>
  </rv>
  <rv s="0">
    <fb>0.74736199999999997</fb>
    <v>28</v>
  </rv>
  <rv s="0">
    <fb>4.4143499999999995E-2</fb>
    <v>28</v>
  </rv>
  <rv s="2">
    <v>231</v>
    <v>7</v>
    <v>1081</v>
    <v>7</v>
    <v>0</v>
    <v>Image of Niger</v>
  </rv>
  <rv s="0">
    <fb>48</fb>
    <v>34</v>
  </rv>
  <rv s="1">
    <v>805306368</v>
    <v>Abdourahamane Tchiani (President)</v>
    <v>9ce891a0-d3cb-4f8d-ce46-99cac9105a72</v>
    <v>en-US</v>
    <v>Generic</v>
  </rv>
  <rv s="1">
    <v>805306368</v>
    <v>Ali Lamine Zeine (Prime minister)</v>
    <v>865ad091-813c-ac33-6861-161961856d39</v>
    <v>en-US</v>
    <v>Generic</v>
  </rv>
  <rv s="3">
    <v>481</v>
  </rv>
  <rv s="4">
    <v>https://www.bing.com/search?q=niger&amp;form=skydnc</v>
    <v>Learn more on Bing</v>
  </rv>
  <rv s="0">
    <fb>62.024000000000001</fb>
    <v>34</v>
  </rv>
  <rv s="0">
    <fb>509</fb>
    <v>34</v>
  </rv>
  <rv s="0">
    <fb>0.52270877110000002</fb>
    <v>28</v>
  </rv>
  <rv s="0">
    <fb>4.3299999999999998E-2</fb>
    <v>29</v>
  </rv>
  <rv s="0">
    <fb>26207977</fb>
    <v>9</v>
  </rv>
  <rv s="0">
    <fb>7.8E-2</fb>
    <v>28</v>
  </rv>
  <rv s="0">
    <fb>0.11800000000000001</fb>
    <v>28</v>
  </rv>
  <rv s="0">
    <fb>0.72041999816894497</fb>
    <v>28</v>
  </rv>
  <rv s="1">
    <v>536870912</v>
    <v>Agadez Region</v>
    <v>3cb7ca31-9f95-2c9d-da4b-97dc21d6b0c6</v>
    <v>en-US</v>
    <v>Map</v>
  </rv>
  <rv s="1">
    <v>536870912</v>
    <v>Diffa Region</v>
    <v>5ddbcdb9-c58e-cf5b-203c-466824bf69a3</v>
    <v>en-US</v>
    <v>Map</v>
  </rv>
  <rv s="1">
    <v>536870912</v>
    <v>Dosso Region</v>
    <v>d45c67fb-dacc-1fcc-db30-e79ef9c2deb2</v>
    <v>en-US</v>
    <v>Map</v>
  </rv>
  <rv s="1">
    <v>536870912</v>
    <v>Maradi Region</v>
    <v>6d284c2f-6f07-570f-a4df-7c5173553215</v>
    <v>en-US</v>
    <v>Map</v>
  </rv>
  <rv s="1">
    <v>536870912</v>
    <v>Tahoua Region</v>
    <v>a53edab2-3d59-f8e8-6b8d-c83092840f8d</v>
    <v>en-US</v>
    <v>Map</v>
  </rv>
  <rv s="1">
    <v>536870912</v>
    <v>Tillabéri Region</v>
    <v>279174a4-e5ed-e70e-f7df-72ad01266353</v>
    <v>en-US</v>
    <v>Map</v>
  </rv>
  <rv s="1">
    <v>536870912</v>
    <v>Zinder Region</v>
    <v>b2ff7346-5f64-439d-a3b7-834da06e28f8</v>
    <v>en-US</v>
    <v>Map</v>
  </rv>
  <rv s="3">
    <v>482</v>
  </rv>
  <rv s="0">
    <fb>0.117645285971099</fb>
    <v>28</v>
  </rv>
  <rv s="3">
    <v>483</v>
  </rv>
  <rv s="0">
    <fb>4.7499999403953601E-3</fb>
    <v>35</v>
  </rv>
  <rv s="0">
    <fb>3850231</fb>
    <v>9</v>
  </rv>
  <rv s="8">
    <v>#VALUE!</v>
    <v>en-US</v>
    <v>1e2e2e3e-477e-d95f-bbf4-3ccf31b3f684</v>
    <v>536870912</v>
    <v>1</v>
    <v>1084</v>
    <v>46</v>
    <v>Niger</v>
    <v>5</v>
    <v>6</v>
    <v>Map</v>
    <v>7</v>
    <v>1085</v>
    <v>NE</v>
    <v>6820</v>
    <v>6821</v>
    <v>2505</v>
    <v>6822</v>
    <v>6823</v>
    <v>6811</v>
    <v>6309</v>
    <v>6824</v>
    <v>6825</v>
    <v>XOF</v>
    <v>Niger, officially the Republic of the Niger, is a landlocked country in West Africa. It is a unitary state bordered by Libya to the northeast, Chad to the east, Nigeria to the south, Benin and Burkina Faso to the southwest, Mali to the west, and ...</v>
    <v>6826</v>
    <v>6827</v>
    <v>6828</v>
    <v>6829</v>
    <v>2462</v>
    <v>6830</v>
    <v>6831</v>
    <v>6832</v>
    <v>6833</v>
    <v>6834</v>
    <v>6811</v>
    <v>6837</v>
    <v>6838</v>
    <v>6839</v>
    <v>6840</v>
    <v>1465</v>
    <v>Niger</v>
    <v>The Honor of the Fatherland</v>
    <v>1220</v>
    <v>Jamhuriyar Nijar</v>
    <v>6841</v>
    <v>6842</v>
    <v>6843</v>
    <v>4610</v>
    <v>649</v>
    <v>1164</v>
    <v>1167</v>
    <v>6844</v>
    <v>6845</v>
    <v>5267</v>
    <v>6846</v>
    <v>6854</v>
    <v>6855</v>
    <v>6856</v>
    <v>1357</v>
    <v>6857</v>
    <v>Niger</v>
    <v>6858</v>
    <v>mdp/vdpid/173</v>
  </rv>
  <rv s="1">
    <v>536870912</v>
    <v>Abuja</v>
    <v>c82a7acc-0007-36fc-7343-e970618e072d</v>
    <v>en-US</v>
    <v>Map</v>
  </rv>
  <rv s="1">
    <v>536870912</v>
    <v>Federal Capital Territory</v>
    <v>58b26f4f-fe98-5f41-4126-771b8d675bec</v>
    <v>en-US</v>
    <v>Map</v>
  </rv>
  <rv s="0">
    <fb>713</fb>
    <v>9</v>
  </rv>
  <rv s="1">
    <v>536870912</v>
    <v>Nigeria</v>
    <v>f8afbbd6-9c3e-02be-7cb2-eac695e2da02</v>
    <v>en-US</v>
    <v>Map</v>
  </rv>
  <rv s="2">
    <v>232</v>
    <v>7</v>
    <v>1087</v>
    <v>7</v>
    <v>0</v>
    <v>Image of Abuja</v>
  </rv>
  <rv s="0">
    <fb>9.0555555555555998</fb>
    <v>0</v>
  </rv>
  <rv s="4">
    <v>https://www.bing.com/search?q=abuja&amp;form=skydnc</v>
    <v>Learn more on Bing</v>
  </rv>
  <rv s="0">
    <fb>7.4913888888889</fb>
    <v>0</v>
  </rv>
  <rv s="0">
    <fb>1568853</fb>
    <v>9</v>
  </rv>
  <rv s="77">
    <v>#VALUE!</v>
    <v>en-US</v>
    <v>c82a7acc-0007-36fc-7343-e970618e072d</v>
    <v>536870912</v>
    <v>1</v>
    <v>1088</v>
    <v>1089</v>
    <v>Abuja</v>
    <v>1090</v>
    <v>6</v>
    <v>Map</v>
    <v>7</v>
    <v>253</v>
    <v>6861</v>
    <v>6862</v>
    <v>6863</v>
    <v>Abuja is the capital and eighth most populous city of Nigeria. Situated in the middle of the country within the Federal Capital Territory, it is a planned city built mainly in the 1980s based on a master plan by International Planning ...</v>
    <v>6864</v>
    <v>6865</v>
    <v>6866</v>
    <v>6867</v>
    <v>Abuja</v>
    <v>6868</v>
    <v>Abuja</v>
  </rv>
  <rv s="0">
    <fb>0.77736420830725605</fb>
    <v>28</v>
  </rv>
  <rv s="0">
    <fb>923768</fb>
    <v>9</v>
  </rv>
  <rv s="0">
    <fb>215000</fb>
    <v>9</v>
  </rv>
  <rv s="0">
    <fb>37.905000000000001</fb>
    <v>29</v>
  </rv>
  <rv s="0">
    <fb>234</fb>
    <v>30</v>
  </rv>
  <rv s="0">
    <fb>120369.27499999999</fb>
    <v>9</v>
  </rv>
  <rv s="0">
    <fb>267.51151513417602</fb>
    <v>31</v>
  </rv>
  <rv s="0">
    <fb>0.113967949687168</fb>
    <v>28</v>
  </rv>
  <rv s="0">
    <fb>144.525462223266</fb>
    <v>9</v>
  </rv>
  <rv s="0">
    <fb>5.3869999999999996</fb>
    <v>29</v>
  </rv>
  <rv s="0">
    <fb>7.2283890579880203E-2</fb>
    <v>28</v>
  </rv>
  <rv s="0">
    <fb>18.876766756620999</fb>
    <v>34</v>
  </rv>
  <rv s="0">
    <fb>0.46</fb>
    <v>32</v>
  </rv>
  <rv s="0">
    <fb>448120428858.76898</fb>
    <v>33</v>
  </rv>
  <rv s="0">
    <fb>0.84725640000000002</fb>
    <v>28</v>
  </rv>
  <rv s="0">
    <fb>0.1017443</fb>
    <v>28</v>
  </rv>
  <rv s="2">
    <v>233</v>
    <v>7</v>
    <v>1092</v>
    <v>7</v>
    <v>0</v>
    <v>Image of Nigeria</v>
  </rv>
  <rv s="0">
    <fb>75.7</fb>
    <v>34</v>
  </rv>
  <rv s="1">
    <v>536870912</v>
    <v>Lagos</v>
    <v>f9b45ba3-39cb-62a0-eb5c-1209a05fb3da</v>
    <v>en-US</v>
    <v>Map</v>
  </rv>
  <rv s="1">
    <v>805306368</v>
    <v>Bola Tinubu (President)</v>
    <v>0bab946b-fc6e-b461-0758-014e137942c4</v>
    <v>en-US</v>
    <v>Generic</v>
  </rv>
  <rv s="1">
    <v>805306368</v>
    <v>Kashim Shettima (Vice president)</v>
    <v>c19ad62c-de0d-617d-28ae-10ab8db975f8</v>
    <v>en-US</v>
    <v>Generic</v>
  </rv>
  <rv s="1">
    <v>805306368</v>
    <v>Tajudeen Abbas (Speaker)</v>
    <v>d3886a52-f1ee-65f9-9ef4-fdfa53130483</v>
    <v>en-US</v>
    <v>Generic</v>
  </rv>
  <rv s="1">
    <v>805306368</v>
    <v>Kudirat Kekere-Ekun (Chief justice)</v>
    <v>e0b78dc3-1346-97f8-4f68-5604a3efde81</v>
    <v>en-US</v>
    <v>Generic</v>
  </rv>
  <rv s="3">
    <v>484</v>
  </rv>
  <rv s="4">
    <v>https://www.bing.com/search?q=nigeria&amp;form=skydnc</v>
    <v>Learn more on Bing</v>
  </rv>
  <rv s="0">
    <fb>54.332000000000001</fb>
    <v>34</v>
  </rv>
  <rv s="0">
    <fb>43921600000</fb>
    <v>33</v>
  </rv>
  <rv s="0">
    <fb>917</fb>
    <v>34</v>
  </rv>
  <rv s="0">
    <fb>0.72238616980000003</fb>
    <v>28</v>
  </rv>
  <rv s="0">
    <fb>0.38059999999999999</fb>
    <v>29</v>
  </rv>
  <rv s="0">
    <fb>218541212</fb>
    <v>9</v>
  </rv>
  <rv s="0">
    <fb>0.32700000000000001</fb>
    <v>28</v>
  </rv>
  <rv s="0">
    <fb>0.49</fb>
    <v>28</v>
  </rv>
  <rv s="0">
    <fb>0.52907001495361294</fb>
    <v>28</v>
  </rv>
  <rv s="1">
    <v>536870912</v>
    <v>Abia State</v>
    <v>69b8a646-2ce1-bbd4-2133-6a3e8ccd7216</v>
    <v>en-US</v>
    <v>Map</v>
  </rv>
  <rv s="1">
    <v>536870912</v>
    <v>Adamawa State</v>
    <v>89e5889b-a771-6d19-8318-bdbc1b461471</v>
    <v>en-US</v>
    <v>Map</v>
  </rv>
  <rv s="1">
    <v>536870912</v>
    <v>Akwa Ibom State</v>
    <v>db375712-d1b5-7800-f3bf-f5682e9c4b9f</v>
    <v>en-US</v>
    <v>Map</v>
  </rv>
  <rv s="1">
    <v>536870912</v>
    <v>Anambra State</v>
    <v>a4e8fb7a-e9a1-e893-4f70-23580f99b653</v>
    <v>en-US</v>
    <v>Map</v>
  </rv>
  <rv s="1">
    <v>536870912</v>
    <v>Bauchi State</v>
    <v>72aa6eb8-97d7-2620-c490-937972d163b7</v>
    <v>en-US</v>
    <v>Map</v>
  </rv>
  <rv s="1">
    <v>536870912</v>
    <v>Bayelsa State</v>
    <v>df2489d2-29f0-e5cd-4972-a1eae029e08e</v>
    <v>en-US</v>
    <v>Map</v>
  </rv>
  <rv s="1">
    <v>536870912</v>
    <v>Benue State</v>
    <v>da448603-05b5-1cc7-5b90-e2f74bcb7e4b</v>
    <v>en-US</v>
    <v>Map</v>
  </rv>
  <rv s="1">
    <v>536870912</v>
    <v>Borno State</v>
    <v>f2c07e45-570f-e47c-13ec-ca77b5c8fadc</v>
    <v>en-US</v>
    <v>Map</v>
  </rv>
  <rv s="1">
    <v>536870912</v>
    <v>Cross River State</v>
    <v>ae57951f-2c0a-25da-f239-0d304fb7957b</v>
    <v>en-US</v>
    <v>Map</v>
  </rv>
  <rv s="1">
    <v>536870912</v>
    <v>Delta State</v>
    <v>2bf2d4ef-c065-a0b4-022f-0e19dee39b09</v>
    <v>en-US</v>
    <v>Map</v>
  </rv>
  <rv s="1">
    <v>536870912</v>
    <v>Ebonyi State</v>
    <v>4c7ea440-73b2-dafe-8923-4db635cf8052</v>
    <v>en-US</v>
    <v>Map</v>
  </rv>
  <rv s="1">
    <v>536870912</v>
    <v>Edo State</v>
    <v>9746883b-174d-225c-3658-96453ede7f6d</v>
    <v>en-US</v>
    <v>Map</v>
  </rv>
  <rv s="1">
    <v>536870912</v>
    <v>Ekiti State</v>
    <v>0c095d44-2cfe-b1f5-cd64-79be6091a31b</v>
    <v>en-US</v>
    <v>Map</v>
  </rv>
  <rv s="1">
    <v>536870912</v>
    <v>Enugu State</v>
    <v>3b086e6a-3058-6d2a-de5f-baecb67e0cba</v>
    <v>en-US</v>
    <v>Map</v>
  </rv>
  <rv s="1">
    <v>536870912</v>
    <v>Gombe State</v>
    <v>c151d028-70dc-772d-4ea0-e039483e1792</v>
    <v>en-US</v>
    <v>Map</v>
  </rv>
  <rv s="1">
    <v>536870912</v>
    <v>Imo State</v>
    <v>f23675dc-04a2-53d5-4cf1-d0b7dbeb81f0</v>
    <v>en-US</v>
    <v>Map</v>
  </rv>
  <rv s="1">
    <v>536870912</v>
    <v>Jigawa State</v>
    <v>ad936f43-f8d5-695e-67fe-01235468d235</v>
    <v>en-US</v>
    <v>Map</v>
  </rv>
  <rv s="1">
    <v>536870912</v>
    <v>Kaduna State</v>
    <v>a7b69a0f-8fdd-f577-c080-676a34d982f5</v>
    <v>en-US</v>
    <v>Map</v>
  </rv>
  <rv s="1">
    <v>536870912</v>
    <v>Kano State</v>
    <v>2aa68b5e-36e3-9059-a512-620918fc1982</v>
    <v>en-US</v>
    <v>Map</v>
  </rv>
  <rv s="1">
    <v>536870912</v>
    <v>Katsina State</v>
    <v>1ba9a23e-5c1c-5d07-a6f9-d9dd468364e6</v>
    <v>en-US</v>
    <v>Map</v>
  </rv>
  <rv s="1">
    <v>536870912</v>
    <v>Kebbi State</v>
    <v>fd975f01-e997-df8c-4f64-1fee0565999f</v>
    <v>en-US</v>
    <v>Map</v>
  </rv>
  <rv s="1">
    <v>536870912</v>
    <v>Kogi State</v>
    <v>5d30659c-4b14-04f8-8ac5-87b90f387204</v>
    <v>en-US</v>
    <v>Map</v>
  </rv>
  <rv s="1">
    <v>536870912</v>
    <v>Kwara State</v>
    <v>90b9bd60-65cf-3dfc-cae9-f9b1c9144511</v>
    <v>en-US</v>
    <v>Map</v>
  </rv>
  <rv s="1">
    <v>536870912</v>
    <v>Lagos State</v>
    <v>6b2d76ff-8165-4482-0d57-dd54baace481</v>
    <v>en-US</v>
    <v>Map</v>
  </rv>
  <rv s="1">
    <v>536870912</v>
    <v>Nasarawa State</v>
    <v>54e320be-1f01-765f-270a-0e37cfc1e3d3</v>
    <v>en-US</v>
    <v>Map</v>
  </rv>
  <rv s="1">
    <v>536870912</v>
    <v>Niger State</v>
    <v>5aaa0ce5-04d0-4e26-26b1-0e9999d947b5</v>
    <v>en-US</v>
    <v>Map</v>
  </rv>
  <rv s="1">
    <v>536870912</v>
    <v>Ogun State</v>
    <v>89c68e8c-3fbe-ea3a-5b78-bbe7a4b8a425</v>
    <v>en-US</v>
    <v>Map</v>
  </rv>
  <rv s="1">
    <v>536870912</v>
    <v>Ondo State</v>
    <v>74a24d20-a917-b2f1-c213-f1e7d4e97b6b</v>
    <v>en-US</v>
    <v>Map</v>
  </rv>
  <rv s="1">
    <v>536870912</v>
    <v>Osun State</v>
    <v>2c145d0d-29b4-3b0c-65ca-7da5ed30592a</v>
    <v>en-US</v>
    <v>Map</v>
  </rv>
  <rv s="1">
    <v>536870912</v>
    <v>Oyo State</v>
    <v>712d990a-9716-897a-2f3f-75a7abe71338</v>
    <v>en-US</v>
    <v>Map</v>
  </rv>
  <rv s="1">
    <v>536870912</v>
    <v>Plateau State</v>
    <v>1553fa7c-b7d1-d2b8-d1fa-0d027642e02e</v>
    <v>en-US</v>
    <v>Map</v>
  </rv>
  <rv s="1">
    <v>536870912</v>
    <v>Rivers State</v>
    <v>89671e89-503e-c579-0555-aa21f65a113c</v>
    <v>en-US</v>
    <v>Map</v>
  </rv>
  <rv s="1">
    <v>536870912</v>
    <v>Sokoto State</v>
    <v>8cef5263-b25e-1f7a-dcc4-b85f5a2d81f4</v>
    <v>en-US</v>
    <v>Map</v>
  </rv>
  <rv s="1">
    <v>536870912</v>
    <v>Taraba State</v>
    <v>ab8e951e-d2de-b17d-556a-131a8a77c6e8</v>
    <v>en-US</v>
    <v>Map</v>
  </rv>
  <rv s="1">
    <v>536870912</v>
    <v>Yobe State</v>
    <v>2daeda9e-391e-81ce-fbc9-6f5a21e532eb</v>
    <v>en-US</v>
    <v>Map</v>
  </rv>
  <rv s="1">
    <v>536870912</v>
    <v>Zamfara State</v>
    <v>67d27c6a-27da-4f16-656d-b93176fee807</v>
    <v>en-US</v>
    <v>Map</v>
  </rv>
  <rv s="3">
    <v>485</v>
  </rv>
  <rv s="0">
    <fb>1.4825336684568799E-2</fb>
    <v>28</v>
  </rv>
  <rv s="0">
    <fb>0.34799999999999998</fb>
    <v>28</v>
  </rv>
  <rv s="0">
    <fb>8.0959997177124002E-2</fb>
    <v>35</v>
  </rv>
  <rv s="0">
    <fb>102806948</fb>
    <v>9</v>
  </rv>
  <rv s="9">
    <v>#VALUE!</v>
    <v>en-US</v>
    <v>f8afbbd6-9c3e-02be-7cb2-eac695e2da02</v>
    <v>536870912</v>
    <v>1</v>
    <v>1095</v>
    <v>55</v>
    <v>Nigeria</v>
    <v>5</v>
    <v>6</v>
    <v>Map</v>
    <v>7</v>
    <v>1096</v>
    <v>NG</v>
    <v>6870</v>
    <v>6871</v>
    <v>6872</v>
    <v>6873</v>
    <v>6874</v>
    <v>6860</v>
    <v>6875</v>
    <v>6876</v>
    <v>6877</v>
    <v>NGN</v>
    <v>Nigeria, officially the Federal Republic of Nigeria, is a country in West Africa. It is situated between the Sahel to the north and the Gulf of Guinea in the Atlantic Ocean to the south. It covers an area of 923,769 square kilometres. With a ...</v>
    <v>6878</v>
    <v>6879</v>
    <v>6880</v>
    <v>6881</v>
    <v>6882</v>
    <v>6883</v>
    <v>6884</v>
    <v>6885</v>
    <v>6886</v>
    <v>6887</v>
    <v>6888</v>
    <v>6893</v>
    <v>6894</v>
    <v>6895</v>
    <v>6896</v>
    <v>6897</v>
    <v>6497</v>
    <v>Nigeria</v>
    <v>Nigeria, We Hail Thee</v>
    <v>448</v>
    <v>Federal Republic of Nigeria</v>
    <v>6898</v>
    <v>6899</v>
    <v>6900</v>
    <v>1816</v>
    <v>6901</v>
    <v>6902</v>
    <v>6046</v>
    <v>2827</v>
    <v>1820</v>
    <v>1053</v>
    <v>6903</v>
    <v>6940</v>
    <v>6941</v>
    <v>1969</v>
    <v>6942</v>
    <v>6943</v>
    <v>Nigeria</v>
    <v>6944</v>
    <v>mdp/vdpid/175</v>
  </rv>
  <rv s="1">
    <v>536870912</v>
    <v>Pyongyang</v>
    <v>095320b9-78d4-c400-4d94-1076b17f187a</v>
    <v>en-US</v>
    <v>Map</v>
  </rv>
  <rv s="0">
    <fb>3194</fb>
    <v>9</v>
  </rv>
  <rv s="1">
    <v>536870912</v>
    <v>North Korea</v>
    <v>70c7ed0d-5dca-f7cc-34bb-5ae867fd452f</v>
    <v>en-US</v>
    <v>Map</v>
  </rv>
  <rv s="2">
    <v>234</v>
    <v>7</v>
    <v>1097</v>
    <v>7</v>
    <v>0</v>
    <v>Image of Pyongyang</v>
  </rv>
  <rv s="4">
    <v>https://www.bing.com/search?q=pyongyang&amp;form=skydnc</v>
    <v>Learn more on Bing</v>
  </rv>
  <rv s="0">
    <fb>3157538</fb>
    <v>9</v>
  </rv>
  <rv s="3">
    <v>486</v>
  </rv>
  <rv s="10">
    <v>#VALUE!</v>
    <v>en-US</v>
    <v>095320b9-78d4-c400-4d94-1076b17f187a</v>
    <v>536870912</v>
    <v>1</v>
    <v>1099</v>
    <v>60</v>
    <v>Pyongyang</v>
    <v>5</v>
    <v>6</v>
    <v>Map</v>
    <v>7</v>
    <v>216</v>
    <v>KP-01</v>
    <v>6947</v>
    <v>6948</v>
    <v>Pyongyang is the capital and largest city of North Korea, where it is sometimes labeled as the "Capital of the Revolution". Pyongyang is located on the Taedong River about 109 km upstream from its mouth on the Yellow Sea. According to the 2008 ...</v>
    <v>6949</v>
    <v>6950</v>
    <v>Pyongyang</v>
    <v>6951</v>
    <v>6952</v>
    <v>Pyongyang</v>
    <v>mdp/vdpid/7831929550123565057</v>
  </rv>
  <rv s="0">
    <fb>0.218420396976995</fb>
    <v>28</v>
  </rv>
  <rv s="0">
    <fb>120540</fb>
    <v>9</v>
  </rv>
  <rv s="0">
    <fb>1469000</fb>
    <v>9</v>
  </rv>
  <rv s="0">
    <fb>13.89</fb>
    <v>29</v>
  </rv>
  <rv s="0">
    <fb>850</fb>
    <v>30</v>
  </rv>
  <rv s="0">
    <fb>601.69004785425295</fb>
    <v>9</v>
  </rv>
  <rv s="0">
    <fb>1.9039999999999999</fb>
    <v>29</v>
  </rv>
  <rv s="0">
    <fb>0.407275143260527</fb>
    <v>28</v>
  </rv>
  <rv s="0">
    <fb>62.051994763566697</fb>
    <v>34</v>
  </rv>
  <rv s="0">
    <fb>0.57999999999999996</fb>
    <v>32</v>
  </rv>
  <rv s="0">
    <fb>32100000000</fb>
    <v>33</v>
  </rv>
  <rv s="0">
    <fb>1.1277927999999999</fb>
    <v>28</v>
  </rv>
  <rv s="0">
    <fb>0.2702157</fb>
    <v>28</v>
  </rv>
  <rv s="2">
    <v>235</v>
    <v>7</v>
    <v>1101</v>
    <v>7</v>
    <v>0</v>
    <v>Image of North Korea</v>
  </rv>
  <rv s="1">
    <v>805306368</v>
    <v>Kim Jong Un (Secretary)</v>
    <v>d57eabf0-daef-45bf-ba07-2cf9b6b1a94b</v>
    <v>en-US</v>
    <v>Generic</v>
  </rv>
  <rv s="1">
    <v>805306368</v>
    <v>Pak Thae-song (Premier)</v>
    <v>fc6b1866-07d5-c05f-487d-d305aaba4e05</v>
    <v>en-US</v>
    <v>Generic</v>
  </rv>
  <rv s="1">
    <v>805306368</v>
    <v>Choe Ryong-hae (Vice president)</v>
    <v>3a7c2be6-3efe-2129-caa1-75a6b334c15b</v>
    <v>en-US</v>
    <v>Generic</v>
  </rv>
  <rv s="3">
    <v>487</v>
  </rv>
  <rv s="4">
    <v>https://www.bing.com/search?q=north+korea&amp;form=skydnc</v>
    <v>Learn more on Bing</v>
  </rv>
  <rv s="0">
    <fb>72.094999999999999</fb>
    <v>34</v>
  </rv>
  <rv s="0">
    <fb>89</fb>
    <v>34</v>
  </rv>
  <rv s="3">
    <v>488</v>
  </rv>
  <rv s="0">
    <fb>3.6745000000000001</fb>
    <v>29</v>
  </rv>
  <rv s="0">
    <fb>26069416</fb>
    <v>9</v>
  </rv>
  <rv s="0">
    <fb>0.80370002746582003</fb>
    <v>28</v>
  </rv>
  <rv s="1">
    <v>536870912</v>
    <v>South Pyongan Province</v>
    <v>6e9c5823-1b93-0e95-2268-42b399f10059</v>
    <v>en-US</v>
    <v>Map</v>
  </rv>
  <rv s="1">
    <v>536870912</v>
    <v>North Pyongan Province</v>
    <v>43129a62-1940-d975-587d-4bd82d022cc8</v>
    <v>en-US</v>
    <v>Map</v>
  </rv>
  <rv s="1">
    <v>536870912</v>
    <v>Chagang Province</v>
    <v>fbfb4096-0369-32b4-6fff-1f388d93fbc0</v>
    <v>en-US</v>
    <v>Map</v>
  </rv>
  <rv s="1">
    <v>536870912</v>
    <v>South Hwanghae Province</v>
    <v>9c2bdbb7-3c25-8e4f-ee18-adc019702044</v>
    <v>en-US</v>
    <v>Map</v>
  </rv>
  <rv s="1">
    <v>536870912</v>
    <v>North Hwanghae Province</v>
    <v>a8eda1ec-9a17-fe44-ebd5-c1962063104f</v>
    <v>en-US</v>
    <v>Map</v>
  </rv>
  <rv s="1">
    <v>536870912</v>
    <v>Kangwon Province, North Korea</v>
    <v>aaa3d519-15c9-0a79-3422-9bf41158cae0</v>
    <v>en-US</v>
    <v>Map</v>
  </rv>
  <rv s="1">
    <v>536870912</v>
    <v>South Hamgyong Province</v>
    <v>b8285b7a-4943-8027-52af-e40a076bb4e0</v>
    <v>en-US</v>
    <v>Map</v>
  </rv>
  <rv s="1">
    <v>536870912</v>
    <v>North Hamgyong Province</v>
    <v>3c625d6a-4332-51c4-5f83-46d52be20ef3</v>
    <v>en-US</v>
    <v>Map</v>
  </rv>
  <rv s="1">
    <v>536870912</v>
    <v>Ryanggang Province</v>
    <v>629cf9d1-8c89-877f-8ce5-bab4d78c2d91</v>
    <v>en-US</v>
    <v>Map</v>
  </rv>
  <rv s="1">
    <v>536870912</v>
    <v>Rason</v>
    <v>93d23b53-cde8-1a54-d5aa-0cdcb78b1e15</v>
    <v>en-US</v>
    <v>Map</v>
  </rv>
  <rv s="1">
    <v>536870912</v>
    <v>Nampo</v>
    <v>e5efa20e-5406-5f63-655c-ee130176b513</v>
    <v>en-US</v>
    <v>Map</v>
  </rv>
  <rv s="3">
    <v>489</v>
  </rv>
  <rv s="0">
    <fb>2.7400000095367402E-2</fb>
    <v>35</v>
  </rv>
  <rv s="0">
    <fb>15947412</fb>
    <v>9</v>
  </rv>
  <rv s="78">
    <v>#VALUE!</v>
    <v>en-US</v>
    <v>70c7ed0d-5dca-f7cc-34bb-5ae867fd452f</v>
    <v>536870912</v>
    <v>1</v>
    <v>1105</v>
    <v>1106</v>
    <v>North Korea</v>
    <v>5</v>
    <v>6</v>
    <v>Map</v>
    <v>7</v>
    <v>1107</v>
    <v>KP</v>
    <v>6954</v>
    <v>6955</v>
    <v>6956</v>
    <v>6957</v>
    <v>6958</v>
    <v>6946</v>
    <v>2677</v>
    <v>KPW</v>
    <v>North Korea, officially the Democratic People's Republic of Korea, is a country in East Asia. It constitutes the northern half of the Korean Peninsula and borders China and Russia to the north at the Yalu and Tumen rivers, and South Korea to the ...</v>
    <v>6959</v>
    <v>6960</v>
    <v>6961</v>
    <v>6962</v>
    <v>6963</v>
    <v>6964</v>
    <v>6965</v>
    <v>6966</v>
    <v>6967</v>
    <v>4017</v>
    <v>6946</v>
    <v>6971</v>
    <v>6972</v>
    <v>6973</v>
    <v>6974</v>
    <v>North Korea</v>
    <v>Aegukka</v>
    <v>6975</v>
    <v>조선민주주의인민공화국</v>
    <v>6976</v>
    <v>6977</v>
    <v>6978</v>
    <v>6990</v>
    <v>6952</v>
    <v>6991</v>
    <v>North Korea</v>
    <v>6992</v>
    <v>mdp/vdpid/131</v>
  </rv>
  <rv s="1">
    <v>536870912</v>
    <v>Skopje</v>
    <v>1801752c-771c-78d5-76fc-41b82750ecfe</v>
    <v>en-US</v>
    <v>Map</v>
  </rv>
  <rv s="0">
    <fb>571.46</fb>
    <v>9</v>
  </rv>
  <rv s="1">
    <v>536870912</v>
    <v>North Macedonia</v>
    <v>d33b7a6b-3c3e-ee43-7793-52058921000a</v>
    <v>en-US</v>
    <v>Map</v>
  </rv>
  <rv s="2">
    <v>236</v>
    <v>7</v>
    <v>1108</v>
    <v>7</v>
    <v>0</v>
    <v>Image of Skopje</v>
  </rv>
  <rv s="1">
    <v>805306368</v>
    <v>Danela Arsovska (Mayor)</v>
    <v>8e2fd9b6-7df9-19e7-8d1d-b3811e4cbc09</v>
    <v>en-US</v>
    <v>Generic</v>
  </rv>
  <rv s="3">
    <v>490</v>
  </rv>
  <rv s="4">
    <v>https://www.bing.com/search?q=skopje&amp;form=skydnc</v>
    <v>Learn more on Bing</v>
  </rv>
  <rv s="0">
    <fb>422540</fb>
    <v>9</v>
  </rv>
  <rv s="3">
    <v>491</v>
  </rv>
  <rv s="16">
    <v>#VALUE!</v>
    <v>en-US</v>
    <v>1801752c-771c-78d5-76fc-41b82750ecfe</v>
    <v>536870912</v>
    <v>1</v>
    <v>1110</v>
    <v>92</v>
    <v>Skopje</v>
    <v>5</v>
    <v>6</v>
    <v>Map</v>
    <v>7</v>
    <v>216</v>
    <v>MK-85</v>
    <v>6995</v>
    <v>6996</v>
    <v>Skopje is the capital and largest city of North Macedonia. It is the country's political, cultural, economic, and academic centre. Skopje lies in the Skopje Basin. Scupi is attested for the first time in the second century AD as a city in Roman ...</v>
    <v>6997</v>
    <v>6999</v>
    <v>7000</v>
    <v>Skopje</v>
    <v>7001</v>
    <v>7002</v>
    <v>Skopje</v>
    <v>mdp/vdpid/7218862242538717185</v>
  </rv>
  <rv s="0">
    <fb>25713</fb>
    <v>9</v>
  </rv>
  <rv s="0">
    <fb>389</fb>
    <v>30</v>
  </rv>
  <rv s="0">
    <fb>10220781069</fb>
    <v>33</v>
  </rv>
  <rv s="2">
    <v>237</v>
    <v>7</v>
    <v>1112</v>
    <v>7</v>
    <v>0</v>
    <v>Image of North Macedonia</v>
  </rv>
  <rv s="1">
    <v>805306368</v>
    <v>Gordana Siljanovska-Davkova (President)</v>
    <v>8ccf2b6d-bc06-cfb5-df88-41a6be9b5104</v>
    <v>en-US</v>
    <v>Generic</v>
  </rv>
  <rv s="1">
    <v>805306368</v>
    <v>Hristijan Mickoski (Prime minister)</v>
    <v>17358448-4c6f-b36b-677d-834090107713</v>
    <v>en-US</v>
    <v>Generic</v>
  </rv>
  <rv s="3">
    <v>492</v>
  </rv>
  <rv s="4">
    <v>https://www.bing.com/search?q=republic+of+macedonia&amp;form=skydnc</v>
    <v>Learn more on Bing</v>
  </rv>
  <rv s="3">
    <v>493</v>
  </rv>
  <rv s="0">
    <fb>0.355695926</fb>
    <v>28</v>
  </rv>
  <rv s="0">
    <fb>2057679</fb>
    <v>9</v>
  </rv>
  <rv s="1">
    <v>536870912</v>
    <v>Berovo Municipality</v>
    <v>3f2bb898-b4da-3c1a-a75d-ace5e48f91dd</v>
    <v>en-US</v>
    <v>Map</v>
  </rv>
  <rv s="1">
    <v>536870912</v>
    <v>Češinovo-Obleševo Municipality</v>
    <v>b763f1e4-a0e5-b109-1e56-a0b1b13d94de</v>
    <v>en-US</v>
    <v>Map</v>
  </rv>
  <rv s="1">
    <v>536870912</v>
    <v>Delčevo Municipality</v>
    <v>8fe5293a-b9f8-ace2-6ac4-38cc583e659f</v>
    <v>en-US</v>
    <v>Map</v>
  </rv>
  <rv s="1">
    <v>536870912</v>
    <v>Karbinci Municipality</v>
    <v>6436bd0a-983e-463a-c758-a597a02b3be9</v>
    <v>en-US</v>
    <v>Map</v>
  </rv>
  <rv s="1">
    <v>536870912</v>
    <v>Kočani Municipality</v>
    <v>c6d6c880-1cdb-9483-04a7-0b477531146c</v>
    <v>en-US</v>
    <v>Map</v>
  </rv>
  <rv s="1">
    <v>536870912</v>
    <v>Kratovo Municipality</v>
    <v>dd25066b-c30d-b2be-4200-a0accc71c351</v>
    <v>en-US</v>
    <v>Map</v>
  </rv>
  <rv s="1">
    <v>536870912</v>
    <v>Kriva Palanka Municipality</v>
    <v>8fb81fad-fe93-a929-4d70-8b2c783ed78d</v>
    <v>en-US</v>
    <v>Map</v>
  </rv>
  <rv s="1">
    <v>536870912</v>
    <v>Kumanovo Municipality</v>
    <v>7c6377e7-2d34-9aae-0720-60021a233de7</v>
    <v>en-US</v>
    <v>Map</v>
  </rv>
  <rv s="1">
    <v>536870912</v>
    <v>Lozovo Municipality</v>
    <v>5877fa90-d22e-760a-4c68-14af66cc773c</v>
    <v>en-US</v>
    <v>Map</v>
  </rv>
  <rv s="1">
    <v>536870912</v>
    <v>Makedonska Kamenica Municipality</v>
    <v>cb948ed7-e751-c84e-da61-e797e4fed171</v>
    <v>en-US</v>
    <v>Map</v>
  </rv>
  <rv s="1">
    <v>536870912</v>
    <v>Pehčevo Municipality</v>
    <v>44cddf87-a0e5-d549-45d8-dfe75a973432</v>
    <v>en-US</v>
    <v>Map</v>
  </rv>
  <rv s="1">
    <v>536870912</v>
    <v>Probištip Municipality</v>
    <v>6d564c70-b76e-4935-a432-aa7a38cb9b8f</v>
    <v>en-US</v>
    <v>Map</v>
  </rv>
  <rv s="1">
    <v>536870912</v>
    <v>Štip Municipality</v>
    <v>e606d52a-e423-190d-4535-08daeebeea91</v>
    <v>en-US</v>
    <v>Map</v>
  </rv>
  <rv s="1">
    <v>536870912</v>
    <v>Sveti Nikole Municipality</v>
    <v>e33efcd0-450b-abbc-feb1-c6aff2869edb</v>
    <v>en-US</v>
    <v>Map</v>
  </rv>
  <rv s="1">
    <v>536870912</v>
    <v>Vinica Municipality, North Macedonia</v>
    <v>b45f3e9b-d061-e747-0832-4657071942ad</v>
    <v>en-US</v>
    <v>Map</v>
  </rv>
  <rv s="1">
    <v>536870912</v>
    <v>Zrnovci Municipality</v>
    <v>a83d4ba2-31fd-36ec-9298-03f37af866f9</v>
    <v>en-US</v>
    <v>Map</v>
  </rv>
  <rv s="1">
    <v>536870912</v>
    <v>Lipkovo Municipality</v>
    <v>f4c9bda6-940b-462a-0153-9bf8240ec32d</v>
    <v>en-US</v>
    <v>Map</v>
  </rv>
  <rv s="1">
    <v>536870912</v>
    <v>Rankovce Municipality</v>
    <v>bb185451-a36a-2e24-d330-576bb2e5bf10</v>
    <v>en-US</v>
    <v>Map</v>
  </rv>
  <rv s="1">
    <v>536870912</v>
    <v>Staro Nagoričane Municipality</v>
    <v>36a70229-634d-da34-10a0-b3b484e6c85f</v>
    <v>en-US</v>
    <v>Map</v>
  </rv>
  <rv s="1">
    <v>536870912</v>
    <v>Bitola Municipality</v>
    <v>27c3d35b-dc09-df20-8f64-98e12919b8de</v>
    <v>en-US</v>
    <v>Map</v>
  </rv>
  <rv s="1">
    <v>536870912</v>
    <v>Demir Hisar Municipality</v>
    <v>a41d7036-44f8-176a-7205-9c9f0f2f0bba</v>
    <v>en-US</v>
    <v>Map</v>
  </rv>
  <rv s="1">
    <v>536870912</v>
    <v>Dolneni Municipality</v>
    <v>0d28f5da-2d90-1f49-ef3e-b8d4fb3634f0</v>
    <v>en-US</v>
    <v>Map</v>
  </rv>
  <rv s="1">
    <v>536870912</v>
    <v>Krivogaštani Municipality</v>
    <v>51a11200-f4df-e9fb-71f8-c3b51bfdb2b9</v>
    <v>en-US</v>
    <v>Map</v>
  </rv>
  <rv s="1">
    <v>536870912</v>
    <v>Kruševo Municipality</v>
    <v>c004d9f6-00dc-2342-3e15-31d51a720b22</v>
    <v>en-US</v>
    <v>Map</v>
  </rv>
  <rv s="1">
    <v>536870912</v>
    <v>Mogila Municipality</v>
    <v>592e41f4-07c7-4922-12e0-ae1f1022e4b4</v>
    <v>en-US</v>
    <v>Map</v>
  </rv>
  <rv s="1">
    <v>536870912</v>
    <v>Novaci Municipality</v>
    <v>e8159a29-0733-eba2-e3c2-a09f786e1d5b</v>
    <v>en-US</v>
    <v>Map</v>
  </rv>
  <rv s="1">
    <v>536870912</v>
    <v>Prilep Municipality</v>
    <v>c89c2cf5-2fd2-4603-96cc-2937dd2859e6</v>
    <v>en-US</v>
    <v>Map</v>
  </rv>
  <rv s="1">
    <v>536870912</v>
    <v>Resen Municipality</v>
    <v>3c0fc9cd-3015-98a1-6bca-c6623d269b22</v>
    <v>en-US</v>
    <v>Map</v>
  </rv>
  <rv s="1">
    <v>536870912</v>
    <v>Bogovinje Municipality</v>
    <v>2a2d65ec-4de8-eca7-a7df-260d981a998a</v>
    <v>en-US</v>
    <v>Map</v>
  </rv>
  <rv s="1">
    <v>536870912</v>
    <v>Jegunovce Municipality</v>
    <v>feee739c-d923-3fc3-c5fc-f3ccc5294f97</v>
    <v>en-US</v>
    <v>Map</v>
  </rv>
  <rv s="1">
    <v>536870912</v>
    <v>Mavrovo i Rostuše Municipality</v>
    <v>de67644e-46ae-d8b3-db89-599e3d3f054b</v>
    <v>en-US</v>
    <v>Map</v>
  </rv>
  <rv s="1">
    <v>536870912</v>
    <v>Tearce Municipality</v>
    <v>dc7491ec-5b41-780e-7cab-0a2c7d85ffa7</v>
    <v>en-US</v>
    <v>Map</v>
  </rv>
  <rv s="1">
    <v>536870912</v>
    <v>Tetovo Municipality</v>
    <v>6df0070f-e1e9-fbfa-1701-c700afa305ef</v>
    <v>en-US</v>
    <v>Map</v>
  </rv>
  <rv s="1">
    <v>536870912</v>
    <v>Vrapčište Municipality</v>
    <v>1cd9dea6-1031-5c60-af29-ea04633e9959</v>
    <v>en-US</v>
    <v>Map</v>
  </rv>
  <rv s="1">
    <v>536870912</v>
    <v>Želino Municipality</v>
    <v>49d0d122-5c4c-8b80-1d21-fb40bbfa22a3</v>
    <v>en-US</v>
    <v>Map</v>
  </rv>
  <rv s="1">
    <v>536870912</v>
    <v>Aerodrom Municipality, Skopje</v>
    <v>9c852cc4-260d-6936-420a-4ae82254a9b2</v>
    <v>en-US</v>
    <v>Map</v>
  </rv>
  <rv s="1">
    <v>536870912</v>
    <v>Aračinovo Municipality</v>
    <v>5251121c-7b06-08bc-8340-3efdf2c62562</v>
    <v>en-US</v>
    <v>Map</v>
  </rv>
  <rv s="1">
    <v>536870912</v>
    <v>Butel Municipality</v>
    <v>4efa6d8e-d15d-3041-de36-5cbfa3537101</v>
    <v>en-US</v>
    <v>Map</v>
  </rv>
  <rv s="1">
    <v>536870912</v>
    <v>Čair Municipality</v>
    <v>e61d1e46-bbd8-2625-1d69-c8563b40059e</v>
    <v>en-US</v>
    <v>Map</v>
  </rv>
  <rv s="1">
    <v>536870912</v>
    <v>Centar Municipality, Skopje</v>
    <v>f35c8631-4bc1-1533-89b2-4871bafbb891</v>
    <v>en-US</v>
    <v>Map</v>
  </rv>
  <rv s="1">
    <v>536870912</v>
    <v>Čučer-Sandevo Municipality</v>
    <v>43e14f47-968d-23e6-64fe-3d11a8211115</v>
    <v>en-US</v>
    <v>Map</v>
  </rv>
  <rv s="1">
    <v>536870912</v>
    <v>Gazi Baba Municipality</v>
    <v>9c038ad7-92e0-ae8d-b40f-7c91b895b680</v>
    <v>en-US</v>
    <v>Map</v>
  </rv>
  <rv s="1">
    <v>536870912</v>
    <v>Gjorče Petrov Municipality</v>
    <v>db06302d-6edc-5867-808d-25cf4a1f3043</v>
    <v>en-US</v>
    <v>Map</v>
  </rv>
  <rv s="1">
    <v>536870912</v>
    <v>Ilinden Municipality</v>
    <v>a93958e6-30bc-91fe-ff72-ed02fa1946ef</v>
    <v>en-US</v>
    <v>Map</v>
  </rv>
  <rv s="1">
    <v>536870912</v>
    <v>Karpoš Municipality</v>
    <v>e46cff7f-88c8-2706-a56d-215901e39ed2</v>
    <v>en-US</v>
    <v>Map</v>
  </rv>
  <rv s="1">
    <v>536870912</v>
    <v>Petrovec Municipality</v>
    <v>c037fe03-c086-fc7a-b01e-eeb0ccc7f418</v>
    <v>en-US</v>
    <v>Map</v>
  </rv>
  <rv s="1">
    <v>536870912</v>
    <v>Sopište Municipality</v>
    <v>c8c5b4e7-5890-7fe3-b397-c70c86ec2840</v>
    <v>en-US</v>
    <v>Map</v>
  </rv>
  <rv s="1">
    <v>536870912</v>
    <v>Studeničani Municipality</v>
    <v>b90a1d2e-08b1-239d-a438-46a4c4c08bc3</v>
    <v>en-US</v>
    <v>Map</v>
  </rv>
  <rv s="1">
    <v>536870912</v>
    <v>Zelenikovo Municipality</v>
    <v>a398c91f-3b23-8e50-bc64-e076be507c4d</v>
    <v>en-US</v>
    <v>Map</v>
  </rv>
  <rv s="1">
    <v>536870912</v>
    <v>Bogdanci Municipality</v>
    <v>cced382b-5a16-0cb5-5bbb-5ae0f6cf6493</v>
    <v>en-US</v>
    <v>Map</v>
  </rv>
  <rv s="1">
    <v>536870912</v>
    <v>Bosilovo Municipality</v>
    <v>f1c85dbb-681d-b7ba-d300-db8357908bd8</v>
    <v>en-US</v>
    <v>Map</v>
  </rv>
  <rv s="1">
    <v>536870912</v>
    <v>Gevgelija Municipality</v>
    <v>186e2049-4195-ee91-6e85-dcafb79dd6e0</v>
    <v>en-US</v>
    <v>Map</v>
  </rv>
  <rv s="1">
    <v>536870912</v>
    <v>Konče Municipality</v>
    <v>64553aeb-1852-9c05-f6fe-30f976c7183d</v>
    <v>en-US</v>
    <v>Map</v>
  </rv>
  <rv s="1">
    <v>536870912</v>
    <v>Novo Selo Municipality</v>
    <v>1002f970-1f8c-2f75-06b3-0a8d4681a488</v>
    <v>en-US</v>
    <v>Map</v>
  </rv>
  <rv s="1">
    <v>536870912</v>
    <v>Radoviš Municipality</v>
    <v>01e028a5-b2c5-d274-4db3-688a501fec23</v>
    <v>en-US</v>
    <v>Map</v>
  </rv>
  <rv s="1">
    <v>536870912</v>
    <v>Dojran Municipality</v>
    <v>b3b89a4d-10e4-e90b-1f8e-b2cbf5a76cd9</v>
    <v>en-US</v>
    <v>Map</v>
  </rv>
  <rv s="1">
    <v>536870912</v>
    <v>Strumica Municipality</v>
    <v>41ab0d5a-54f0-c8c5-f628-41b3476cb286</v>
    <v>en-US</v>
    <v>Map</v>
  </rv>
  <rv s="1">
    <v>536870912</v>
    <v>Valandovo Municipality</v>
    <v>4724c948-53bf-3c27-c67b-3e412c43cd56</v>
    <v>en-US</v>
    <v>Map</v>
  </rv>
  <rv s="1">
    <v>536870912</v>
    <v>Vasilevo Municipality</v>
    <v>36e4c9ad-4e28-1743-d59c-c82238f6a60a</v>
    <v>en-US</v>
    <v>Map</v>
  </rv>
  <rv s="1">
    <v>536870912</v>
    <v>Centar Župa Municipality</v>
    <v>3b6b2cfc-6f17-f5a2-dca3-93ce5159c683</v>
    <v>en-US</v>
    <v>Map</v>
  </rv>
  <rv s="1">
    <v>536870912</v>
    <v>Debar Municipality</v>
    <v>c59e98ec-cd56-7bb3-f492-1eba24190f6c</v>
    <v>en-US</v>
    <v>Map</v>
  </rv>
  <rv s="1">
    <v>536870912</v>
    <v>Debarca Municipality</v>
    <v>789a8249-8d75-5b18-16e3-181518902147</v>
    <v>en-US</v>
    <v>Map</v>
  </rv>
  <rv s="1">
    <v>536870912</v>
    <v>Kičevo Municipality</v>
    <v>9719a08c-3337-9bed-99ac-73590d047381</v>
    <v>en-US</v>
    <v>Map</v>
  </rv>
  <rv s="1">
    <v>536870912</v>
    <v>Makedonski Brod Municipality</v>
    <v>e417c362-75fc-d4ae-d459-1f195777e666</v>
    <v>en-US</v>
    <v>Map</v>
  </rv>
  <rv s="1">
    <v>536870912</v>
    <v>Ohrid Municipality</v>
    <v>683aa773-56ca-f40a-2a52-f70a2761fa3e</v>
    <v>en-US</v>
    <v>Map</v>
  </rv>
  <rv s="1">
    <v>536870912</v>
    <v>Plasnica Municipality</v>
    <v>212db54f-7483-d8ca-ba6d-3562a99adc5d</v>
    <v>en-US</v>
    <v>Map</v>
  </rv>
  <rv s="1">
    <v>536870912</v>
    <v>Struga Municipality</v>
    <v>734cef51-ec28-465d-814b-b344274d9f2e</v>
    <v>en-US</v>
    <v>Map</v>
  </rv>
  <rv s="1">
    <v>536870912</v>
    <v>Vevčani Municipality</v>
    <v>b9d08f31-b5ce-eb86-0039-6c8f095d16bf</v>
    <v>en-US</v>
    <v>Map</v>
  </rv>
  <rv s="1">
    <v>536870912</v>
    <v>Čaška Municipality</v>
    <v>2cbad885-bff9-deff-1dc1-876e0c36abe5</v>
    <v>en-US</v>
    <v>Map</v>
  </rv>
  <rv s="1">
    <v>536870912</v>
    <v>Demir Kapija Municipality</v>
    <v>a529aaec-172c-f2dc-06ad-627ccabb0480</v>
    <v>en-US</v>
    <v>Map</v>
  </rv>
  <rv s="1">
    <v>536870912</v>
    <v>Gradsko Municipality</v>
    <v>dec2bcd2-a40a-7fc1-15a4-e96d2e0efe80</v>
    <v>en-US</v>
    <v>Map</v>
  </rv>
  <rv s="1">
    <v>536870912</v>
    <v>Kavadarci Municipality</v>
    <v>12bd4bae-9dc0-5c68-e4b6-cf8fa3a63e63</v>
    <v>en-US</v>
    <v>Map</v>
  </rv>
  <rv s="1">
    <v>536870912</v>
    <v>Negotino Municipality</v>
    <v>94d39729-0caf-ca91-c40f-55fab8bd6113</v>
    <v>en-US</v>
    <v>Map</v>
  </rv>
  <rv s="1">
    <v>536870912</v>
    <v>Rosoman Municipality</v>
    <v>8749cbd2-37cf-4ce8-27ea-1be5d05b938d</v>
    <v>en-US</v>
    <v>Map</v>
  </rv>
  <rv s="1">
    <v>536870912</v>
    <v>Veles Municipality</v>
    <v>2453451e-b2cb-b4a3-c79f-60c840d4aac9</v>
    <v>en-US</v>
    <v>Map</v>
  </rv>
  <rv s="1">
    <v>536870912</v>
    <v>Gostivar Municipality</v>
    <v>8ed03d69-eae7-53c4-489d-1fb873f823c4</v>
    <v>en-US</v>
    <v>Map</v>
  </rv>
  <rv s="3">
    <v>494</v>
  </rv>
  <rv s="79">
    <v>#VALUE!</v>
    <v>en-US</v>
    <v>d33b7a6b-3c3e-ee43-7793-52058921000a</v>
    <v>536870912</v>
    <v>1</v>
    <v>1114</v>
    <v>1115</v>
    <v>North Macedonia</v>
    <v>5</v>
    <v>6</v>
    <v>Map</v>
    <v>7</v>
    <v>1116</v>
    <v>7004</v>
    <v>7005</v>
    <v>6994</v>
    <v>MKD</v>
    <v>North Macedonia, officially the Republic of North Macedonia, is a landlocked country in Southeast Europe. It shares land borders with Greece to the south, Albania to the west, Bulgaria to the east, Kosovo to the northwest and Serbia to the ...</v>
    <v>7006</v>
    <v>7007</v>
    <v>6994</v>
    <v>7010</v>
    <v>7011</v>
    <v>North Macedonia</v>
    <v>Denes nad Makedonija</v>
    <v>7012</v>
    <v>Δημοκρατία της Βόρειας Μακεδονίας</v>
    <v>7013</v>
    <v>7014</v>
    <v>7091</v>
    <v>193</v>
    <v>North Macedonia</v>
    <v>mdp/vdpid/19618</v>
  </rv>
  <rv s="1">
    <v>536870912</v>
    <v>Oslo</v>
    <v>962ca6d0-04b2-b258-d6d5-ec31f6cc1d83</v>
    <v>en-US</v>
    <v>Map</v>
  </rv>
  <rv s="0">
    <fb>454.12</fb>
    <v>9</v>
  </rv>
  <rv s="1">
    <v>536870912</v>
    <v>Kingdom of Norway (1814)</v>
    <v>3a3bad49-bee8-868e-2ec2-d1d12f66f885</v>
    <v>en-US</v>
    <v>Map</v>
  </rv>
  <rv s="2">
    <v>238</v>
    <v>7</v>
    <v>1117</v>
    <v>7</v>
    <v>0</v>
    <v>Image of Oslo</v>
  </rv>
  <rv s="1">
    <v>805306368</v>
    <v>Marianne Borgen (Mayor)</v>
    <v>5b758cfa-b845-e6a8-a291-e2b3c9a2571d</v>
    <v>en-US</v>
    <v>Generic</v>
  </rv>
  <rv s="3">
    <v>495</v>
  </rv>
  <rv s="4">
    <v>https://www.bing.com/search?q=oslo+norway&amp;form=skydnc</v>
    <v>Learn more on Bing</v>
  </rv>
  <rv s="0">
    <fb>711300</fb>
    <v>9</v>
  </rv>
  <rv s="16">
    <v>#VALUE!</v>
    <v>en-US</v>
    <v>962ca6d0-04b2-b258-d6d5-ec31f6cc1d83</v>
    <v>536870912</v>
    <v>1</v>
    <v>1119</v>
    <v>92</v>
    <v>Oslo</v>
    <v>5</v>
    <v>6</v>
    <v>Map</v>
    <v>7</v>
    <v>111</v>
    <v>NO-03</v>
    <v>7094</v>
    <v>7095</v>
    <v>Oslo Norwegian: or ; Southern Sami: Oslove) is the capital and most populous city of Norway. It constitutes both a county and a municipality. The municipality of Oslo had a population of 709,037 in 2022, while the city's greater urban area had a ...</v>
    <v>7096</v>
    <v>7098</v>
    <v>7099</v>
    <v>Oslo</v>
    <v>7100</v>
    <v>193</v>
    <v>Oslo</v>
    <v>mdp/vdpid/6997386894287831041</v>
  </rv>
  <rv s="1">
    <v>536870912</v>
    <v>Muscat</v>
    <v>94c369e9-23a3-9c59-e2c3-e9026f64b420</v>
    <v>en-US</v>
    <v>Map</v>
  </rv>
  <rv s="1">
    <v>536870912</v>
    <v>Muscat Governorate</v>
    <v>475dad8b-c55b-0f3f-8c26-cdcd1678c422</v>
    <v>en-US</v>
    <v>Map</v>
  </rv>
  <rv s="1">
    <v>536870912</v>
    <v>Oman</v>
    <v>80c2f3b5-3d4f-9573-2b4d-e73c7d67832b</v>
    <v>en-US</v>
    <v>Map</v>
  </rv>
  <rv s="2">
    <v>239</v>
    <v>7</v>
    <v>1120</v>
    <v>7</v>
    <v>0</v>
    <v>Image of Muscat</v>
  </rv>
  <rv s="0">
    <fb>23.613888888889001</fb>
    <v>0</v>
  </rv>
  <rv s="1">
    <v>805306368</v>
    <v>Haitham bin Tariq (Sultan)</v>
    <v>4f5b3bed-c30a-409f-c9c8-4d18c5b69aee</v>
    <v>en-US</v>
    <v>Generic</v>
  </rv>
  <rv s="3">
    <v>496</v>
  </rv>
  <rv s="4">
    <v>https://www.bing.com/search?q=muscat+oman&amp;form=skydnc</v>
    <v>Learn more on Bing</v>
  </rv>
  <rv s="0">
    <fb>58.592222222221999</fb>
    <v>0</v>
  </rv>
  <rv s="0">
    <fb>31409</fb>
    <v>9</v>
  </rv>
  <rv s="7">
    <v>#VALUE!</v>
    <v>en-US</v>
    <v>94c369e9-23a3-9c59-e2c3-e9026f64b420</v>
    <v>536870912</v>
    <v>1</v>
    <v>1121</v>
    <v>38</v>
    <v>Muscat</v>
    <v>5</v>
    <v>6</v>
    <v>Map</v>
    <v>7</v>
    <v>111</v>
    <v>7103</v>
    <v>2545</v>
    <v>7104</v>
    <v>Muscat is the capital and most populous city in Oman. It is the seat of the Governorate of Muscat. According to the National Centre for Statistics and Information, the population of the Muscat Governorate in 2022 was 1.72 million. The ...</v>
    <v>7105</v>
    <v>7106</v>
    <v>7108</v>
    <v>7109</v>
    <v>7110</v>
    <v>Muscat</v>
    <v>7111</v>
    <v>554</v>
    <v>Muscat</v>
    <v>mdp/vdpid/7382990837061255169</v>
  </rv>
  <rv s="0">
    <fb>4.6397415185783497E-2</fb>
    <v>28</v>
  </rv>
  <rv s="0">
    <fb>309500</fb>
    <v>9</v>
  </rv>
  <rv s="0">
    <fb>47000</fb>
    <v>9</v>
  </rv>
  <rv s="0">
    <fb>19.189</fb>
    <v>29</v>
  </rv>
  <rv s="0">
    <fb>968</fb>
    <v>30</v>
  </rv>
  <rv s="0">
    <fb>63457.434999999998</fb>
    <v>9</v>
  </rv>
  <rv s="0">
    <fb>113.52928579077</fb>
    <v>31</v>
  </rv>
  <rv s="0">
    <fb>1.3379505745318198E-3</fb>
    <v>28</v>
  </rv>
  <rv s="0">
    <fb>6445.5734171620397</fb>
    <v>9</v>
  </rv>
  <rv s="0">
    <fb>2.8879999999999999</fb>
    <v>29</v>
  </rv>
  <rv s="0">
    <fb>6.4620355411954791E-5</fb>
    <v>28</v>
  </rv>
  <rv s="0">
    <fb>99.963168651852996</fb>
    <v>34</v>
  </rv>
  <rv s="0">
    <fb>76983094928.4785</fb>
    <v>33</v>
  </rv>
  <rv s="0">
    <fb>1.0339206000000001</fb>
    <v>28</v>
  </rv>
  <rv s="0">
    <fb>0.38036209999999998</fb>
    <v>28</v>
  </rv>
  <rv s="2">
    <v>240</v>
    <v>7</v>
    <v>1123</v>
    <v>7</v>
    <v>0</v>
    <v>Image of Oman</v>
  </rv>
  <rv s="4">
    <v>https://www.bing.com/search?q=oman&amp;form=skydnc</v>
    <v>Learn more on Bing</v>
  </rv>
  <rv s="0">
    <fb>77.632999999999996</fb>
    <v>34</v>
  </rv>
  <rv s="0">
    <fb>17119480000</fb>
    <v>33</v>
  </rv>
  <rv s="0">
    <fb>4.33</fb>
    <v>32</v>
  </rv>
  <rv s="0">
    <fb>6.3663297800000004E-2</fb>
    <v>28</v>
  </rv>
  <rv s="0">
    <fb>2.0030999999999999</fb>
    <v>29</v>
  </rv>
  <rv s="0">
    <fb>4576298</fb>
    <v>9</v>
  </rv>
  <rv s="0">
    <fb>0.72369003295898393</fb>
    <v>28</v>
  </rv>
  <rv s="1">
    <v>536870912</v>
    <v>Ad Dakhiliyah Governorate</v>
    <v>507aca11-2bcf-7637-0d56-a19fddc08b60</v>
    <v>en-US</v>
    <v>Map</v>
  </rv>
  <rv s="1">
    <v>536870912</v>
    <v>Al Dhahirah Governorate</v>
    <v>a981bed9-9e09-b441-6ed1-45b40fd2c43b</v>
    <v>en-US</v>
    <v>Map</v>
  </rv>
  <rv s="1">
    <v>536870912</v>
    <v>Al Batinah North Governorate</v>
    <v>c3841398-bbf3-c711-4598-d86e986af0d8</v>
    <v>en-US</v>
    <v>Map</v>
  </rv>
  <rv s="1">
    <v>536870912</v>
    <v>Al Batinah South Governorate</v>
    <v>daa3b674-1912-4b3e-f69c-de4f0cd993cd</v>
    <v>en-US</v>
    <v>Map</v>
  </rv>
  <rv s="1">
    <v>536870912</v>
    <v>Al Buraimi Governorate</v>
    <v>134b6720-8e35-94fa-1147-7c4a8204beba</v>
    <v>en-US</v>
    <v>Map</v>
  </rv>
  <rv s="1">
    <v>536870912</v>
    <v>Al Wusta Governorate</v>
    <v>89c825f1-a648-e985-ffc1-79b78cd83d1f</v>
    <v>en-US</v>
    <v>Map</v>
  </rv>
  <rv s="1">
    <v>536870912</v>
    <v>Ash Sharqiyah North Governorate</v>
    <v>26562e12-b4c9-6003-fee2-a918264dfdd4</v>
    <v>en-US</v>
    <v>Map</v>
  </rv>
  <rv s="1">
    <v>536870912</v>
    <v>Ash Sharqiyah South Governorate</v>
    <v>313d2755-e186-571e-c85f-b9d13b19e01b</v>
    <v>en-US</v>
    <v>Map</v>
  </rv>
  <rv s="1">
    <v>536870912</v>
    <v>Dhofar Governorate</v>
    <v>ea26f1ab-d429-67da-185a-a1a2406ab507</v>
    <v>en-US</v>
    <v>Map</v>
  </rv>
  <rv s="1">
    <v>536870912</v>
    <v>Musandam Governorate</v>
    <v>93ebe90c-9d4c-44bf-3df0-0fad831f3acd</v>
    <v>en-US</v>
    <v>Map</v>
  </rv>
  <rv s="3">
    <v>497</v>
  </rv>
  <rv s="0">
    <fb>2.5237216657880902E-2</fb>
    <v>28</v>
  </rv>
  <rv s="0">
    <fb>0.27399999999999997</fb>
    <v>28</v>
  </rv>
  <rv s="0">
    <fb>2.6710000038147001E-2</fb>
    <v>35</v>
  </rv>
  <rv s="0">
    <fb>4250777</fb>
    <v>9</v>
  </rv>
  <rv s="62">
    <v>#VALUE!</v>
    <v>en-US</v>
    <v>80c2f3b5-3d4f-9573-2b4d-e73c7d67832b</v>
    <v>536870912</v>
    <v>1</v>
    <v>1126</v>
    <v>791</v>
    <v>Oman</v>
    <v>5</v>
    <v>6</v>
    <v>Map</v>
    <v>7</v>
    <v>1127</v>
    <v>OM</v>
    <v>7113</v>
    <v>7114</v>
    <v>7115</v>
    <v>7116</v>
    <v>7117</v>
    <v>7102</v>
    <v>7118</v>
    <v>7119</v>
    <v>7120</v>
    <v>OMR</v>
    <v>Oman, officially the Sultanate of Oman, is a country on the southeastern coast of the Arabian Peninsula in West Asia. It shares land borders with Saudi Arabia, the United Arab Emirates, and Yemen. The capital and largest city is Muscat. Oman has ...</v>
    <v>7121</v>
    <v>7122</v>
    <v>7123</v>
    <v>7124</v>
    <v>5633</v>
    <v>7125</v>
    <v>7126</v>
    <v>7127</v>
    <v>7128</v>
    <v>1595</v>
    <v>7102</v>
    <v>7108</v>
    <v>7129</v>
    <v>7130</v>
    <v>7131</v>
    <v>6158</v>
    <v>7132</v>
    <v>Oman</v>
    <v>As-Salam as-Sultani</v>
    <v>3133</v>
    <v>سلطنة عُمان</v>
    <v>7133</v>
    <v>7134</v>
    <v>7135</v>
    <v>7136</v>
    <v>7147</v>
    <v>7148</v>
    <v>554</v>
    <v>7149</v>
    <v>7150</v>
    <v>Oman</v>
    <v>7151</v>
    <v>mdp/vdpid/164</v>
  </rv>
  <rv s="1">
    <v>536870912</v>
    <v>Islamabad</v>
    <v>7d6db4a7-d08a-aa85-d6ce-6cb15b346bdf</v>
    <v>en-US</v>
    <v>Map</v>
  </rv>
  <rv s="1">
    <v>536870912</v>
    <v>Islamabad Capital Territory</v>
    <v>70c2750b-d15b-bbdc-9a7c-b361fbe14a63</v>
    <v>en-US</v>
    <v>Map</v>
  </rv>
  <rv s="0">
    <fb>906</fb>
    <v>9</v>
  </rv>
  <rv s="1">
    <v>536870912</v>
    <v>Pakistan</v>
    <v>69cd8ccc-adba-8eeb-a48e-3e7229e9666c</v>
    <v>en-US</v>
    <v>Map</v>
  </rv>
  <rv s="2">
    <v>241</v>
    <v>7</v>
    <v>1128</v>
    <v>7</v>
    <v>0</v>
    <v>Image of Islamabad</v>
  </rv>
  <rv s="4">
    <v>https://www.bing.com/search?q=islamabad&amp;form=skydnc</v>
    <v>Learn more on Bing</v>
  </rv>
  <rv s="0">
    <fb>1108872</fb>
    <v>9</v>
  </rv>
  <rv s="3">
    <v>498</v>
  </rv>
  <rv s="17">
    <v>#VALUE!</v>
    <v>en-US</v>
    <v>7d6db4a7-d08a-aa85-d6ce-6cb15b346bdf</v>
    <v>536870912</v>
    <v>1</v>
    <v>1129</v>
    <v>110</v>
    <v>Islamabad</v>
    <v>5</v>
    <v>6</v>
    <v>Map</v>
    <v>7</v>
    <v>111</v>
    <v>7154</v>
    <v>7155</v>
    <v>7156</v>
    <v>Islamabad is the capital city of Pakistan. It is the country's tenth-most populous city with a population of 1,108,872 people and is federally administered by the Pakistani government as part of the Islamabad Capital Territory. Built as a ...</v>
    <v>7157</v>
    <v>30</v>
    <v>7158</v>
    <v>31</v>
    <v>Islamabad</v>
    <v>7159</v>
    <v>7160</v>
    <v>Islamabad</v>
    <v>mdp/vdpid/7404668573685121025</v>
  </rv>
  <rv s="0">
    <fb>0.47794728102947304</fb>
    <v>28</v>
  </rv>
  <rv s="0">
    <fb>881913</fb>
    <v>9</v>
  </rv>
  <rv s="0">
    <fb>936000</fb>
    <v>9</v>
  </rv>
  <rv s="0">
    <fb>28.25</fb>
    <v>29</v>
  </rv>
  <rv s="0">
    <fb>92</fb>
    <v>30</v>
  </rv>
  <rv s="0">
    <fb>201149.61799999999</fb>
    <v>9</v>
  </rv>
  <rv s="0">
    <fb>182.32038637269201</fb>
    <v>31</v>
  </rv>
  <rv s="0">
    <fb>0.105780304680861</fb>
    <v>28</v>
  </rv>
  <rv s="0">
    <fb>447.50100258913102</fb>
    <v>9</v>
  </rv>
  <rv s="0">
    <fb>3.51</fb>
    <v>29</v>
  </rv>
  <rv s="0">
    <fb>1.8537256122872599E-2</fb>
    <v>28</v>
  </rv>
  <rv s="0">
    <fb>61.585361451111801</fb>
    <v>34</v>
  </rv>
  <rv s="0">
    <fb>304400000000</fb>
    <v>33</v>
  </rv>
  <rv s="0">
    <fb>0.94328199999999995</fb>
    <v>28</v>
  </rv>
  <rv s="0">
    <fb>8.9584200000000003E-2</fb>
    <v>28</v>
  </rv>
  <rv s="2">
    <v>242</v>
    <v>7</v>
    <v>1131</v>
    <v>7</v>
    <v>0</v>
    <v>Image of Pakistan</v>
  </rv>
  <rv s="0">
    <fb>57.2</fb>
    <v>34</v>
  </rv>
  <rv s="1">
    <v>536870912</v>
    <v>Karachi</v>
    <v>8868147b-7b38-6de8-cdbe-567b934b7f8f</v>
    <v>en-US</v>
    <v>Map</v>
  </rv>
  <rv s="1">
    <v>805306368</v>
    <v>Asif Ali Zardari (President)</v>
    <v>df329bc3-92e8-3cf5-5f08-1607a3fed39a</v>
    <v>en-US</v>
    <v>Generic</v>
  </rv>
  <rv s="1">
    <v>805306368</v>
    <v>Shehbaz Sharif (Prime minister)</v>
    <v>ff9ce646-2a0f-edb8-dc17-d145d13164e5</v>
    <v>en-US</v>
    <v>Generic</v>
  </rv>
  <rv s="1">
    <v>805306368</v>
    <v>Yahya Afridi (Chief justice)</v>
    <v>d5886313-5abd-18db-8e8a-44abf5b09ff5</v>
    <v>en-US</v>
    <v>Generic</v>
  </rv>
  <rv s="3">
    <v>499</v>
  </rv>
  <rv s="4">
    <v>https://www.bing.com/search?q=pakistan&amp;form=skydnc</v>
    <v>Learn more on Bing</v>
  </rv>
  <rv s="0">
    <fb>67.114000000000004</fb>
    <v>34</v>
  </rv>
  <rv s="0">
    <fb>91863740000</fb>
    <v>33</v>
  </rv>
  <rv s="0">
    <fb>140</fb>
    <v>34</v>
  </rv>
  <rv s="0">
    <fb>0.69</fb>
    <v>32</v>
  </rv>
  <rv s="3">
    <v>500</v>
  </rv>
  <rv s="0">
    <fb>0.66485154850000006</fb>
    <v>28</v>
  </rv>
  <rv s="0">
    <fb>0.98009999999999997</fb>
    <v>29</v>
  </rv>
  <rv s="0">
    <fb>235824862</fb>
    <v>9</v>
  </rv>
  <rv s="0">
    <fb>0.28899999999999998</fb>
    <v>28</v>
  </rv>
  <rv s="0">
    <fb>0.156</fb>
    <v>28</v>
  </rv>
  <rv s="0">
    <fb>0.52573001861572299</fb>
    <v>28</v>
  </rv>
  <rv s="1">
    <v>536870912</v>
    <v>Balochistan, Pakistan</v>
    <v>733099a6-8f86-3bae-4e33-98665caeb458</v>
    <v>en-US</v>
    <v>Map</v>
  </rv>
  <rv s="1">
    <v>536870912</v>
    <v>Khyber Pakhtunkhwa</v>
    <v>2dd079f9-a4d7-b9c3-14aa-dabebc56c591</v>
    <v>en-US</v>
    <v>Map</v>
  </rv>
  <rv s="1">
    <v>536870912</v>
    <v>Punjab, Pakistan</v>
    <v>eaa769c5-d61b-fc82-0dfe-db1696c1a676</v>
    <v>en-US</v>
    <v>Map</v>
  </rv>
  <rv s="1">
    <v>536870912</v>
    <v>Sindh</v>
    <v>bf0a27ee-81c5-5e2b-6404-af7d886475be</v>
    <v>en-US</v>
    <v>Map</v>
  </rv>
  <rv s="1">
    <v>536870912</v>
    <v>Gilgit-Baltistan</v>
    <v>3eb3f6b8-31d3-1e23-5d0f-a767a6a8102a</v>
    <v>en-US</v>
    <v>Map</v>
  </rv>
  <rv s="1">
    <v>536870912</v>
    <v>Azad Kashmir</v>
    <v>5eb14a38-253f-8bea-4327-9023007fb366</v>
    <v>en-US</v>
    <v>Map</v>
  </rv>
  <rv s="3">
    <v>501</v>
  </rv>
  <rv s="0">
    <fb>9.1886767882585402E-2</fb>
    <v>28</v>
  </rv>
  <rv s="0">
    <fb>0.33899999999999997</fb>
    <v>28</v>
  </rv>
  <rv s="0">
    <fb>4.4530000686645498E-2</fb>
    <v>35</v>
  </rv>
  <rv s="0">
    <fb>79927762</fb>
    <v>9</v>
  </rv>
  <rv s="9">
    <v>#VALUE!</v>
    <v>en-US</v>
    <v>69cd8ccc-adba-8eeb-a48e-3e7229e9666c</v>
    <v>536870912</v>
    <v>1</v>
    <v>1135</v>
    <v>55</v>
    <v>Pakistan</v>
    <v>5</v>
    <v>6</v>
    <v>Map</v>
    <v>7</v>
    <v>1136</v>
    <v>PK</v>
    <v>7162</v>
    <v>7163</v>
    <v>7164</v>
    <v>7165</v>
    <v>7166</v>
    <v>7153</v>
    <v>7167</v>
    <v>7168</v>
    <v>7169</v>
    <v>PKR</v>
    <v>Pakistan, officially the Islamic Republic of Pakistan, is a country in South Asia. It is the fifth-most populous country, with a population of over 241.5 million, having the second-largest Muslim population as of 2023. Islamabad is the nation's ...</v>
    <v>7170</v>
    <v>7171</v>
    <v>7172</v>
    <v>7173</v>
    <v>4061</v>
    <v>7174</v>
    <v>7175</v>
    <v>7176</v>
    <v>7177</v>
    <v>7178</v>
    <v>7179</v>
    <v>7183</v>
    <v>7184</v>
    <v>7185</v>
    <v>7186</v>
    <v>7187</v>
    <v>7188</v>
    <v>Pakistan</v>
    <v>Qaumi Taranah</v>
    <v>7189</v>
    <v>اسلامی جمہوریہ پاكستان</v>
    <v>7190</v>
    <v>7191</v>
    <v>7192</v>
    <v>2659</v>
    <v>7193</v>
    <v>5265</v>
    <v>1472</v>
    <v>5206</v>
    <v>589</v>
    <v>7194</v>
    <v>7195</v>
    <v>7202</v>
    <v>7203</v>
    <v>5679</v>
    <v>7204</v>
    <v>7205</v>
    <v>Pakistan</v>
    <v>7206</v>
    <v>mdp/vdpid/190</v>
  </rv>
  <rv s="1">
    <v>536870912</v>
    <v>Ngerulmud</v>
    <v>1b0f0d49-6d48-6ead-6b14-57454977d1a5</v>
    <v>en-US</v>
    <v>Map</v>
  </rv>
  <rv s="0">
    <fb>28</fb>
    <v>9</v>
  </rv>
  <rv s="1">
    <v>536870912</v>
    <v>Palau</v>
    <v>bdd5951c-45b5-1e5c-07ce-c7057eb017a9</v>
    <v>en-US</v>
    <v>Map</v>
  </rv>
  <rv s="2">
    <v>243</v>
    <v>7</v>
    <v>1138</v>
    <v>7</v>
    <v>0</v>
    <v>Image of Ngerulmud</v>
  </rv>
  <rv s="0">
    <fb>7.5005559999999996</fb>
    <v>0</v>
  </rv>
  <rv s="4">
    <v>https://www.bing.com/search?q=ngerulmud&amp;form=skydnc</v>
    <v>Learn more on Bing</v>
  </rv>
  <rv s="0">
    <fb>134.624167</fb>
    <v>0</v>
  </rv>
  <rv s="80">
    <v>#VALUE!</v>
    <v>en-US</v>
    <v>1b0f0d49-6d48-6ead-6b14-57454977d1a5</v>
    <v>536870912</v>
    <v>1</v>
    <v>1139</v>
    <v>1140</v>
    <v>Ngerulmud</v>
    <v>5</v>
    <v>6</v>
    <v>Map</v>
    <v>7</v>
    <v>1141</v>
    <v>7209</v>
    <v>7210</v>
    <v>Ngerulmud is the seat of government of the Republic of Palau, an island nation in the Pacific Ocean. It replaced Koror City as a capital in 2006. The settlement is located in the state of Melekeok on Babeldaob, the country's largest island, ...</v>
    <v>7211</v>
    <v>7212</v>
    <v>7213</v>
    <v>7214</v>
    <v>Ngerulmud</v>
    <v>Ngerulmud</v>
    <v>mdp/vdpid/7921522665074982913</v>
  </rv>
  <rv s="0">
    <fb>0.108695652173913</fb>
    <v>28</v>
  </rv>
  <rv s="0">
    <fb>465.55036200000001</fb>
    <v>9</v>
  </rv>
  <rv s="0">
    <fb>680</fb>
    <v>30</v>
  </rv>
  <rv s="0">
    <fb>223.68700000000001</fb>
    <v>9</v>
  </rv>
  <rv s="0">
    <fb>118.168674698795</fb>
    <v>31</v>
  </rv>
  <rv s="0">
    <fb>1.2804626187525701E-2</fb>
    <v>28</v>
  </rv>
  <rv s="0">
    <fb>2.21</fb>
    <v>29</v>
  </rv>
  <rv s="0">
    <fb>0.8760869399360981</fb>
    <v>28</v>
  </rv>
  <rv s="0">
    <fb>283994900</fb>
    <v>33</v>
  </rv>
  <rv s="0">
    <fb>1.1256868</fb>
    <v>28</v>
  </rv>
  <rv s="0">
    <fb>0.54689480000000001</fb>
    <v>28</v>
  </rv>
  <rv s="2">
    <v>244</v>
    <v>7</v>
    <v>1143</v>
    <v>7</v>
    <v>0</v>
    <v>Image of Palau</v>
  </rv>
  <rv s="0">
    <fb>16.600000000000001</fb>
    <v>34</v>
  </rv>
  <rv s="1">
    <v>536870912</v>
    <v>Koror</v>
    <v>e3fed476-5f6a-e1fe-c721-822fbedcc174</v>
    <v>en-US</v>
    <v>Map</v>
  </rv>
  <rv s="1">
    <v>805306368</v>
    <v>Surangel Whipps Jr. (President)</v>
    <v>8f495fe7-fd6e-61ef-3209-9c89646a6257</v>
    <v>en-US</v>
    <v>Generic</v>
  </rv>
  <rv s="1">
    <v>805306368</v>
    <v>Raynold Oilouch (Vice president)</v>
    <v>d634f6c5-6867-4a12-c28d-3fb85558cb7e</v>
    <v>en-US</v>
    <v>Generic</v>
  </rv>
  <rv s="3">
    <v>502</v>
  </rv>
  <rv s="4">
    <v>https://www.bing.com/search?q=palau&amp;form=skydnc</v>
    <v>Learn more on Bing</v>
  </rv>
  <rv s="0">
    <fb>69.129268292682895</fb>
    <v>34</v>
  </rv>
  <rv s="0">
    <fb>3</fb>
    <v>32</v>
  </rv>
  <rv s="3">
    <v>503</v>
  </rv>
  <rv s="0">
    <fb>0.21784187630000001</fb>
    <v>28</v>
  </rv>
  <rv s="0">
    <fb>1.1848000000000001</fb>
    <v>29</v>
  </rv>
  <rv s="0">
    <fb>18055</fb>
    <v>9</v>
  </rv>
  <rv s="1">
    <v>536870912</v>
    <v>Aimeliik</v>
    <v>3a320b91-4aa6-377a-e675-3c4951370e9d</v>
    <v>en-US</v>
    <v>Map</v>
  </rv>
  <rv s="1">
    <v>536870912</v>
    <v>Airai</v>
    <v>62bf24e4-356a-aa8c-b60f-d4389ad17018</v>
    <v>en-US</v>
    <v>Map</v>
  </rv>
  <rv s="1">
    <v>536870912</v>
    <v>Angaur</v>
    <v>e8240fff-ab24-c626-c973-2d43a065b5e0</v>
    <v>en-US</v>
    <v>Map</v>
  </rv>
  <rv s="1">
    <v>536870912</v>
    <v>Hatohobei</v>
    <v>467a6060-0739-407a-9909-2bee13e3dc82</v>
    <v>en-US</v>
    <v>Map</v>
  </rv>
  <rv s="1">
    <v>536870912</v>
    <v>Kayangel</v>
    <v>2f51a901-f47f-118e-ef69-5785cc675276</v>
    <v>en-US</v>
    <v>Map</v>
  </rv>
  <rv s="1">
    <v>536870912</v>
    <v>Melekeok</v>
    <v>f419162d-95ed-0b7b-ad14-e118723c6b78</v>
    <v>en-US</v>
    <v>Map</v>
  </rv>
  <rv s="1">
    <v>536870912</v>
    <v>Ngaraard</v>
    <v>a5dbd89f-0ddb-3c5f-0cb4-e031e15785bf</v>
    <v>en-US</v>
    <v>Map</v>
  </rv>
  <rv s="1">
    <v>536870912</v>
    <v>Ngarchelong</v>
    <v>e83a54d9-2b9a-54af-b881-c58a8f8cb756</v>
    <v>en-US</v>
    <v>Map</v>
  </rv>
  <rv s="1">
    <v>536870912</v>
    <v>Ngardmau</v>
    <v>bd7d8323-2d6e-46c9-6913-dcec933dd3bb</v>
    <v>en-US</v>
    <v>Map</v>
  </rv>
  <rv s="1">
    <v>536870912</v>
    <v>Ngeremlengui</v>
    <v>87251f8d-eb9b-fd35-5296-1c19ea9cbfce</v>
    <v>en-US</v>
    <v>Map</v>
  </rv>
  <rv s="1">
    <v>536870912</v>
    <v>Ngatpang</v>
    <v>05f22602-2837-2ad7-fdcc-ca68271f11e1</v>
    <v>en-US</v>
    <v>Map</v>
  </rv>
  <rv s="1">
    <v>536870912</v>
    <v>Ngchesar</v>
    <v>97456723-7180-d1e6-f30e-e63984a8faa6</v>
    <v>en-US</v>
    <v>Map</v>
  </rv>
  <rv s="1">
    <v>536870912</v>
    <v>Ngiwal</v>
    <v>39ad3437-5ec4-147d-ea20-a73d964666d6</v>
    <v>en-US</v>
    <v>Map</v>
  </rv>
  <rv s="1">
    <v>536870912</v>
    <v>Peleliu</v>
    <v>ce68991b-cc9c-4272-ee78-35ae99b1ba80</v>
    <v>en-US</v>
    <v>Map</v>
  </rv>
  <rv s="1">
    <v>536870912</v>
    <v>Sonsorol</v>
    <v>2d81a705-2ad9-7009-5cb0-da7d0388ca9f</v>
    <v>en-US</v>
    <v>Map</v>
  </rv>
  <rv s="3">
    <v>504</v>
  </rv>
  <rv s="0">
    <fb>0.21290040431093299</fb>
    <v>28</v>
  </rv>
  <rv s="3">
    <v>505</v>
  </rv>
  <rv s="0">
    <fb>0.7659999999999999</fb>
    <v>28</v>
  </rv>
  <rv s="0">
    <fb>14491</fb>
    <v>9</v>
  </rv>
  <rv s="43">
    <v>#VALUE!</v>
    <v>en-US</v>
    <v>bdd5951c-45b5-1e5c-07ce-c7057eb017a9</v>
    <v>536870912</v>
    <v>1</v>
    <v>1146</v>
    <v>459</v>
    <v>Palau</v>
    <v>5</v>
    <v>6</v>
    <v>Map</v>
    <v>7</v>
    <v>1147</v>
    <v>PW</v>
    <v>7216</v>
    <v>7217</v>
    <v>698</v>
    <v>7218</v>
    <v>7208</v>
    <v>7219</v>
    <v>7220</v>
    <v>7221</v>
    <v>USD</v>
    <v>Palau, officially the Republic of Palau, is an island country in the Micronesia subregion of Oceania in the western Pacific Ocean. The Republic of Palau consists of approximately 340 islands and is the western part of the Caroline Islands, while ...</v>
    <v>7222</v>
    <v>7223</v>
    <v>434</v>
    <v>7224</v>
    <v>7225</v>
    <v>7226</v>
    <v>7227</v>
    <v>7228</v>
    <v>7229</v>
    <v>7232</v>
    <v>7233</v>
    <v>7234</v>
    <v>7235</v>
    <v>Palau</v>
    <v>Belau rekid</v>
    <v>7236</v>
    <v>Palau</v>
    <v>7237</v>
    <v>7238</v>
    <v>7239</v>
    <v>7255</v>
    <v>7256</v>
    <v>7257</v>
    <v>7258</v>
    <v>Palau</v>
    <v>7259</v>
    <v>mdp/vdpid/195</v>
  </rv>
  <rv s="1">
    <v>536870912</v>
    <v>Panama City</v>
    <v>19964a6e-18be-b7ab-2d10-ea83677d0218</v>
    <v>en-US</v>
    <v>Map</v>
  </rv>
  <rv s="1">
    <v>536870912</v>
    <v>Panamá Province</v>
    <v>a90e5d63-7677-0644-50c7-f2bdfff82d78</v>
    <v>en-US</v>
    <v>Map</v>
  </rv>
  <rv s="1">
    <v>536870912</v>
    <v>Panamá District</v>
    <v>98569ac0-96a7-9a82-4c37-17794e766f61</v>
    <v>en-US</v>
    <v>Map</v>
  </rv>
  <rv s="1">
    <v>536870912</v>
    <v>Panama</v>
    <v>8c0fb36e-1238-e873-e015-712d1f496676</v>
    <v>en-US</v>
    <v>Map</v>
  </rv>
  <rv s="2">
    <v>245</v>
    <v>7</v>
    <v>1148</v>
    <v>7</v>
    <v>0</v>
    <v>Image of Panama City</v>
  </rv>
  <rv s="0">
    <fb>9</fb>
    <v>0</v>
  </rv>
  <rv s="1">
    <v>805306368</v>
    <v>José Luis Fábrega (Mayor)</v>
    <v>39966211-1faa-383e-1c50-51c90b884763</v>
    <v>en-US</v>
    <v>Generic</v>
  </rv>
  <rv s="3">
    <v>506</v>
  </rv>
  <rv s="4">
    <v>https://www.bing.com/search?q=panama+city+panama&amp;form=skydnc</v>
    <v>Learn more on Bing</v>
  </rv>
  <rv s="0">
    <fb>-79.5</fb>
    <v>0</v>
  </rv>
  <rv s="0">
    <fb>880691</fb>
    <v>9</v>
  </rv>
  <rv s="23">
    <v>#VALUE!</v>
    <v>en-US</v>
    <v>19964a6e-18be-b7ab-2d10-ea83677d0218</v>
    <v>536870912</v>
    <v>1</v>
    <v>1149</v>
    <v>179</v>
    <v>Panama City</v>
    <v>5</v>
    <v>6</v>
    <v>Map</v>
    <v>7</v>
    <v>190</v>
    <v>7262</v>
    <v>7263</v>
    <v>49</v>
    <v>7264</v>
    <v>Panama City, also known as Panama, is the capital and largest city of Panama. It has a total population of 1,938,000, with over 1,500,000 in its urban area. The city is located at the Pacific entrance of the Panama Canal, in the province of ...</v>
    <v>7265</v>
    <v>7266</v>
    <v>7268</v>
    <v>7269</v>
    <v>7270</v>
    <v>Panama City</v>
    <v>7271</v>
    <v>Panama City</v>
    <v>mdp/vdpid/5569791685866553345</v>
  </rv>
  <rv s="0">
    <fb>0.30360505784234598</fb>
    <v>28</v>
  </rv>
  <rv s="0">
    <fb>74177.3</fb>
    <v>9</v>
  </rv>
  <rv s="0">
    <fb>18.975999999999999</fb>
    <v>29</v>
  </rv>
  <rv s="0">
    <fb>507</fb>
    <v>30</v>
  </rv>
  <rv s="0">
    <fb>10714.974</fb>
    <v>9</v>
  </rv>
  <rv s="0">
    <fb>122.06871337877099</fb>
    <v>31</v>
  </rv>
  <rv s="0">
    <fb>-3.55083821021212E-3</fb>
    <v>28</v>
  </rv>
  <rv s="0">
    <fb>2064.1757971350698</fb>
    <v>9</v>
  </rv>
  <rv s="0">
    <fb>2.4609999999999999</fb>
    <v>29</v>
  </rv>
  <rv s="0">
    <fb>0.61885930826691504</fb>
    <v>28</v>
  </rv>
  <rv s="0">
    <fb>80.712661963503095</fb>
    <v>34</v>
  </rv>
  <rv s="0">
    <fb>0.74</fb>
    <v>32</v>
  </rv>
  <rv s="0">
    <fb>66800800000</fb>
    <v>33</v>
  </rv>
  <rv s="0">
    <fb>0.94385990000000008</fb>
    <v>28</v>
  </rv>
  <rv s="0">
    <fb>0.47799360000000002</fb>
    <v>28</v>
  </rv>
  <rv s="2">
    <v>246</v>
    <v>7</v>
    <v>1151</v>
    <v>7</v>
    <v>0</v>
    <v>Image of Panama</v>
  </rv>
  <rv s="0">
    <fb>13.1</fb>
    <v>34</v>
  </rv>
  <rv s="1">
    <v>805306368</v>
    <v>José Raúl Mulino (President)</v>
    <v>77ed199e-c1d8-4ec9-69f1-040f34156d7c</v>
    <v>en-US</v>
    <v>Generic</v>
  </rv>
  <rv s="3">
    <v>507</v>
  </rv>
  <rv s="4">
    <v>https://www.bing.com/search?q=panama&amp;form=skydnc</v>
    <v>Learn more on Bing</v>
  </rv>
  <rv s="0">
    <fb>78.328999999999994</fb>
    <v>34</v>
  </rv>
  <rv s="0">
    <fb>16841000000</fb>
    <v>33</v>
  </rv>
  <rv s="0">
    <fb>52</fb>
    <v>34</v>
  </rv>
  <rv s="3">
    <v>508</v>
  </rv>
  <rv s="0">
    <fb>0.30522739929999998</fb>
    <v>28</v>
  </rv>
  <rv s="0">
    <fb>1.5687</fb>
    <v>29</v>
  </rv>
  <rv s="0">
    <fb>4408581</fb>
    <v>9</v>
  </rv>
  <rv s="0">
    <fb>0.371</fb>
    <v>28</v>
  </rv>
  <rv s="0">
    <fb>3.6000000000000004E-2</fb>
    <v>28</v>
  </rv>
  <rv s="0">
    <fb>0.66588996887207008</fb>
    <v>28</v>
  </rv>
  <rv s="1">
    <v>536870912</v>
    <v>Emberá-Wounaan Comarca</v>
    <v>f56655f7-6539-11d2-61b2-e9edef2ff376</v>
    <v>en-US</v>
    <v>Map</v>
  </rv>
  <rv s="1">
    <v>536870912</v>
    <v>Guna Yala</v>
    <v>fa5c0a4e-0c4a-927a-b9f7-dd44c8fd002f</v>
    <v>en-US</v>
    <v>Map</v>
  </rv>
  <rv s="1">
    <v>536870912</v>
    <v>Ngäbe-Buglé Comarca</v>
    <v>3e8065bb-603d-4416-9e4e-7cdf098663dc</v>
    <v>en-US</v>
    <v>Map</v>
  </rv>
  <rv s="1">
    <v>536870912</v>
    <v>Madungandí</v>
    <v>ac4e195f-6c42-ae9d-f74a-128ec43b5e3f</v>
    <v>en-US</v>
    <v>Map</v>
  </rv>
  <rv s="1">
    <v>536870912</v>
    <v>Kuna de Wargandí</v>
    <v>27005d80-c390-72a0-5fe3-e0b111e46cea</v>
    <v>en-US</v>
    <v>Map</v>
  </rv>
  <rv s="1">
    <v>536870912</v>
    <v>Bocas del Toro Province</v>
    <v>b0bd1a37-77f9-07ad-4bb5-d1d8e7ae5ccd</v>
    <v>en-US</v>
    <v>Map</v>
  </rv>
  <rv s="1">
    <v>536870912</v>
    <v>Chiriquí Province</v>
    <v>da5a9762-a0b7-1ffe-bc95-34ccb19d1382</v>
    <v>en-US</v>
    <v>Map</v>
  </rv>
  <rv s="1">
    <v>536870912</v>
    <v>Coclé Province</v>
    <v>7d1a06f8-72c7-b88d-d742-13034e32cde4</v>
    <v>en-US</v>
    <v>Map</v>
  </rv>
  <rv s="1">
    <v>536870912</v>
    <v>Colón Province</v>
    <v>fc6b97f2-ecfa-1eb3-207c-783ce206f9ea</v>
    <v>en-US</v>
    <v>Map</v>
  </rv>
  <rv s="1">
    <v>536870912</v>
    <v>Darién Province</v>
    <v>fec9bd09-52d2-2f43-c137-a73af607d3c4</v>
    <v>en-US</v>
    <v>Map</v>
  </rv>
  <rv s="1">
    <v>536870912</v>
    <v>Herrera Province</v>
    <v>5315f223-f244-c960-4e73-fca8cb9d8354</v>
    <v>en-US</v>
    <v>Map</v>
  </rv>
  <rv s="1">
    <v>536870912</v>
    <v>Los Santos Province</v>
    <v>5aeb7060-ab74-113a-23d7-abb8287efa3e</v>
    <v>en-US</v>
    <v>Map</v>
  </rv>
  <rv s="1">
    <v>536870912</v>
    <v>Veraguas Province</v>
    <v>2d44080e-33d5-ab6d-8d0e-64edfdd9b92d</v>
    <v>en-US</v>
    <v>Map</v>
  </rv>
  <rv s="3">
    <v>509</v>
  </rv>
  <rv s="0">
    <fb>3.9019999504089402E-2</fb>
    <v>35</v>
  </rv>
  <rv s="0">
    <fb>2890084</fb>
    <v>9</v>
  </rv>
  <rv s="44">
    <v>#VALUE!</v>
    <v>en-US</v>
    <v>8c0fb36e-1238-e873-e015-712d1f496676</v>
    <v>536870912</v>
    <v>1</v>
    <v>1154</v>
    <v>485</v>
    <v>Panama</v>
    <v>5</v>
    <v>6</v>
    <v>Map</v>
    <v>7</v>
    <v>1155</v>
    <v>PA</v>
    <v>7273</v>
    <v>7274</v>
    <v>3765</v>
    <v>7275</v>
    <v>7276</v>
    <v>7261</v>
    <v>7277</v>
    <v>7278</v>
    <v>7279</v>
    <v>PAB</v>
    <v>Panama, officially the Republic of Panama, is a country in Latin America at the southern end of Central America, bordering South America. It is bordered by Costa Rica to the west, Colombia to the southeast, the Caribbean Sea to the north, and ...</v>
    <v>7280</v>
    <v>7281</v>
    <v>7282</v>
    <v>7283</v>
    <v>7284</v>
    <v>7285</v>
    <v>7286</v>
    <v>7287</v>
    <v>7288</v>
    <v>7289</v>
    <v>7261</v>
    <v>7291</v>
    <v>7292</v>
    <v>7293</v>
    <v>7294</v>
    <v>7295</v>
    <v>1525</v>
    <v>Panama</v>
    <v>Himno Istmeño</v>
    <v>7296</v>
    <v>Panamá</v>
    <v>7297</v>
    <v>7298</v>
    <v>7299</v>
    <v>3066</v>
    <v>7300</v>
    <v>4079</v>
    <v>2071</v>
    <v>7301</v>
    <v>4185</v>
    <v>5824</v>
    <v>7302</v>
    <v>7316</v>
    <v>876</v>
    <v>242</v>
    <v>7317</v>
    <v>Panama</v>
    <v>7318</v>
    <v>mdp/vdpid/192</v>
  </rv>
  <rv s="1">
    <v>536870912</v>
    <v>Port Moresby</v>
    <v>3eca123a-512b-21c1-ab22-b49528bb05f3</v>
    <v>en-US</v>
    <v>Map</v>
  </rv>
  <rv s="0">
    <fb>240</fb>
    <v>9</v>
  </rv>
  <rv s="1">
    <v>536870912</v>
    <v>Papua New Guinea</v>
    <v>3d24acc6-9a00-61bb-a264-5eb69db51fff</v>
    <v>en-US</v>
    <v>Map</v>
  </rv>
  <rv s="2">
    <v>247</v>
    <v>7</v>
    <v>1156</v>
    <v>7</v>
    <v>0</v>
    <v>Image of Port Moresby</v>
  </rv>
  <rv s="0">
    <fb>-9.4788888888888998</fb>
    <v>0</v>
  </rv>
  <rv s="1">
    <v>805306368</v>
    <v>Powes Parkop (Governor)</v>
    <v>e5cf7b15-5314-90ca-bb4f-eba33d9e1f25</v>
    <v>en-US</v>
    <v>Generic</v>
  </rv>
  <rv s="3">
    <v>510</v>
  </rv>
  <rv s="4">
    <v>https://www.bing.com/search?q=port+moresby&amp;form=skydnc</v>
    <v>Learn more on Bing</v>
  </rv>
  <rv s="0">
    <fb>147.14944444444001</fb>
    <v>0</v>
  </rv>
  <rv s="0">
    <fb>364145</fb>
    <v>9</v>
  </rv>
  <rv s="45">
    <v>#VALUE!</v>
    <v>en-US</v>
    <v>3eca123a-512b-21c1-ab22-b49528bb05f3</v>
    <v>536870912</v>
    <v>1</v>
    <v>1157</v>
    <v>505</v>
    <v>Port Moresby</v>
    <v>5</v>
    <v>6</v>
    <v>Map</v>
    <v>7</v>
    <v>39</v>
    <v>7321</v>
    <v>7322</v>
    <v>Port Moresby, also referred to as Pom City or simply Moresby, is the capital and largest city of Papua New Guinea. It is one of the largest cities in the southwestern Pacific outside of Australia and New Zealand. It is located on the shores of ...</v>
    <v>7323</v>
    <v>7324</v>
    <v>7326</v>
    <v>7327</v>
    <v>7328</v>
    <v>Port Moresby</v>
    <v>7329</v>
    <v>616</v>
    <v>Port Moresby</v>
    <v>mdp/vdpid/8805776658628870145</v>
  </rv>
  <rv s="0">
    <fb>2.6277436735414897E-2</fb>
    <v>28</v>
  </rv>
  <rv s="0">
    <fb>462840</fb>
    <v>9</v>
  </rv>
  <rv s="0">
    <fb>27.073</fb>
    <v>29</v>
  </rv>
  <rv s="0">
    <fb>675</fb>
    <v>30</v>
  </rv>
  <rv s="0">
    <fb>7535.6850000000004</fb>
    <v>9</v>
  </rv>
  <rv s="0">
    <fb>155.992373115839</fb>
    <v>31</v>
  </rv>
  <rv s="0">
    <fb>3.6378990025278501E-2</fb>
    <v>28</v>
  </rv>
  <rv s="0">
    <fb>3.5640000000000001</fb>
    <v>29</v>
  </rv>
  <rv s="0">
    <fb>0.74098395130393502</fb>
    <v>28</v>
  </rv>
  <rv s="0">
    <fb>24969611434.768398</fb>
    <v>33</v>
  </rv>
  <rv s="0">
    <fb>1.0854585999999999</fb>
    <v>28</v>
  </rv>
  <rv s="0">
    <fb>1.7782199999999998E-2</fb>
    <v>28</v>
  </rv>
  <rv s="2">
    <v>248</v>
    <v>7</v>
    <v>1159</v>
    <v>7</v>
    <v>0</v>
    <v>Image of Papua New Guinea</v>
  </rv>
  <rv s="0">
    <fb>38</fb>
    <v>34</v>
  </rv>
  <rv s="1">
    <v>805306368</v>
    <v>James Marape (Prime minister)</v>
    <v>a0345110-c9e2-ac03-8dc8-3f992f91769e</v>
    <v>en-US</v>
    <v>Generic</v>
  </rv>
  <rv s="3">
    <v>511</v>
  </rv>
  <rv s="4">
    <v>https://www.bing.com/search?q=papua+new+guinea&amp;form=skydnc</v>
    <v>Learn more on Bing</v>
  </rv>
  <rv s="0">
    <fb>64.263000000000005</fb>
    <v>34</v>
  </rv>
  <rv s="0">
    <fb>12592450000</fb>
    <v>33</v>
  </rv>
  <rv s="0">
    <fb>145</fb>
    <v>34</v>
  </rv>
  <rv s="3">
    <v>512</v>
  </rv>
  <rv s="0">
    <fb>5.7628055900000003E-2</fb>
    <v>28</v>
  </rv>
  <rv s="0">
    <fb>6.9900000000000004E-2</fb>
    <v>29</v>
  </rv>
  <rv s="0">
    <fb>10142619</fb>
    <v>9</v>
  </rv>
  <rv s="0">
    <fb>0.47192001342773404</fb>
    <v>28</v>
  </rv>
  <rv s="1">
    <v>536870912</v>
    <v>Central Province</v>
    <v>5553cc51-2a2c-e8a0-f83d-dcbbec67b41f</v>
    <v>en-US</v>
    <v>Map</v>
  </rv>
  <rv s="1">
    <v>536870912</v>
    <v>Chimbu Province</v>
    <v>209165a1-e6b7-cd3d-7029-e10db0858d01</v>
    <v>en-US</v>
    <v>Map</v>
  </rv>
  <rv s="1">
    <v>536870912</v>
    <v>Eastern Highlands Province</v>
    <v>65e19690-6117-17f1-b9be-39a3b4700364</v>
    <v>en-US</v>
    <v>Map</v>
  </rv>
  <rv s="1">
    <v>536870912</v>
    <v>East New Britain Province</v>
    <v>b53218a4-bff9-a8a4-e21c-6c9e63790c6d</v>
    <v>en-US</v>
    <v>Map</v>
  </rv>
  <rv s="1">
    <v>536870912</v>
    <v>East Sepik Province</v>
    <v>5abece1f-ee04-f859-6925-f585d991eddf</v>
    <v>en-US</v>
    <v>Map</v>
  </rv>
  <rv s="1">
    <v>536870912</v>
    <v>Enga Province</v>
    <v>d2172c81-da82-e104-5aad-81fcc7f70e5f</v>
    <v>en-US</v>
    <v>Map</v>
  </rv>
  <rv s="1">
    <v>536870912</v>
    <v>Gulf Province</v>
    <v>1eaef8e4-ed1c-6d57-316b-ee2fd0a49b5f</v>
    <v>en-US</v>
    <v>Map</v>
  </rv>
  <rv s="1">
    <v>536870912</v>
    <v>Madang Province</v>
    <v>4c0e9549-d479-f501-6473-eed7210f6bf9</v>
    <v>en-US</v>
    <v>Map</v>
  </rv>
  <rv s="1">
    <v>536870912</v>
    <v>Manus Province</v>
    <v>b59ac14a-d297-3193-c0d2-e95be84413fb</v>
    <v>en-US</v>
    <v>Map</v>
  </rv>
  <rv s="1">
    <v>536870912</v>
    <v>Milne Bay Province</v>
    <v>66e1bdd9-429a-5826-35c5-098ee0ef3a07</v>
    <v>en-US</v>
    <v>Map</v>
  </rv>
  <rv s="1">
    <v>536870912</v>
    <v>Morobe Province</v>
    <v>1ff4ea52-b07e-5df4-3e47-e4742725117b</v>
    <v>en-US</v>
    <v>Map</v>
  </rv>
  <rv s="1">
    <v>536870912</v>
    <v>New Ireland Province</v>
    <v>7afd44e7-ead0-962a-f798-a35096ee4f52</v>
    <v>en-US</v>
    <v>Map</v>
  </rv>
  <rv s="1">
    <v>536870912</v>
    <v>Oro Province</v>
    <v>2b7ae909-5955-6b9e-6687-0967a9c49922</v>
    <v>en-US</v>
    <v>Map</v>
  </rv>
  <rv s="1">
    <v>536870912</v>
    <v>Autonomous Region of Bougainville</v>
    <v>044990bc-b8ec-c788-7102-cfe0714acc92</v>
    <v>en-US</v>
    <v>Map</v>
  </rv>
  <rv s="1">
    <v>536870912</v>
    <v>Southern Highlands Province</v>
    <v>a9fb395f-0ac4-6f32-0782-4094f4cca5fc</v>
    <v>en-US</v>
    <v>Map</v>
  </rv>
  <rv s="1">
    <v>536870912</v>
    <v>Western Province</v>
    <v>95cd39ab-3016-0d2e-6213-1fa72f87dff7</v>
    <v>en-US</v>
    <v>Map</v>
  </rv>
  <rv s="1">
    <v>536870912</v>
    <v>Western Highlands Province</v>
    <v>26654274-eeed-9a87-ebe9-2936480751b9</v>
    <v>en-US</v>
    <v>Map</v>
  </rv>
  <rv s="1">
    <v>536870912</v>
    <v>West New Britain Province</v>
    <v>97bafcd3-149b-26a3-9ffe-a830bbc2a5a9</v>
    <v>en-US</v>
    <v>Map</v>
  </rv>
  <rv s="1">
    <v>536870912</v>
    <v>Sandaun Province</v>
    <v>7265232b-67d7-7bd5-b03d-fc1a7921dde5</v>
    <v>en-US</v>
    <v>Map</v>
  </rv>
  <rv s="1">
    <v>536870912</v>
    <v>National Capital District</v>
    <v>810f40d0-e429-439a-99ef-dac8e951b2ea</v>
    <v>en-US</v>
    <v>Map</v>
  </rv>
  <rv s="1">
    <v>536870912</v>
    <v>Hela Province</v>
    <v>cef87365-0679-484e-9cfe-9a2d80e7d98a</v>
    <v>en-US</v>
    <v>Map</v>
  </rv>
  <rv s="1">
    <v>536870912</v>
    <v>Jiwaka Province</v>
    <v>c7a42824-0252-8fa0-af9f-b21e346700bf</v>
    <v>en-US</v>
    <v>Map</v>
  </rv>
  <rv s="3">
    <v>513</v>
  </rv>
  <rv s="0">
    <fb>0.13587528071647101</fb>
    <v>28</v>
  </rv>
  <rv s="3">
    <v>514</v>
  </rv>
  <rv s="0">
    <fb>1162834</fb>
    <v>9</v>
  </rv>
  <rv s="81">
    <v>#VALUE!</v>
    <v>en-US</v>
    <v>3d24acc6-9a00-61bb-a264-5eb69db51fff</v>
    <v>536870912</v>
    <v>1</v>
    <v>1162</v>
    <v>1163</v>
    <v>Papua New Guinea</v>
    <v>5</v>
    <v>6</v>
    <v>Map</v>
    <v>7</v>
    <v>1164</v>
    <v>PG</v>
    <v>7331</v>
    <v>7332</v>
    <v>3462</v>
    <v>7333</v>
    <v>7334</v>
    <v>7320</v>
    <v>7335</v>
    <v>7336</v>
    <v>7337</v>
    <v>PGK</v>
    <v>Papua New Guinea, officially the Independent State of Papua New Guinea is a country in Oceania that comprises the eastern half of the island of New Guinea and offshore islands in Melanesia, a region of the southwestern Pacific Ocean north of ...</v>
    <v>7338</v>
    <v>7339</v>
    <v>155</v>
    <v>7340</v>
    <v>7341</v>
    <v>7342</v>
    <v>7343</v>
    <v>7344</v>
    <v>7320</v>
    <v>7346</v>
    <v>7347</v>
    <v>7348</v>
    <v>7349</v>
    <v>7350</v>
    <v>5419</v>
    <v>Papua New Guinea</v>
    <v>O Arise, All You Sons</v>
    <v>7351</v>
    <v>Papua New Guinea</v>
    <v>7352</v>
    <v>7353</v>
    <v>7354</v>
    <v>2771</v>
    <v>1751</v>
    <v>5648</v>
    <v>1662</v>
    <v>4687</v>
    <v>3007</v>
    <v>3491</v>
    <v>7355</v>
    <v>7378</v>
    <v>7379</v>
    <v>7380</v>
    <v>7300</v>
    <v>4104</v>
    <v>Papua New Guinea</v>
    <v>7381</v>
    <v>mdp/vdpid/194</v>
  </rv>
  <rv s="1">
    <v>536870912</v>
    <v>Asunción</v>
    <v>4b5ad817-2782-74b0-8e77-733cb22e48af</v>
    <v>en-US</v>
    <v>Map</v>
  </rv>
  <rv s="0">
    <fb>117</fb>
    <v>9</v>
  </rv>
  <rv s="1">
    <v>536870912</v>
    <v>Paraguay</v>
    <v>38755944-7eb5-b816-af98-acd4bbf59209</v>
    <v>en-US</v>
    <v>Map</v>
  </rv>
  <rv s="2">
    <v>249</v>
    <v>7</v>
    <v>1165</v>
    <v>7</v>
    <v>0</v>
    <v>Image of Asunción</v>
  </rv>
  <rv s="4">
    <v>https://www.bing.com/search?q=asunci%c3%b3n&amp;form=skydnc</v>
    <v>Learn more on Bing</v>
  </rv>
  <rv s="0">
    <fb>462241</fb>
    <v>9</v>
  </rv>
  <rv s="3">
    <v>515</v>
  </rv>
  <rv s="10">
    <v>#VALUE!</v>
    <v>en-US</v>
    <v>4b5ad817-2782-74b0-8e77-733cb22e48af</v>
    <v>536870912</v>
    <v>1</v>
    <v>1167</v>
    <v>60</v>
    <v>Asunción</v>
    <v>5</v>
    <v>6</v>
    <v>Map</v>
    <v>7</v>
    <v>61</v>
    <v>PY-ASU</v>
    <v>7384</v>
    <v>7385</v>
    <v>Asunción is the capital and the largest city of Paraguay. The city stands on the eastern bank of the Paraguay River, almost at the confluence of this river with the Pilcomayo River. The Paraguay River and the Bay of Asunción in the northwest ...</v>
    <v>7386</v>
    <v>7387</v>
    <v>Asunción</v>
    <v>7388</v>
    <v>7389</v>
    <v>Asunción</v>
    <v>mdp/vdpid/6452484524172378113</v>
  </rv>
  <rv s="0">
    <fb>0.55084319154291495</fb>
    <v>28</v>
  </rv>
  <rv s="0">
    <fb>406756</fb>
    <v>9</v>
  </rv>
  <rv s="0">
    <fb>20.571000000000002</fb>
    <v>29</v>
  </rv>
  <rv s="0">
    <fb>595</fb>
    <v>30</v>
  </rv>
  <rv s="0">
    <fb>7407.34</fb>
    <v>9</v>
  </rv>
  <rv s="0">
    <fb>143.82104097452901</fb>
    <v>31</v>
  </rv>
  <rv s="0">
    <fb>2.7570972756279E-2</fb>
    <v>28</v>
  </rv>
  <rv s="0">
    <fb>1552.38421668465</fb>
    <v>9</v>
  </rv>
  <rv s="0">
    <fb>2.4289999999999998</fb>
    <v>29</v>
  </rv>
  <rv s="0">
    <fb>0.377488034467027</fb>
    <v>28</v>
  </rv>
  <rv s="0">
    <fb>33.703312045093298</fb>
    <v>34</v>
  </rv>
  <rv s="0">
    <fb>38145288939.848801</fb>
    <v>33</v>
  </rv>
  <rv s="0">
    <fb>1.0437316999999999</fb>
    <v>28</v>
  </rv>
  <rv s="0">
    <fb>0.3463021</fb>
    <v>28</v>
  </rv>
  <rv s="2">
    <v>250</v>
    <v>7</v>
    <v>1169</v>
    <v>7</v>
    <v>0</v>
    <v>Image of Paraguay</v>
  </rv>
  <rv s="0">
    <fb>17.2</fb>
    <v>34</v>
  </rv>
  <rv s="1">
    <v>805306368</v>
    <v>Santiago Peña (President)</v>
    <v>22f2da7c-613d-1af9-2ba7-629e3a20819d</v>
    <v>en-US</v>
    <v>Generic</v>
  </rv>
  <rv s="1">
    <v>805306368</v>
    <v>Pedro Alliana (Vice president)</v>
    <v>4bf067bc-dca2-1fc0-62b9-a74f4e4681d3</v>
    <v>en-US</v>
    <v>Generic</v>
  </rv>
  <rv s="3">
    <v>516</v>
  </rv>
  <rv s="4">
    <v>https://www.bing.com/search?q=paraguay&amp;form=skydnc</v>
    <v>Learn more on Bing</v>
  </rv>
  <rv s="0">
    <fb>74.131</fb>
    <v>34</v>
  </rv>
  <rv s="0">
    <fb>312800000</fb>
    <v>33</v>
  </rv>
  <rv s="0">
    <fb>129</fb>
    <v>34</v>
  </rv>
  <rv s="0">
    <fb>1.55</fb>
    <v>32</v>
  </rv>
  <rv s="3">
    <v>517</v>
  </rv>
  <rv s="0">
    <fb>0.36485746740000002</fb>
    <v>28</v>
  </rv>
  <rv s="0">
    <fb>1.3544</fb>
    <v>29</v>
  </rv>
  <rv s="0">
    <fb>6780744</fb>
    <v>9</v>
  </rv>
  <rv s="0">
    <fb>0.35899999999999999</fb>
    <v>28</v>
  </rv>
  <rv s="0">
    <fb>0.720940017700195</fb>
    <v>28</v>
  </rv>
  <rv s="1">
    <v>536870912</v>
    <v>Alto Paraguay</v>
    <v>0f551218-6ef2-8a91-e4f1-0c4fe5301403</v>
    <v>en-US</v>
    <v>Map</v>
  </rv>
  <rv s="1">
    <v>536870912</v>
    <v>Alto Paraná</v>
    <v>622aa25a-b0e7-3e94-0a4e-c44b2a606a8a</v>
    <v>en-US</v>
    <v>Map</v>
  </rv>
  <rv s="1">
    <v>536870912</v>
    <v>Amambay</v>
    <v>25a00850-f819-32d0-7038-bc8149b837aa</v>
    <v>en-US</v>
    <v>Map</v>
  </rv>
  <rv s="1">
    <v>536870912</v>
    <v>Boquerón, Paraguay</v>
    <v>264bbe90-3ccd-c6d3-58b3-d86320f4ef99</v>
    <v>en-US</v>
    <v>Map</v>
  </rv>
  <rv s="1">
    <v>536870912</v>
    <v>Caaguazú Department</v>
    <v>8656eba9-1676-8f22-780a-c0756489d7fc</v>
    <v>en-US</v>
    <v>Map</v>
  </rv>
  <rv s="1">
    <v>536870912</v>
    <v>Caazapá Department</v>
    <v>6f5c0121-41d3-9b26-6619-eb3818cdf435</v>
    <v>en-US</v>
    <v>Map</v>
  </rv>
  <rv s="1">
    <v>536870912</v>
    <v>Canindeyú</v>
    <v>b5c80568-77c7-fcca-6fd0-05c3042f525b</v>
    <v>en-US</v>
    <v>Map</v>
  </rv>
  <rv s="1">
    <v>536870912</v>
    <v>Central, Paraguay</v>
    <v>59d5a6d8-a7b3-7a69-d2a3-3a433b800d61</v>
    <v>en-US</v>
    <v>Map</v>
  </rv>
  <rv s="1">
    <v>536870912</v>
    <v>Concepción department, Paraguay</v>
    <v>ecdae5ff-9f88-4c47-d96b-9767fc2314eb</v>
    <v>en-US</v>
    <v>Map</v>
  </rv>
  <rv s="1">
    <v>536870912</v>
    <v>Cordillera, Paraguay</v>
    <v>89438784-9b0e-7aa1-c1ee-7e58bfd1b3f6</v>
    <v>en-US</v>
    <v>Map</v>
  </rv>
  <rv s="1">
    <v>536870912</v>
    <v>Guairá, Paraguay</v>
    <v>32b611ea-667c-e49b-e6b7-ddfeb81e65bf</v>
    <v>en-US</v>
    <v>Map</v>
  </rv>
  <rv s="1">
    <v>536870912</v>
    <v>Itapúa</v>
    <v>ba6578b1-4465-fe52-5dc0-c6ac0ae5ac29</v>
    <v>en-US</v>
    <v>Map</v>
  </rv>
  <rv s="1">
    <v>536870912</v>
    <v>Misiones, Paraguay</v>
    <v>3e400bd0-4c3e-986b-69dc-02bf27b9cc4a</v>
    <v>en-US</v>
    <v>Map</v>
  </rv>
  <rv s="1">
    <v>536870912</v>
    <v>Ñeembucú</v>
    <v>13a16305-3bea-2508-da0d-f0b9907eb6cb</v>
    <v>en-US</v>
    <v>Map</v>
  </rv>
  <rv s="1">
    <v>536870912</v>
    <v>Paraguarí Department</v>
    <v>9073627b-6ef6-56d0-339c-6644cacabfb3</v>
    <v>en-US</v>
    <v>Map</v>
  </rv>
  <rv s="1">
    <v>536870912</v>
    <v>Presidente Hayes Department</v>
    <v>6bcdea9e-cac6-d960-1f0d-f93d906430ae</v>
    <v>en-US</v>
    <v>Map</v>
  </rv>
  <rv s="1">
    <v>536870912</v>
    <v>San Pedro department, Paraguay</v>
    <v>bd80c2dc-b58f-53fc-cd75-24b916825161</v>
    <v>en-US</v>
    <v>Map</v>
  </rv>
  <rv s="3">
    <v>518</v>
  </rv>
  <rv s="0">
    <fb>0.100353309716205</fb>
    <v>28</v>
  </rv>
  <rv s="0">
    <fb>4.8090000152587901E-2</fb>
    <v>35</v>
  </rv>
  <rv s="0">
    <fb>4359150</fb>
    <v>9</v>
  </rv>
  <rv s="9">
    <v>#VALUE!</v>
    <v>en-US</v>
    <v>38755944-7eb5-b816-af98-acd4bbf59209</v>
    <v>536870912</v>
    <v>1</v>
    <v>1172</v>
    <v>55</v>
    <v>Paraguay</v>
    <v>5</v>
    <v>6</v>
    <v>Map</v>
    <v>7</v>
    <v>1173</v>
    <v>PY</v>
    <v>7391</v>
    <v>7392</v>
    <v>2556</v>
    <v>7393</v>
    <v>7394</v>
    <v>7383</v>
    <v>7395</v>
    <v>7396</v>
    <v>7397</v>
    <v>PYG</v>
    <v>Paraguay, officially the Republic of Paraguay, is a landlocked country in South America. It is bordered by Argentina to the south and southwest, Brazil to the east and northeast, and Bolivia to the northwest. It has a population of around 6.1 ...</v>
    <v>7398</v>
    <v>7399</v>
    <v>7400</v>
    <v>7401</v>
    <v>1411</v>
    <v>7402</v>
    <v>7403</v>
    <v>7404</v>
    <v>7405</v>
    <v>7406</v>
    <v>7383</v>
    <v>7409</v>
    <v>7410</v>
    <v>7411</v>
    <v>7412</v>
    <v>7413</v>
    <v>7414</v>
    <v>Paraguay</v>
    <v>Paraguayan National Anthem</v>
    <v>7415</v>
    <v>Paraguay</v>
    <v>7416</v>
    <v>7417</v>
    <v>7418</v>
    <v>724</v>
    <v>7419</v>
    <v>1953</v>
    <v>1954</v>
    <v>3916</v>
    <v>3069</v>
    <v>2193</v>
    <v>7420</v>
    <v>7438</v>
    <v>7439</v>
    <v>462</v>
    <v>1952</v>
    <v>7440</v>
    <v>Paraguay</v>
    <v>7441</v>
    <v>mdp/vdpid/185</v>
  </rv>
  <rv s="1">
    <v>536870912</v>
    <v>Lima</v>
    <v>56111e08-84b2-d298-3309-317c86bbca62</v>
    <v>en-US</v>
    <v>Map</v>
  </rv>
  <rv s="1">
    <v>536870912</v>
    <v>Department of Lima</v>
    <v>1189d6b9-d0e8-419b-4036-0684e693abcf</v>
    <v>en-US</v>
    <v>Map</v>
  </rv>
  <rv s="1">
    <v>536870912</v>
    <v>Lima province</v>
    <v>c1af6300-c27c-5029-87f7-5a46bbbe02ac</v>
    <v>en-US</v>
    <v>Map</v>
  </rv>
  <rv s="0">
    <fb>2672.28</fb>
    <v>9</v>
  </rv>
  <rv s="1">
    <v>536870912</v>
    <v>Peru</v>
    <v>02dd0e01-24ad-0f52-3d28-54e36db1ce25</v>
    <v>en-US</v>
    <v>Map</v>
  </rv>
  <rv s="2">
    <v>251</v>
    <v>7</v>
    <v>1174</v>
    <v>7</v>
    <v>0</v>
    <v>Image of Lima</v>
  </rv>
  <rv s="0">
    <fb>-12.06</fb>
    <v>0</v>
  </rv>
  <rv s="1">
    <v>805306368</v>
    <v>Rafael López Aliaga (Mayor)</v>
    <v>697dff2f-3db4-c5e0-b859-589e7e74862f</v>
    <v>en-US</v>
    <v>Generic</v>
  </rv>
  <rv s="3">
    <v>519</v>
  </rv>
  <rv s="4">
    <v>https://www.bing.com/search?q=lima&amp;form=skydnc</v>
    <v>Learn more on Bing</v>
  </rv>
  <rv s="0">
    <fb>-77.037499999999994</fb>
    <v>0</v>
  </rv>
  <rv s="0">
    <fb>10092000</fb>
    <v>9</v>
  </rv>
  <rv s="5">
    <v>#VALUE!</v>
    <v>en-US</v>
    <v>56111e08-84b2-d298-3309-317c86bbca62</v>
    <v>536870912</v>
    <v>1</v>
    <v>1175</v>
    <v>3</v>
    <v>Lima</v>
    <v>5</v>
    <v>6</v>
    <v>Map</v>
    <v>7</v>
    <v>111</v>
    <v>7444</v>
    <v>7445</v>
    <v>7446</v>
    <v>7447</v>
    <v>Lima, founded in 1535 as the Ciudad de los Reyes, is the capital and largest city of Peru. It is located in the valleys of the Chillón, Rímac and Lurín Rivers, in the desert zone of the central coastal part of the country, overlooking the ...</v>
    <v>7448</v>
    <v>7449</v>
    <v>7451</v>
    <v>7452</v>
    <v>7453</v>
    <v>Lima</v>
    <v>7454</v>
    <v>876</v>
    <v>Lima</v>
    <v>mdp/vdpid/6368258397787127809</v>
  </rv>
  <rv s="0">
    <fb>0.18505468749999998</fb>
    <v>28</v>
  </rv>
  <rv s="0">
    <fb>1285216</fb>
    <v>9</v>
  </rv>
  <rv s="0">
    <fb>158000</fb>
    <v>9</v>
  </rv>
  <rv s="0">
    <fb>17.949000000000002</fb>
    <v>29</v>
  </rv>
  <rv s="0">
    <fb>51</fb>
    <v>30</v>
  </rv>
  <rv s="0">
    <fb>57414.218999999997</fb>
    <v>9</v>
  </rv>
  <rv s="0">
    <fb>129.78454434275901</fb>
    <v>31</v>
  </rv>
  <rv s="0">
    <fb>2.1371534256997799E-2</fb>
    <v>28</v>
  </rv>
  <rv s="0">
    <fb>1345.8795888743</fb>
    <v>9</v>
  </rv>
  <rv s="0">
    <fb>2.254</fb>
    <v>29</v>
  </rv>
  <rv s="0">
    <fb>0.57660467529296899</fb>
    <v>28</v>
  </rv>
  <rv s="0">
    <fb>79.555683573486803</fb>
    <v>34</v>
  </rv>
  <rv s="0">
    <fb>226848050819.52499</fb>
    <v>33</v>
  </rv>
  <rv s="0">
    <fb>1.0694512</fb>
    <v>28</v>
  </rv>
  <rv s="0">
    <fb>0.70737859999999997</fb>
    <v>28</v>
  </rv>
  <rv s="2">
    <v>252</v>
    <v>7</v>
    <v>1177</v>
    <v>7</v>
    <v>0</v>
    <v>Image of Peru</v>
  </rv>
  <rv s="0">
    <fb>11.1</fb>
    <v>34</v>
  </rv>
  <rv s="1">
    <v>805306368</v>
    <v>Dina Boluarte (President)</v>
    <v>555553a8-1ef5-72bc-ec28-32a5d7cceeba</v>
    <v>en-US</v>
    <v>Generic</v>
  </rv>
  <rv s="1">
    <v>805306368</v>
    <v>Gustavo Adrianzén (Prime minister)</v>
    <v>3ed4b7db-9afa-d326-cdb8-78f39a34f73a</v>
    <v>en-US</v>
    <v>Generic</v>
  </rv>
  <rv s="3">
    <v>520</v>
  </rv>
  <rv s="4">
    <v>https://www.bing.com/search?q=peru&amp;form=skydnc</v>
    <v>Learn more on Bing</v>
  </rv>
  <rv s="0">
    <fb>76.516000000000005</fb>
    <v>34</v>
  </rv>
  <rv s="0">
    <fb>98964960000</fb>
    <v>33</v>
  </rv>
  <rv s="0">
    <fb>0.30916759560000001</fb>
    <v>28</v>
  </rv>
  <rv s="0">
    <fb>34049588</fb>
    <v>9</v>
  </rv>
  <rv s="0">
    <fb>0.48299999999999998</fb>
    <v>28</v>
  </rv>
  <rv s="0">
    <fb>0.77633003234863296</fb>
    <v>28</v>
  </rv>
  <rv s="1">
    <v>536870912</v>
    <v>Amazonas</v>
    <v>8fd2c397-430b-3b7f-cd67-016b0865bb77</v>
    <v>en-US</v>
    <v>Map</v>
  </rv>
  <rv s="1">
    <v>536870912</v>
    <v>Department of Ancash</v>
    <v>7b707fd9-e2cf-8406-e49c-af6b030955d1</v>
    <v>en-US</v>
    <v>Map</v>
  </rv>
  <rv s="1">
    <v>536870912</v>
    <v>Department of Apurímac</v>
    <v>800ddbab-575a-70c1-73fb-0290eb389167</v>
    <v>en-US</v>
    <v>Map</v>
  </rv>
  <rv s="1">
    <v>536870912</v>
    <v>Department of Arequipa</v>
    <v>5a642799-3e4d-dd3e-7ff3-67f11414b050</v>
    <v>en-US</v>
    <v>Map</v>
  </rv>
  <rv s="1">
    <v>536870912</v>
    <v>Department of Ayacucho</v>
    <v>d1839726-2ca4-b1ef-90be-f17cf629e5a6</v>
    <v>en-US</v>
    <v>Map</v>
  </rv>
  <rv s="1">
    <v>536870912</v>
    <v>Department of Cajamarca</v>
    <v>68429fc3-bf3f-3dd1-75f6-0329ead35de7</v>
    <v>en-US</v>
    <v>Map</v>
  </rv>
  <rv s="1">
    <v>536870912</v>
    <v>Department of Cusco</v>
    <v>d5a43b50-0d9c-e14e-2536-12eac1fa9141</v>
    <v>en-US</v>
    <v>Map</v>
  </rv>
  <rv s="1">
    <v>536870912</v>
    <v>Department of Huancavelica</v>
    <v>c866aaa9-74e9-9c95-da3d-3b862680adb2</v>
    <v>en-US</v>
    <v>Map</v>
  </rv>
  <rv s="1">
    <v>536870912</v>
    <v>Department of Huánuco</v>
    <v>c91622ff-1edf-da71-50d1-875f82c3f5c0</v>
    <v>en-US</v>
    <v>Map</v>
  </rv>
  <rv s="1">
    <v>536870912</v>
    <v>Department of Ica</v>
    <v>89e75a31-d2bc-f604-2b7b-82852a081ccb</v>
    <v>en-US</v>
    <v>Map</v>
  </rv>
  <rv s="1">
    <v>536870912</v>
    <v>Department of Junín</v>
    <v>b7838db7-815d-9260-1afc-73f6844d1fd1</v>
    <v>en-US</v>
    <v>Map</v>
  </rv>
  <rv s="1">
    <v>536870912</v>
    <v>Department of La Libertad</v>
    <v>80573590-c6cd-50b0-765c-f2424644af3e</v>
    <v>en-US</v>
    <v>Map</v>
  </rv>
  <rv s="1">
    <v>536870912</v>
    <v>Department of Lambayeque</v>
    <v>d0c78bd2-c7e3-ba11-5a61-c4f472e0d2f0</v>
    <v>en-US</v>
    <v>Map</v>
  </rv>
  <rv s="1">
    <v>536870912</v>
    <v>Department of Loreto</v>
    <v>f3ea022e-f8be-cc49-e4cc-372b13d31d81</v>
    <v>en-US</v>
    <v>Map</v>
  </rv>
  <rv s="1">
    <v>536870912</v>
    <v>Department of Madre de Dios</v>
    <v>471cf309-64b3-5670-8548-af31fa325bae</v>
    <v>en-US</v>
    <v>Map</v>
  </rv>
  <rv s="1">
    <v>536870912</v>
    <v>Department of Moquegua</v>
    <v>dfc4fc5d-72d8-edd7-de96-0b06b1476e21</v>
    <v>en-US</v>
    <v>Map</v>
  </rv>
  <rv s="1">
    <v>536870912</v>
    <v>Department of Pasco</v>
    <v>ee736d02-c7b1-0a50-e924-b716f580197d</v>
    <v>en-US</v>
    <v>Map</v>
  </rv>
  <rv s="1">
    <v>536870912</v>
    <v>Department of Piura</v>
    <v>cedfe6cd-7566-a773-bc19-8b9f638eb87f</v>
    <v>en-US</v>
    <v>Map</v>
  </rv>
  <rv s="1">
    <v>536870912</v>
    <v>Department of Puno</v>
    <v>4367f597-2f58-5eea-e94e-af80d252cd78</v>
    <v>en-US</v>
    <v>Map</v>
  </rv>
  <rv s="1">
    <v>536870912</v>
    <v>Department of San Martín</v>
    <v>4281890f-8cad-bdb9-ae00-7ae494271b7f</v>
    <v>en-US</v>
    <v>Map</v>
  </rv>
  <rv s="1">
    <v>536870912</v>
    <v>Department of Tacna</v>
    <v>ace388be-cdf0-bdb7-79ea-5702146107bb</v>
    <v>en-US</v>
    <v>Map</v>
  </rv>
  <rv s="1">
    <v>536870912</v>
    <v>Department of Tumbes</v>
    <v>fada96e6-3bd8-2079-e30c-fc8b76650e64</v>
    <v>en-US</v>
    <v>Map</v>
  </rv>
  <rv s="1">
    <v>536870912</v>
    <v>Department of Ucayali</v>
    <v>204e0044-14cd-8bb3-0575-52fd893f3efe</v>
    <v>en-US</v>
    <v>Map</v>
  </rv>
  <rv s="3">
    <v>521</v>
  </rv>
  <rv s="0">
    <fb>0.14321901146650698</fb>
    <v>28</v>
  </rv>
  <rv s="3">
    <v>522</v>
  </rv>
  <rv s="0">
    <fb>0.36799999999999999</fb>
    <v>28</v>
  </rv>
  <rv s="0">
    <fb>3.3099999427795401E-2</fb>
    <v>35</v>
  </rv>
  <rv s="0">
    <fb>25390339</fb>
    <v>9</v>
  </rv>
  <rv s="9">
    <v>#VALUE!</v>
    <v>en-US</v>
    <v>02dd0e01-24ad-0f52-3d28-54e36db1ce25</v>
    <v>536870912</v>
    <v>1</v>
    <v>1180</v>
    <v>55</v>
    <v>Peru</v>
    <v>5</v>
    <v>6</v>
    <v>Map</v>
    <v>7</v>
    <v>1181</v>
    <v>PE</v>
    <v>7456</v>
    <v>7457</v>
    <v>7458</v>
    <v>7459</v>
    <v>7460</v>
    <v>7443</v>
    <v>7461</v>
    <v>7462</v>
    <v>7463</v>
    <v>PEN</v>
    <v>Peru, officially the Republic of Peru, is a country in western South America. It is bordered in the north by Ecuador and Colombia, in the east by Brazil, in the southeast by Bolivia, in the south by Chile, and in the south and west by the ...</v>
    <v>7464</v>
    <v>7465</v>
    <v>7466</v>
    <v>7467</v>
    <v>435</v>
    <v>7468</v>
    <v>7469</v>
    <v>7470</v>
    <v>7471</v>
    <v>7472</v>
    <v>7443</v>
    <v>7475</v>
    <v>7476</v>
    <v>7477</v>
    <v>7478</v>
    <v>6117</v>
    <v>3483</v>
    <v>Peru</v>
    <v>National Anthem of Peru</v>
    <v>2185</v>
    <v>República del Perú</v>
    <v>7479</v>
    <v>315</v>
    <v>7480</v>
    <v>4610</v>
    <v>3501</v>
    <v>7481</v>
    <v>511</v>
    <v>2131</v>
    <v>513</v>
    <v>2132</v>
    <v>7482</v>
    <v>7506</v>
    <v>7507</v>
    <v>7508</v>
    <v>7509</v>
    <v>7510</v>
    <v>Peru</v>
    <v>7511</v>
    <v>mdp/vdpid/187</v>
  </rv>
  <rv s="1">
    <v>536870912</v>
    <v>Manila</v>
    <v>33b0f709-fe63-e51f-6893-aa4d29b074e5</v>
    <v>en-US</v>
    <v>Map</v>
  </rv>
  <rv s="1">
    <v>536870912</v>
    <v>Metro Manila</v>
    <v>e5a6d40a-2913-d8a4-ff60-8a8e01d06a21</v>
    <v>en-US</v>
    <v>Map</v>
  </rv>
  <rv s="0">
    <fb>24.98</fb>
    <v>9</v>
  </rv>
  <rv s="1">
    <v>536870912</v>
    <v>Philippines</v>
    <v>fe47e182-43d6-4546-8bee-86609d6dd805</v>
    <v>en-US</v>
    <v>Map</v>
  </rv>
  <rv s="2">
    <v>253</v>
    <v>7</v>
    <v>1182</v>
    <v>7</v>
    <v>0</v>
    <v>Image of Manila</v>
  </rv>
  <rv s="0">
    <fb>14.595833333333299</fb>
    <v>0</v>
  </rv>
  <rv s="1">
    <v>805306368</v>
    <v>Honey Lacuna (Mayor)</v>
    <v>70b504fd-4f28-819f-a846-d5bf5e03bf1d</v>
    <v>en-US</v>
    <v>Generic</v>
  </rv>
  <rv s="3">
    <v>523</v>
  </rv>
  <rv s="4">
    <v>https://www.bing.com/search?q=manila+philippines&amp;form=skydnc</v>
    <v>Learn more on Bing</v>
  </rv>
  <rv s="0">
    <fb>120.977222222222</fb>
    <v>0</v>
  </rv>
  <rv s="0">
    <fb>1846513</fb>
    <v>9</v>
  </rv>
  <rv s="3">
    <v>524</v>
  </rv>
  <rv s="7">
    <v>#VALUE!</v>
    <v>en-US</v>
    <v>33b0f709-fe63-e51f-6893-aa4d29b074e5</v>
    <v>536870912</v>
    <v>1</v>
    <v>1183</v>
    <v>38</v>
    <v>Manila</v>
    <v>5</v>
    <v>6</v>
    <v>Map</v>
    <v>7</v>
    <v>8</v>
    <v>7514</v>
    <v>7515</v>
    <v>7516</v>
    <v>Manila, officially the City of Manila, is the capital and second-most-populous city of the Philippines after Quezon City. Located on the eastern shore of Manila Bay on the island of Luzon, it is classified as a highly urbanized city. As of 2019, ...</v>
    <v>7517</v>
    <v>7518</v>
    <v>7520</v>
    <v>7521</v>
    <v>7522</v>
    <v>Manila</v>
    <v>7523</v>
    <v>7524</v>
    <v>Manila</v>
    <v>mdp/vdpid/7897981301959950337</v>
  </rv>
  <rv s="0">
    <fb>0.41721165777911901</fb>
    <v>28</v>
  </rv>
  <rv s="0">
    <fb>343448</fb>
    <v>9</v>
  </rv>
  <rv s="0">
    <fb>153000</fb>
    <v>9</v>
  </rv>
  <rv s="0">
    <fb>20.545999999999999</fb>
    <v>29</v>
  </rv>
  <rv s="0">
    <fb>63</fb>
    <v>30</v>
  </rv>
  <rv s="0">
    <fb>122287.11599999999</fb>
    <v>9</v>
  </rv>
  <rv s="0">
    <fb>129.61325724947901</fb>
    <v>31</v>
  </rv>
  <rv s="0">
    <fb>2.4802785871650902E-2</fb>
    <v>28</v>
  </rv>
  <rv s="0">
    <fb>696.34678005973694</fb>
    <v>9</v>
  </rv>
  <rv s="0">
    <fb>2.5760000000000001</fb>
    <v>29</v>
  </rv>
  <rv s="0">
    <fb>0.27769393299124701</fb>
    <v>28</v>
  </rv>
  <rv s="0">
    <fb>62.434896292186799</fb>
    <v>34</v>
  </rv>
  <rv s="0">
    <fb>0.86</fb>
    <v>32</v>
  </rv>
  <rv s="0">
    <fb>376795508679.67603</fb>
    <v>33</v>
  </rv>
  <rv s="0">
    <fb>1.0750976999999999</fb>
    <v>28</v>
  </rv>
  <rv s="0">
    <fb>0.35475459999999998</fb>
    <v>28</v>
  </rv>
  <rv s="2">
    <v>254</v>
    <v>7</v>
    <v>1185</v>
    <v>7</v>
    <v>0</v>
    <v>Image of Philippines</v>
  </rv>
  <rv s="0">
    <fb>22.5</fb>
    <v>34</v>
  </rv>
  <rv s="1">
    <v>536870912</v>
    <v>Quezon City</v>
    <v>5e001b49-2fd0-4f45-a43f-6c8cdf9ee04c</v>
    <v>en-US</v>
    <v>Map</v>
  </rv>
  <rv s="1">
    <v>805306368</v>
    <v>Bongbong Marcos (President)</v>
    <v>f7c45c07-8e0a-4068-b1e9-b2253baca0e4</v>
    <v>en-US</v>
    <v>Generic</v>
  </rv>
  <rv s="1">
    <v>805306368</v>
    <v>Sara Duterte (Vice president)</v>
    <v>0cce571a-fcbe-deed-21b5-93ccb00a9659</v>
    <v>en-US</v>
    <v>Generic</v>
  </rv>
  <rv s="1">
    <v>805306368</v>
    <v>Martin Romualdez (Speaker)</v>
    <v>3897d44f-0f8c-3aa3-1122-6253bf831d7f</v>
    <v>en-US</v>
    <v>Generic</v>
  </rv>
  <rv s="1">
    <v>805306368</v>
    <v>Alexander Gesmundo (Chief justice)</v>
    <v>0c0b44c1-58c1-0d6f-bc59-db94bbe6aba7</v>
    <v>en-US</v>
    <v>Generic</v>
  </rv>
  <rv s="3">
    <v>525</v>
  </rv>
  <rv s="4">
    <v>https://www.bing.com/search?q=philippines&amp;form=skydnc</v>
    <v>Learn more on Bing</v>
  </rv>
  <rv s="0">
    <fb>71.094999999999999</fb>
    <v>34</v>
  </rv>
  <rv s="0">
    <fb>275302190000</fb>
    <v>33</v>
  </rv>
  <rv s="0">
    <fb>121</fb>
    <v>34</v>
  </rv>
  <rv s="3">
    <v>526</v>
  </rv>
  <rv s="0">
    <fb>0.53544594130000001</fb>
    <v>28</v>
  </rv>
  <rv s="0">
    <fb>0.60040000000000004</fb>
    <v>29</v>
  </rv>
  <rv s="0">
    <fb>115559009</fb>
    <v>9</v>
  </rv>
  <rv s="0">
    <fb>0.50900000000000001</fb>
    <v>28</v>
  </rv>
  <rv s="0">
    <fb>9.3000000000000013E-2</fb>
    <v>28</v>
  </rv>
  <rv s="0">
    <fb>0.59620998382568402</fb>
    <v>28</v>
  </rv>
  <rv s="3">
    <v>527</v>
  </rv>
  <rv s="0">
    <fb>0.14047533279066099</fb>
    <v>28</v>
  </rv>
  <rv s="0">
    <fb>0.43099999999999999</fb>
    <v>28</v>
  </rv>
  <rv s="0">
    <fb>2.1500000953674298E-2</fb>
    <v>35</v>
  </rv>
  <rv s="0">
    <fb>50975903</fb>
    <v>9</v>
  </rv>
  <rv s="9">
    <v>#VALUE!</v>
    <v>en-US</v>
    <v>fe47e182-43d6-4546-8bee-86609d6dd805</v>
    <v>536870912</v>
    <v>1</v>
    <v>1188</v>
    <v>55</v>
    <v>Philippines</v>
    <v>5</v>
    <v>6</v>
    <v>Map</v>
    <v>7</v>
    <v>1189</v>
    <v>PH</v>
    <v>7526</v>
    <v>7527</v>
    <v>7528</v>
    <v>7529</v>
    <v>7530</v>
    <v>7513</v>
    <v>7531</v>
    <v>7532</v>
    <v>7533</v>
    <v>PHP</v>
    <v>The Philippines, officially the Republic of the Philippines, is an archipelagic country in Southeast Asia. In the western Pacific Ocean, it consists of 7,641 islands, with a total area of roughly 300,000 square kilometers, which are broadly ...</v>
    <v>7534</v>
    <v>7535</v>
    <v>7536</v>
    <v>7537</v>
    <v>7538</v>
    <v>7539</v>
    <v>7540</v>
    <v>7541</v>
    <v>7542</v>
    <v>7543</v>
    <v>7544</v>
    <v>7549</v>
    <v>7550</v>
    <v>7551</v>
    <v>7552</v>
    <v>7553</v>
    <v>167</v>
    <v>Philippines</v>
    <v>Lupang Hinirang</v>
    <v>7554</v>
    <v>Republic of the Philippines</v>
    <v>7555</v>
    <v>7556</v>
    <v>7557</v>
    <v>2466</v>
    <v>6942</v>
    <v>7558</v>
    <v>2191</v>
    <v>1663</v>
    <v>7559</v>
    <v>6048</v>
    <v>7560</v>
    <v>7561</v>
    <v>7562</v>
    <v>7524</v>
    <v>7563</v>
    <v>7564</v>
    <v>Philippines</v>
    <v>7565</v>
    <v>mdp/vdpid/201</v>
  </rv>
  <rv s="1">
    <v>536870912</v>
    <v>Warsaw</v>
    <v>c79f30ac-b9a3-0949-6bdf-956551e5fc81</v>
    <v>en-US</v>
    <v>Map</v>
  </rv>
  <rv s="1">
    <v>536870912</v>
    <v>Masovian Voivodeship</v>
    <v>32cae853-042c-0a77-5173-f511fead52f6</v>
    <v>en-US</v>
    <v>Map</v>
  </rv>
  <rv s="0">
    <fb>517.24</fb>
    <v>9</v>
  </rv>
  <rv s="1">
    <v>536870912</v>
    <v>Poland</v>
    <v>1d6059a2-d1f1-d2d7-4261-dc7cd5cdb84b</v>
    <v>en-US</v>
    <v>Map</v>
  </rv>
  <rv s="2">
    <v>255</v>
    <v>7</v>
    <v>1190</v>
    <v>7</v>
    <v>0</v>
    <v>Image of Warsaw</v>
  </rv>
  <rv s="3">
    <v>528</v>
  </rv>
  <rv s="4">
    <v>https://www.bing.com/search?q=warsaw+poland&amp;form=skydnc</v>
    <v>Learn more on Bing</v>
  </rv>
  <rv s="0">
    <fb>1860281</fb>
    <v>9</v>
  </rv>
  <rv s="24">
    <v>#VALUE!</v>
    <v>en-US</v>
    <v>c79f30ac-b9a3-0949-6bdf-956551e5fc81</v>
    <v>536870912</v>
    <v>1</v>
    <v>1191</v>
    <v>189</v>
    <v>Warsaw</v>
    <v>5</v>
    <v>6</v>
    <v>Map</v>
    <v>7</v>
    <v>216</v>
    <v>7568</v>
    <v>7569</v>
    <v>7570</v>
    <v>Warsaw, officially the Capital City of Warsaw, is the capital and largest city of Poland. The metropolis stands on the River Vistula in east-central Poland. Its population is officially estimated at 1.86 million residents within a greater ...</v>
    <v>7571</v>
    <v>32</v>
    <v>7572</v>
    <v>7573</v>
    <v>33</v>
    <v>Warsaw</v>
    <v>7574</v>
    <v>Warsaw</v>
    <v>mdp/vdpid/7020683064464375809</v>
  </rv>
  <rv s="0">
    <fb>0.469447075345374</fb>
    <v>28</v>
  </rv>
  <rv s="0">
    <fb>312683</fb>
    <v>9</v>
  </rv>
  <rv s="0">
    <fb>48</fb>
    <v>30</v>
  </rv>
  <rv s="0">
    <fb>299036.516</fb>
    <v>9</v>
  </rv>
  <rv s="0">
    <fb>114.111779375092</fb>
    <v>31</v>
  </rv>
  <rv s="0">
    <fb>2.227478809383E-2</fb>
    <v>28</v>
  </rv>
  <rv s="0">
    <fb>3971.7997613105499</fb>
    <v>9</v>
  </rv>
  <rv s="0">
    <fb>1.46</fb>
    <v>29</v>
  </rv>
  <rv s="0">
    <fb>0.30883439025809101</fb>
    <v>28</v>
  </rv>
  <rv s="0">
    <fb>90.291375435655297</fb>
    <v>34</v>
  </rv>
  <rv s="0">
    <fb>592164400687.60706</fb>
    <v>33</v>
  </rv>
  <rv s="0">
    <fb>1.000159</fb>
    <v>28</v>
  </rv>
  <rv s="0">
    <fb>0.67827439999999994</fb>
    <v>28</v>
  </rv>
  <rv s="2">
    <v>256</v>
    <v>7</v>
    <v>1193</v>
    <v>7</v>
    <v>0</v>
    <v>Image of Poland</v>
  </rv>
  <rv s="0">
    <fb>3.8</fb>
    <v>34</v>
  </rv>
  <rv s="1">
    <v>805306368</v>
    <v>Andrzej Duda (President)</v>
    <v>fd659446-93d5-1c05-f501-9d102870ea43</v>
    <v>en-US</v>
    <v>Generic</v>
  </rv>
  <rv s="1">
    <v>805306368</v>
    <v>Donald Tusk (Prime minister)</v>
    <v>42c246ff-649b-1da6-5b06-8c6201991d6a</v>
    <v>en-US</v>
    <v>Generic</v>
  </rv>
  <rv s="3">
    <v>529</v>
  </rv>
  <rv s="4">
    <v>https://www.bing.com/search?q=poland&amp;form=skydnc</v>
    <v>Learn more on Bing</v>
  </rv>
  <rv s="0">
    <fb>77.602439024390307</fb>
    <v>34</v>
  </rv>
  <rv s="0">
    <fb>151618860000</fb>
    <v>33</v>
  </rv>
  <rv s="0">
    <fb>2.93</fb>
    <v>32</v>
  </rv>
  <rv s="3">
    <v>530</v>
  </rv>
  <rv s="0">
    <fb>0.23246298360000001</fb>
    <v>28</v>
  </rv>
  <rv s="0">
    <fb>2.3788</fb>
    <v>29</v>
  </rv>
  <rv s="0">
    <fb>37561599</fb>
    <v>9</v>
  </rv>
  <rv s="0">
    <fb>0.38200000000000001</fb>
    <v>28</v>
  </rv>
  <rv s="0">
    <fb>0.56701000213622998</fb>
    <v>28</v>
  </rv>
  <rv s="1">
    <v>536870912</v>
    <v>Lower Silesian Voivodeship</v>
    <v>2c12027c-f1f3-15e4-470e-533d0b324b34</v>
    <v>en-US</v>
    <v>Map</v>
  </rv>
  <rv s="1">
    <v>536870912</v>
    <v>Łódź Voivodeship</v>
    <v>0fe063e3-0ad6-1012-edb0-f676300d33ea</v>
    <v>en-US</v>
    <v>Map</v>
  </rv>
  <rv s="1">
    <v>536870912</v>
    <v>Świętokrzyskie Voivodeship</v>
    <v>f361912e-d7ba-dd37-b583-2068d7a03177</v>
    <v>en-US</v>
    <v>Map</v>
  </rv>
  <rv s="1">
    <v>536870912</v>
    <v>Lesser Poland Voivodeship</v>
    <v>efd58db8-b0c8-2329-0f3a-8adeab450d74</v>
    <v>en-US</v>
    <v>Map</v>
  </rv>
  <rv s="1">
    <v>536870912</v>
    <v>Lublin Voivodeship</v>
    <v>b5dea0b6-7035-ffe9-a5c1-a961fcb0e72e</v>
    <v>en-US</v>
    <v>Map</v>
  </rv>
  <rv s="1">
    <v>536870912</v>
    <v>Kuyavian–Pomeranian Voivodeship</v>
    <v>2b254630-1d13-aca8-305f-0841a7ec6b83</v>
    <v>en-US</v>
    <v>Map</v>
  </rv>
  <rv s="1">
    <v>536870912</v>
    <v>Opole Voivodeship</v>
    <v>6a026a5e-de28-6062-3c38-7c6f4181e5bc</v>
    <v>en-US</v>
    <v>Map</v>
  </rv>
  <rv s="1">
    <v>536870912</v>
    <v>Subcarpathian Voivodeship</v>
    <v>f88dda2b-0c12-4d9a-984c-52115296336c</v>
    <v>en-US</v>
    <v>Map</v>
  </rv>
  <rv s="1">
    <v>536870912</v>
    <v>Lubusz Voivodeship</v>
    <v>c0d124dd-136d-3834-1fe8-efd33254942d</v>
    <v>en-US</v>
    <v>Map</v>
  </rv>
  <rv s="1">
    <v>536870912</v>
    <v>Pomeranian Voivodeship</v>
    <v>765662c5-0a8a-9aea-8c1c-c063ec4e16f8</v>
    <v>en-US</v>
    <v>Map</v>
  </rv>
  <rv s="1">
    <v>536870912</v>
    <v>Warmian–Masurian Voivodeship</v>
    <v>eed14489-8bcb-c40c-6362-4e95235cce3f</v>
    <v>en-US</v>
    <v>Map</v>
  </rv>
  <rv s="1">
    <v>536870912</v>
    <v>Silesian Voivodeship</v>
    <v>21f7e450-daba-be7f-4ac9-7f73980437c9</v>
    <v>en-US</v>
    <v>Map</v>
  </rv>
  <rv s="1">
    <v>536870912</v>
    <v>Podlaskie Voivodeship</v>
    <v>82774917-52f8-91a2-e0f4-7810458bd6ed</v>
    <v>en-US</v>
    <v>Map</v>
  </rv>
  <rv s="1">
    <v>536870912</v>
    <v>West Pomeranian Voivodeship</v>
    <v>af2cc162-3439-53b4-582b-cb4495bdbf8e</v>
    <v>en-US</v>
    <v>Map</v>
  </rv>
  <rv s="1">
    <v>536870912</v>
    <v>Greater Poland Voivodeship</v>
    <v>edec10d8-3c1d-302b-daa4-5a643ab293e8</v>
    <v>en-US</v>
    <v>Map</v>
  </rv>
  <rv s="3">
    <v>531</v>
  </rv>
  <rv s="0">
    <fb>0.174019561608692</fb>
    <v>28</v>
  </rv>
  <rv s="0">
    <fb>0.40799999999999997</fb>
    <v>28</v>
  </rv>
  <rv s="0">
    <fb>3.4739999771118198E-2</fb>
    <v>35</v>
  </rv>
  <rv s="0">
    <fb>22796574</fb>
    <v>9</v>
  </rv>
  <rv s="9">
    <v>#VALUE!</v>
    <v>en-US</v>
    <v>1d6059a2-d1f1-d2d7-4261-dc7cd5cdb84b</v>
    <v>536870912</v>
    <v>1</v>
    <v>1196</v>
    <v>55</v>
    <v>Poland</v>
    <v>5</v>
    <v>6</v>
    <v>Map</v>
    <v>7</v>
    <v>625</v>
    <v>PL</v>
    <v>7576</v>
    <v>7577</v>
    <v>1857</v>
    <v>5962</v>
    <v>7578</v>
    <v>7567</v>
    <v>7579</v>
    <v>7580</v>
    <v>7581</v>
    <v>PLN</v>
    <v>Poland, officially the Republic of Poland, is a country in Central Europe. It extends from the Baltic Sea in the north to the Sudetes and Carpathian Mountains in the south, bordered by Lithuania and Russia to the northeast, Belarus and Ukraine ...</v>
    <v>7582</v>
    <v>7583</v>
    <v>7584</v>
    <v>7585</v>
    <v>2913</v>
    <v>7586</v>
    <v>7587</v>
    <v>7588</v>
    <v>7589</v>
    <v>7590</v>
    <v>7567</v>
    <v>7593</v>
    <v>7594</v>
    <v>7595</v>
    <v>7596</v>
    <v>1045</v>
    <v>7597</v>
    <v>Poland</v>
    <v>Poland Is Not Yet Lost</v>
    <v>7598</v>
    <v>Rzeczpospolita Polska</v>
    <v>7599</v>
    <v>7600</v>
    <v>7601</v>
    <v>605</v>
    <v>6331</v>
    <v>7602</v>
    <v>1167</v>
    <v>4185</v>
    <v>5824</v>
    <v>246</v>
    <v>7603</v>
    <v>7619</v>
    <v>7620</v>
    <v>1119</v>
    <v>7621</v>
    <v>7622</v>
    <v>Poland</v>
    <v>7623</v>
    <v>mdp/vdpid/191</v>
  </rv>
  <rv s="1">
    <v>536870912</v>
    <v>Lisbon</v>
    <v>9d006cb5-bff4-48b4-9c83-443eaf418b11</v>
    <v>en-US</v>
    <v>Map</v>
  </rv>
  <rv s="1">
    <v>536870912</v>
    <v>Lisbon District</v>
    <v>9aabe4c9-f2ff-745a-22b7-741589d147d3</v>
    <v>en-US</v>
    <v>Map</v>
  </rv>
  <rv s="0">
    <fb>100.05</fb>
    <v>9</v>
  </rv>
  <rv s="1">
    <v>536870912</v>
    <v>Portugal</v>
    <v>9e917e65-c588-a0b7-f336-52fc6b5b2052</v>
    <v>en-US</v>
    <v>Map</v>
  </rv>
  <rv s="2">
    <v>257</v>
    <v>7</v>
    <v>1197</v>
    <v>7</v>
    <v>0</v>
    <v>Image of Lisbon</v>
  </rv>
  <rv s="4">
    <v>https://www.bing.com/search?q=lisbon+portugal&amp;form=skydnc</v>
    <v>Learn more on Bing</v>
  </rv>
  <rv s="0">
    <fb>545923</fb>
    <v>9</v>
  </rv>
  <rv s="82">
    <v>#VALUE!</v>
    <v>en-US</v>
    <v>9d006cb5-bff4-48b4-9c83-443eaf418b11</v>
    <v>536870912</v>
    <v>1</v>
    <v>1198</v>
    <v>1199</v>
    <v>Lisbon</v>
    <v>5</v>
    <v>6</v>
    <v>Map</v>
    <v>7</v>
    <v>216</v>
    <v>7626</v>
    <v>7627</v>
    <v>7628</v>
    <v>Lisbon is the capital and largest city of Portugal, with an estimated population of 567,131 as of 2023 within its administrative limits and 2,961,177 within the metropolis. Lisbon is mainland Europe's westernmost capital city and the only one ...</v>
    <v>7629</v>
    <v>7630</v>
    <v>Lisbon</v>
    <v>7631</v>
    <v>Lisbon</v>
    <v>mdp/vdpid/161498680</v>
  </rv>
  <rv s="0">
    <fb>0.39452940398253294</fb>
    <v>28</v>
  </rv>
  <rv s="0">
    <fb>92225</fb>
    <v>9</v>
  </rv>
  <rv s="0">
    <fb>52000</fb>
    <v>9</v>
  </rv>
  <rv s="0">
    <fb>8.5</fb>
    <v>29</v>
  </rv>
  <rv s="0">
    <fb>351</fb>
    <v>30</v>
  </rv>
  <rv s="0">
    <fb>48741.764000000003</fb>
    <v>9</v>
  </rv>
  <rv s="0">
    <fb>110.624358614714</fb>
    <v>31</v>
  </rv>
  <rv s="0">
    <fb>3.3817841004612497E-3</fb>
    <v>28</v>
  </rv>
  <rv s="0">
    <fb>4662.6007998029399</fb>
    <v>9</v>
  </rv>
  <rv s="0">
    <fb>1.38</fb>
    <v>29</v>
  </rv>
  <rv s="0">
    <fb>0.34611423825368903</fb>
    <v>28</v>
  </rv>
  <rv s="0">
    <fb>77.024122555839</fb>
    <v>34</v>
  </rv>
  <rv s="0">
    <fb>237686075634.698</fb>
    <v>33</v>
  </rv>
  <rv s="0">
    <fb>1.0618313000000001</fb>
    <v>28</v>
  </rv>
  <rv s="0">
    <fb>0.63935809999999993</fb>
    <v>28</v>
  </rv>
  <rv s="2">
    <v>258</v>
    <v>7</v>
    <v>1201</v>
    <v>7</v>
    <v>0</v>
    <v>Image of Portugal</v>
  </rv>
  <rv s="1">
    <v>805306368</v>
    <v>Marcelo Rebelo de Sousa (President)</v>
    <v>cd15af88-d571-7e9f-0e69-8c7f54821ed3</v>
    <v>en-US</v>
    <v>Generic</v>
  </rv>
  <rv s="1">
    <v>805306368</v>
    <v>Luís Montenegro (Prime minister)</v>
    <v>5c7007c4-e5b4-49ae-8ea1-4431b1a749e8</v>
    <v>en-US</v>
    <v>Generic</v>
  </rv>
  <rv s="1">
    <v>805306368</v>
    <v>José Pedro Aguiar-Branco (Speaker)</v>
    <v>95843627-6eb2-f0c6-fd97-ab9a65bd40b9</v>
    <v>en-US</v>
    <v>Generic</v>
  </rv>
  <rv s="3">
    <v>532</v>
  </rv>
  <rv s="4">
    <v>https://www.bing.com/search?q=portugal&amp;form=skydnc</v>
    <v>Learn more on Bing</v>
  </rv>
  <rv s="0">
    <fb>81.3243902439024</fb>
    <v>34</v>
  </rv>
  <rv s="0">
    <fb>61933604857.411003</fb>
    <v>33</v>
  </rv>
  <rv s="0">
    <fb>3.78</fb>
    <v>32</v>
  </rv>
  <rv s="0">
    <fb>0.27650697260000001</fb>
    <v>28</v>
  </rv>
  <rv s="0">
    <fb>5.1239999999999997</fb>
    <v>29</v>
  </rv>
  <rv s="0">
    <fb>10379007</fb>
    <v>9</v>
  </rv>
  <rv s="0">
    <fb>0.41600000000000004</fb>
    <v>28</v>
  </rv>
  <rv s="0">
    <fb>0.58811000823974602</fb>
    <v>28</v>
  </rv>
  <rv s="1">
    <v>536870912</v>
    <v>Leiria District</v>
    <v>1e45c3ae-38a6-3ec3-3187-2e72c0cad027</v>
    <v>en-US</v>
    <v>Map</v>
  </rv>
  <rv s="1">
    <v>536870912</v>
    <v>Santarém District</v>
    <v>31ed3d3b-1669-48e6-9f45-7dff6e48107b</v>
    <v>en-US</v>
    <v>Map</v>
  </rv>
  <rv s="1">
    <v>536870912</v>
    <v>Setúbal District</v>
    <v>2443fa57-ba7a-ca6f-6988-b7bb998c209d</v>
    <v>en-US</v>
    <v>Map</v>
  </rv>
  <rv s="1">
    <v>536870912</v>
    <v>Beja District</v>
    <v>57132a4f-ab86-49cc-9a10-eea78fe194c6</v>
    <v>en-US</v>
    <v>Map</v>
  </rv>
  <rv s="1">
    <v>536870912</v>
    <v>Faro District</v>
    <v>0f961e40-6a20-4ce7-9c8b-3c9484a39b31</v>
    <v>en-US</v>
    <v>Map</v>
  </rv>
  <rv s="1">
    <v>536870912</v>
    <v>Évora District</v>
    <v>9f2c1154-ba9c-42db-b07d-6ac93b22f847</v>
    <v>en-US</v>
    <v>Map</v>
  </rv>
  <rv s="1">
    <v>536870912</v>
    <v>Portalegre District</v>
    <v>0509a564-38fa-4a46-85bd-79ea9cfb105b</v>
    <v>en-US</v>
    <v>Map</v>
  </rv>
  <rv s="1">
    <v>536870912</v>
    <v>Castelo Branco District</v>
    <v>fb4769a8-e791-44cf-b415-49b116c2d850</v>
    <v>en-US</v>
    <v>Map</v>
  </rv>
  <rv s="1">
    <v>536870912</v>
    <v>Guarda District</v>
    <v>a6ab4e89-16d3-c736-2651-53af26e5c9fb</v>
    <v>en-US</v>
    <v>Map</v>
  </rv>
  <rv s="1">
    <v>536870912</v>
    <v>Coimbra District</v>
    <v>eaabde58-df44-d3f2-fcaf-2eb0b0c892ca</v>
    <v>en-US</v>
    <v>Map</v>
  </rv>
  <rv s="1">
    <v>536870912</v>
    <v>Aveiro District</v>
    <v>2448fddc-7ab4-4061-c990-7ee0e882b83f</v>
    <v>en-US</v>
    <v>Map</v>
  </rv>
  <rv s="1">
    <v>536870912</v>
    <v>Viseu District</v>
    <v>4af2c91e-a2d9-03c8-4bcc-d0e611b7a836</v>
    <v>en-US</v>
    <v>Map</v>
  </rv>
  <rv s="1">
    <v>536870912</v>
    <v>Bragança District</v>
    <v>511e9c5a-156c-4018-b440-d68a04fdd311</v>
    <v>en-US</v>
    <v>Map</v>
  </rv>
  <rv s="1">
    <v>536870912</v>
    <v>Vila Real District</v>
    <v>16491095-1ede-45bc-b4f9-d0b768b902b4</v>
    <v>en-US</v>
    <v>Map</v>
  </rv>
  <rv s="1">
    <v>536870912</v>
    <v>Porto District</v>
    <v>ab024f06-dfa0-f5d5-2ace-323a59e1c03f</v>
    <v>en-US</v>
    <v>Map</v>
  </rv>
  <rv s="1">
    <v>536870912</v>
    <v>Braga District</v>
    <v>bf9b0bf5-80ec-1d9e-e2bb-f15cfff91b3f</v>
    <v>en-US</v>
    <v>Map</v>
  </rv>
  <rv s="1">
    <v>536870912</v>
    <v>Viana do Castelo District</v>
    <v>e82c5675-25b8-35f8-dd22-1d162bbc45bd</v>
    <v>en-US</v>
    <v>Map</v>
  </rv>
  <rv s="1">
    <v>536870912</v>
    <v>Madeira</v>
    <v>fd1c338d-a716-e095-102a-5ac3106ddd68</v>
    <v>en-US</v>
    <v>Map</v>
  </rv>
  <rv s="1">
    <v>536870912</v>
    <v>Azores</v>
    <v>162558d5-afd4-4b00-9d00-54ad16880f8b</v>
    <v>en-US</v>
    <v>Map</v>
  </rv>
  <rv s="3">
    <v>533</v>
  </rv>
  <rv s="0">
    <fb>0.227551770073532</fb>
    <v>28</v>
  </rv>
  <rv s="3">
    <v>534</v>
  </rv>
  <rv s="0">
    <fb>6.33400011062622E-2</fb>
    <v>35</v>
  </rv>
  <rv s="0">
    <fb>6753579</fb>
    <v>9</v>
  </rv>
  <rv s="9">
    <v>#VALUE!</v>
    <v>en-US</v>
    <v>9e917e65-c588-a0b7-f336-52fc6b5b2052</v>
    <v>536870912</v>
    <v>1</v>
    <v>1204</v>
    <v>55</v>
    <v>Portugal</v>
    <v>5</v>
    <v>6</v>
    <v>Map</v>
    <v>7</v>
    <v>185</v>
    <v>PT</v>
    <v>7633</v>
    <v>7634</v>
    <v>7635</v>
    <v>7636</v>
    <v>7637</v>
    <v>7625</v>
    <v>7638</v>
    <v>7639</v>
    <v>7640</v>
    <v>EUR</v>
    <v>Portugal, officially the Portuguese Republic, is a country in the Iberian Peninsula in Southwestern Europe. Featuring the westernmost point in continental Europe, Portugal borders Spain to its north and east, with which it shares the longest ...</v>
    <v>7641</v>
    <v>7642</v>
    <v>7643</v>
    <v>7644</v>
    <v>3956</v>
    <v>7645</v>
    <v>7646</v>
    <v>7647</v>
    <v>7648</v>
    <v>635</v>
    <v>7625</v>
    <v>7652</v>
    <v>7653</v>
    <v>7654</v>
    <v>7655</v>
    <v>2628</v>
    <v>7656</v>
    <v>Portugal</v>
    <v>A Portuguesa</v>
    <v>1526</v>
    <v>Portugalská republika</v>
    <v>7657</v>
    <v>7658</v>
    <v>7659</v>
    <v>648</v>
    <v>4740</v>
    <v>7660</v>
    <v>1287</v>
    <v>652</v>
    <v>940</v>
    <v>178</v>
    <v>7661</v>
    <v>7681</v>
    <v>7682</v>
    <v>7683</v>
    <v>5708</v>
    <v>7684</v>
    <v>Portugal</v>
    <v>7685</v>
    <v>mdp/vdpid/193</v>
  </rv>
  <rv s="1">
    <v>536870912</v>
    <v>Doha</v>
    <v>c5b0d5d3-8bd3-bd8d-1f71-c25a489a1a0d</v>
    <v>en-US</v>
    <v>Map</v>
  </rv>
  <rv s="0">
    <fb>132.08939362699999</fb>
    <v>9</v>
  </rv>
  <rv s="1">
    <v>536870912</v>
    <v>Qatar</v>
    <v>12aef15b-0748-2538-a691-1f10b68d6fc2</v>
    <v>en-US</v>
    <v>Map</v>
  </rv>
  <rv s="2">
    <v>259</v>
    <v>7</v>
    <v>1206</v>
    <v>7</v>
    <v>0</v>
    <v>Image of Doha</v>
  </rv>
  <rv s="4">
    <v>https://www.bing.com/search?q=doha&amp;form=skydnc</v>
    <v>Learn more on Bing</v>
  </rv>
  <rv s="0">
    <fb>1186023</fb>
    <v>9</v>
  </rv>
  <rv s="83">
    <v>#VALUE!</v>
    <v>en-US</v>
    <v>c5b0d5d3-8bd3-bd8d-1f71-c25a489a1a0d</v>
    <v>536870912</v>
    <v>1</v>
    <v>1207</v>
    <v>1208</v>
    <v>Doha</v>
    <v>5</v>
    <v>6</v>
    <v>Map</v>
    <v>7</v>
    <v>8</v>
    <v>QA-DA</v>
    <v>7688</v>
    <v>7689</v>
    <v>Doha is the capital city and main financial hub of Qatar. Located on the Persian Gulf coast in the east of the country, north of Al Wakrah and south of Al Khor, it is home to most of the country's population. It is also Qatar's fastest growing ...</v>
    <v>7690</v>
    <v>7691</v>
    <v>Doha</v>
    <v>7692</v>
    <v>Doha</v>
    <v>mdp/vdpid/7375056802527838209</v>
  </rv>
  <rv s="0">
    <fb>5.7708871662360002E-2</fb>
    <v>28</v>
  </rv>
  <rv s="0">
    <fb>11437</fb>
    <v>9</v>
  </rv>
  <rv s="0">
    <fb>9.5410000000000004</fb>
    <v>29</v>
  </rv>
  <rv s="0">
    <fb>974</fb>
    <v>30</v>
  </rv>
  <rv s="0">
    <fb>103259.053</fb>
    <v>9</v>
  </rv>
  <rv s="0">
    <fb>115.380849813981</fb>
    <v>31</v>
  </rv>
  <rv s="0">
    <fb>-6.6664112486110204E-3</fb>
    <v>28</v>
  </rv>
  <rv s="0">
    <fb>14781.648325999</fb>
    <v>9</v>
  </rv>
  <rv s="0">
    <fb>1.8660000000000001</fb>
    <v>29</v>
  </rv>
  <rv s="0">
    <fb>0</fb>
    <v>28</v>
  </rv>
  <rv s="0">
    <fb>99.995026721051204</fb>
    <v>34</v>
  </rv>
  <rv s="0">
    <fb>183466208791.20901</fb>
    <v>33</v>
  </rv>
  <rv s="0">
    <fb>1.0384244</fb>
    <v>28</v>
  </rv>
  <rv s="0">
    <fb>0.1786992</fb>
    <v>28</v>
  </rv>
  <rv s="2">
    <v>260</v>
    <v>7</v>
    <v>1210</v>
    <v>7</v>
    <v>0</v>
    <v>Image of Qatar</v>
  </rv>
  <rv s="0">
    <fb>5.8</fb>
    <v>34</v>
  </rv>
  <rv s="1">
    <v>805306368</v>
    <v>Tamim bin Hamad Al Thani (Emir)</v>
    <v>a1db2975-3bae-c431-415e-f2760e58c99a</v>
    <v>en-US</v>
    <v>Generic</v>
  </rv>
  <rv s="1">
    <v>805306368</v>
    <v>Mohammed bin Abdulrahman bin Jassim Al Thani (Prime minister)</v>
    <v>ce42d931-a963-98de-26d9-0b1ba94ce2b3</v>
    <v>en-US</v>
    <v>Generic</v>
  </rv>
  <rv s="3">
    <v>535</v>
  </rv>
  <rv s="4">
    <v>https://www.bing.com/search?q=qatar+country&amp;form=skydnc</v>
    <v>Learn more on Bing</v>
  </rv>
  <rv s="0">
    <fb>80.099999999999994</fb>
    <v>34</v>
  </rv>
  <rv s="0">
    <fb>160050720000</fb>
    <v>33</v>
  </rv>
  <rv s="0">
    <fb>6.2283750999999998E-2</fb>
    <v>28</v>
  </rv>
  <rv s="0">
    <fb>2.4851999999999999</fb>
    <v>29</v>
  </rv>
  <rv s="0">
    <fb>2695122</fb>
    <v>9</v>
  </rv>
  <rv s="0">
    <fb>0.86819999694824201</fb>
    <v>28</v>
  </rv>
  <rv s="1">
    <v>536870912</v>
    <v>Al Khor</v>
    <v>72adf305-d5e2-3388-1472-17d5f43e48a9</v>
    <v>en-US</v>
    <v>Map</v>
  </rv>
  <rv s="1">
    <v>536870912</v>
    <v>Al Wakrah</v>
    <v>4c88a270-4eb0-5c50-1314-b484c89246f1</v>
    <v>en-US</v>
    <v>Map</v>
  </rv>
  <rv s="1">
    <v>536870912</v>
    <v>Al Rayyan</v>
    <v>9bf93336-1924-2e5e-cb2a-f85b1cc21f34</v>
    <v>en-US</v>
    <v>Map</v>
  </rv>
  <rv s="1">
    <v>536870912</v>
    <v>Jariyan Al Batnah</v>
    <v>13a58772-da11-6e20-7ac4-ee6c4c23de37</v>
    <v>en-US</v>
    <v>Map</v>
  </rv>
  <rv s="1">
    <v>536870912</v>
    <v>Al Shamal</v>
    <v>0e293f7b-8248-ad3b-91d1-bd49d93a952b</v>
    <v>en-US</v>
    <v>Map</v>
  </rv>
  <rv s="1">
    <v>536870912</v>
    <v>Umm Salal</v>
    <v>2178500b-c8f4-b470-ce7b-5b59055fa6bb</v>
    <v>en-US</v>
    <v>Map</v>
  </rv>
  <rv s="1">
    <v>536870912</v>
    <v>Mesaieed</v>
    <v>37ee76df-633c-3402-1b3d-b2d007177bce</v>
    <v>en-US</v>
    <v>Map</v>
  </rv>
  <rv s="3">
    <v>536</v>
  </rv>
  <rv s="0">
    <fb>0.14654950961848401</fb>
    <v>28</v>
  </rv>
  <rv s="0">
    <fb>9.0999998152255994E-4</fb>
    <v>35</v>
  </rv>
  <rv s="0">
    <fb>2809071</fb>
    <v>9</v>
  </rv>
  <rv s="84">
    <v>#VALUE!</v>
    <v>en-US</v>
    <v>12aef15b-0748-2538-a691-1f10b68d6fc2</v>
    <v>536870912</v>
    <v>1</v>
    <v>1213</v>
    <v>1214</v>
    <v>Qatar</v>
    <v>5</v>
    <v>6</v>
    <v>Map</v>
    <v>7</v>
    <v>1215</v>
    <v>QA</v>
    <v>7694</v>
    <v>7695</v>
    <v>5522</v>
    <v>7696</v>
    <v>7697</v>
    <v>7687</v>
    <v>7698</v>
    <v>7699</v>
    <v>7700</v>
    <v>QAR</v>
    <v>Qatar, officially the State of Qatar, is a country in West Asia. It occupies the Qatar Peninsula on the northeastern coast of the Arabian Peninsula in the Middle East; it shares its sole land border with Saudi Arabia to the south, with the rest ...</v>
    <v>7701</v>
    <v>7702</v>
    <v>7703</v>
    <v>7704</v>
    <v>2925</v>
    <v>7705</v>
    <v>7706</v>
    <v>7707</v>
    <v>7708</v>
    <v>7709</v>
    <v>7687</v>
    <v>7712</v>
    <v>7713</v>
    <v>7714</v>
    <v>7715</v>
    <v>3392</v>
    <v>Qatar</v>
    <v>As-Salam al-Amiri</v>
    <v>5321</v>
    <v>l’État du Qatar</v>
    <v>7716</v>
    <v>7717</v>
    <v>7718</v>
    <v>7719</v>
    <v>7727</v>
    <v>7728</v>
    <v>1020</v>
    <v>3490</v>
    <v>7729</v>
    <v>Qatar</v>
    <v>7730</v>
    <v>mdp/vdpid/197</v>
  </rv>
  <rv s="1">
    <v>536870912</v>
    <v>Bucharest</v>
    <v>42022f97-112e-58a6-70f5-9536b20ee957</v>
    <v>en-US</v>
    <v>Map</v>
  </rv>
  <rv s="0">
    <fb>226</fb>
    <v>9</v>
  </rv>
  <rv s="1">
    <v>536870912</v>
    <v>Romanian People's Republic</v>
    <v>0b361d3e-209b-6b39-95fb-f28185ed0ac1</v>
    <v>en-US</v>
    <v>Map</v>
  </rv>
  <rv s="2">
    <v>261</v>
    <v>7</v>
    <v>1216</v>
    <v>7</v>
    <v>0</v>
    <v>Image of Bucharest</v>
  </rv>
  <rv s="1">
    <v>805306368</v>
    <v>Nicușor Dan (Mayor)</v>
    <v>84785328-5d1c-8d8d-bc43-e723457bf6eb</v>
    <v>en-US</v>
    <v>Generic</v>
  </rv>
  <rv s="3">
    <v>537</v>
  </rv>
  <rv s="4">
    <v>https://www.bing.com/search?q=bucharest+romania&amp;form=skydnc</v>
    <v>Learn more on Bing</v>
  </rv>
  <rv s="0">
    <fb>1716961</fb>
    <v>9</v>
  </rv>
  <rv s="30">
    <v>#VALUE!</v>
    <v>en-US</v>
    <v>42022f97-112e-58a6-70f5-9536b20ee957</v>
    <v>536870912</v>
    <v>1</v>
    <v>1218</v>
    <v>294</v>
    <v>Bucharest</v>
    <v>5</v>
    <v>6</v>
    <v>Map</v>
    <v>7</v>
    <v>216</v>
    <v>RO-B</v>
    <v>7733</v>
    <v>7734</v>
    <v>Bucharest is the capital and largest city of Romania. The metropolis stands on the River Dâmbovița in south-eastern Romania. Its population is officially estimated at 1.76 million residents within a greater metropolitan area of 2.3 million ...</v>
    <v>7735</v>
    <v>7737</v>
    <v>7738</v>
    <v>Bucharest</v>
    <v>7739</v>
    <v>Bucharest</v>
    <v>mdp/vdpid/7242405126827147265</v>
  </rv>
  <rv s="1">
    <v>536870912</v>
    <v>Moscow</v>
    <v>6bb559e5-6af9-adf8-d8bc-7f999aba8a3a</v>
    <v>en-US</v>
    <v>Map</v>
  </rv>
  <rv s="0">
    <fb>2562</fb>
    <v>9</v>
  </rv>
  <rv s="1">
    <v>536870912</v>
    <v>Russia</v>
    <v>ed4fce79-8ad4-352b-205b-e4db36c49bbe</v>
    <v>en-US</v>
    <v>Map</v>
  </rv>
  <rv s="2">
    <v>262</v>
    <v>7</v>
    <v>1219</v>
    <v>7</v>
    <v>0</v>
    <v>Image of Moscow</v>
  </rv>
  <rv s="1">
    <v>805306368</v>
    <v>Sergey Sobyanin (Mayor)</v>
    <v>6b5f6242-dae9-73d7-5afb-baedbd37479a</v>
    <v>en-US</v>
    <v>Generic</v>
  </rv>
  <rv s="3">
    <v>538</v>
  </rv>
  <rv s="4">
    <v>https://www.bing.com/search?q=moscow+russia&amp;form=skydnc</v>
    <v>Learn more on Bing</v>
  </rv>
  <rv s="3">
    <v>539</v>
  </rv>
  <rv s="0">
    <fb>13010112</fb>
    <v>9</v>
  </rv>
  <rv s="3">
    <v>540</v>
  </rv>
  <rv s="18">
    <v>#VALUE!</v>
    <v>en-US</v>
    <v>6bb559e5-6af9-adf8-d8bc-7f999aba8a3a</v>
    <v>536870912</v>
    <v>1</v>
    <v>1221</v>
    <v>124</v>
    <v>Moscow</v>
    <v>5</v>
    <v>6</v>
    <v>Map</v>
    <v>7</v>
    <v>216</v>
    <v>RU-MOW</v>
    <v>7742</v>
    <v>7743</v>
    <v>Moscow is the capital and largest city of Russia. The city stands on the Moskva River in Central Russia, with a population estimated at over 13 million residents within the city limits, over 19.1 million residents in the urban area, and over ...</v>
    <v>7744</v>
    <v>7746</v>
    <v>7747</v>
    <v>Moscow</v>
    <v>7748</v>
    <v>7749</v>
    <v>7750</v>
    <v>Moscow</v>
    <v>mdp/vdpid/7053257137799036941</v>
  </rv>
  <rv s="0">
    <fb>0.13294470341402198</fb>
    <v>28</v>
  </rv>
  <rv s="0">
    <fb>17075400</fb>
    <v>9</v>
  </rv>
  <rv s="0">
    <fb>1454000</fb>
    <v>9</v>
  </rv>
  <rv s="0">
    <fb>11.5</fb>
    <v>29</v>
  </rv>
  <rv s="0">
    <fb>7</fb>
    <v>30</v>
  </rv>
  <rv s="0">
    <fb>1732026.7760000001</fb>
    <v>9</v>
  </rv>
  <rv s="0">
    <fb>180.74643865422601</fb>
    <v>31</v>
  </rv>
  <rv s="0">
    <fb>4.4703597689969995E-2</fb>
    <v>28</v>
  </rv>
  <rv s="0">
    <fb>6602.6575252928196</fb>
    <v>9</v>
  </rv>
  <rv s="0">
    <fb>1.57</fb>
    <v>29</v>
  </rv>
  <rv s="0">
    <fb>0.49758561923004796</fb>
    <v>28</v>
  </rv>
  <rv s="0">
    <fb>92.142875817828696</fb>
    <v>34</v>
  </rv>
  <rv s="0">
    <fb>0.59</fb>
    <v>32</v>
  </rv>
  <rv s="0">
    <fb>1699876578871.3501</fb>
    <v>33</v>
  </rv>
  <rv s="0">
    <fb>1.0258246</fb>
    <v>28</v>
  </rv>
  <rv s="0">
    <fb>0.81909310000000002</fb>
    <v>28</v>
  </rv>
  <rv s="2">
    <v>263</v>
    <v>7</v>
    <v>1223</v>
    <v>7</v>
    <v>0</v>
    <v>Image of Russia</v>
  </rv>
  <rv s="1">
    <v>805306368</v>
    <v>Vladimir Putin (President)</v>
    <v>60d41b9e-06ae-967b-bcc5-97ad4a13d29c</v>
    <v>en-US</v>
    <v>Generic</v>
  </rv>
  <rv s="1">
    <v>805306368</v>
    <v>Mikhail Mishustin (Prime minister)</v>
    <v>8176b935-a6dc-cfbe-2565-cfb891845a4a</v>
    <v>en-US</v>
    <v>Generic</v>
  </rv>
  <rv s="3">
    <v>541</v>
  </rv>
  <rv s="4">
    <v>https://www.bing.com/search?q=russia&amp;form=skydnc</v>
    <v>Learn more on Bing</v>
  </rv>
  <rv s="0">
    <fb>72.657317073170702</fb>
    <v>34</v>
  </rv>
  <rv s="0">
    <fb>576116340000</fb>
    <v>33</v>
  </rv>
  <rv s="0">
    <fb>17</fb>
    <v>34</v>
  </rv>
  <rv s="0">
    <fb>0.36436404289999996</fb>
    <v>28</v>
  </rv>
  <rv s="0">
    <fb>4.0138999999999996</fb>
    <v>29</v>
  </rv>
  <rv s="0">
    <fb>143555736</fb>
    <v>9</v>
  </rv>
  <rv s="0">
    <fb>0.45100000000000001</fb>
    <v>28</v>
  </rv>
  <rv s="0">
    <fb>7.0999999999999994E-2</fb>
    <v>28</v>
  </rv>
  <rv s="0">
    <fb>0.61800998687744102</fb>
    <v>28</v>
  </rv>
  <rv s="1">
    <v>536870912</v>
    <v>Adygea</v>
    <v>22b5ba45-672e-34b8-e6f1-db4a112d6473</v>
    <v>en-US</v>
    <v>Map</v>
  </rv>
  <rv s="1">
    <v>536870912</v>
    <v>Altai Republic</v>
    <v>bc671e26-2d75-8823-293a-5af58859f724</v>
    <v>en-US</v>
    <v>Map</v>
  </rv>
  <rv s="1">
    <v>536870912</v>
    <v>Bashkortostan</v>
    <v>fc6eab09-3383-820f-1442-4f6dde32cbf9</v>
    <v>en-US</v>
    <v>Map</v>
  </rv>
  <rv s="1">
    <v>536870912</v>
    <v>Buryatia</v>
    <v>559aae54-84df-2df7-b208-d0e2975a541f</v>
    <v>en-US</v>
    <v>Map</v>
  </rv>
  <rv s="1">
    <v>536870912</v>
    <v>Dagestan</v>
    <v>7be0631e-08a6-71a2-bd8f-1be3fab541d4</v>
    <v>en-US</v>
    <v>Map</v>
  </rv>
  <rv s="1">
    <v>536870912</v>
    <v>Ingushetia</v>
    <v>d71ef53a-a58c-2149-fc5b-7f305c67d703</v>
    <v>en-US</v>
    <v>Map</v>
  </rv>
  <rv s="1">
    <v>536870912</v>
    <v>Kabardino-Balkaria</v>
    <v>3c3eefab-1013-5556-2903-4a792d0de818</v>
    <v>en-US</v>
    <v>Map</v>
  </rv>
  <rv s="1">
    <v>536870912</v>
    <v>Kalmykia</v>
    <v>aa5d46bb-1a45-ccab-629e-32a57e11433b</v>
    <v>en-US</v>
    <v>Map</v>
  </rv>
  <rv s="1">
    <v>536870912</v>
    <v>Karachay-Cherkessia</v>
    <v>427be6f6-6a91-8144-0b4b-023b249fb86c</v>
    <v>en-US</v>
    <v>Map</v>
  </rv>
  <rv s="1">
    <v>536870912</v>
    <v>Komi Republic</v>
    <v>7ef61531-763c-4148-8cc5-3804e7ea0b0f</v>
    <v>en-US</v>
    <v>Map</v>
  </rv>
  <rv s="1">
    <v>536870912</v>
    <v>Stavropol Krai</v>
    <v>cea31d3e-370c-d7b9-8aa9-739d9a55a85a</v>
    <v>en-US</v>
    <v>Map</v>
  </rv>
  <rv s="1">
    <v>536870912</v>
    <v>Mari El</v>
    <v>b89c03bf-1661-bc0b-45ea-52497ba4afaf</v>
    <v>en-US</v>
    <v>Map</v>
  </rv>
  <rv s="1">
    <v>536870912</v>
    <v>Mordovia</v>
    <v>f239c732-02c7-4a65-ceef-e3e0f395c4ad</v>
    <v>en-US</v>
    <v>Map</v>
  </rv>
  <rv s="1">
    <v>536870912</v>
    <v>Sakha Republic</v>
    <v>ea625ee4-93bc-476d-b81d-2daeb4e75cc9</v>
    <v>en-US</v>
    <v>Map</v>
  </rv>
  <rv s="1">
    <v>536870912</v>
    <v>North Ossetia–Alania</v>
    <v>d769211e-6a13-19e2-34f9-58681d88ee0e</v>
    <v>en-US</v>
    <v>Map</v>
  </rv>
  <rv s="1">
    <v>536870912</v>
    <v>Tatarstan</v>
    <v>7e36bead-7c24-03eb-3164-2a047e5b7eb1</v>
    <v>en-US</v>
    <v>Map</v>
  </rv>
  <rv s="1">
    <v>536870912</v>
    <v>Tuva</v>
    <v>ab07bfe8-07ff-28f8-5b60-d4cd5e7f48f8</v>
    <v>en-US</v>
    <v>Map</v>
  </rv>
  <rv s="1">
    <v>536870912</v>
    <v>Udmurtia</v>
    <v>9650b146-7f52-f62d-cc53-c0f71081c647</v>
    <v>en-US</v>
    <v>Map</v>
  </rv>
  <rv s="1">
    <v>536870912</v>
    <v>Khakassia</v>
    <v>f1e1928b-1461-ec9b-f1f0-d161dfb0ded0</v>
    <v>en-US</v>
    <v>Map</v>
  </rv>
  <rv s="1">
    <v>536870912</v>
    <v>Chechnya</v>
    <v>380a5b31-8fbf-1061-698e-34d4218fc514</v>
    <v>en-US</v>
    <v>Map</v>
  </rv>
  <rv s="1">
    <v>536870912</v>
    <v>Chuvashia</v>
    <v>52dde999-303c-705c-0053-8cd4a44ea3bc</v>
    <v>en-US</v>
    <v>Map</v>
  </rv>
  <rv s="1">
    <v>536870912</v>
    <v>Altai Krai</v>
    <v>5e9c8636-bfc7-6ace-eac3-4751db61d1cd</v>
    <v>en-US</v>
    <v>Map</v>
  </rv>
  <rv s="1">
    <v>536870912</v>
    <v>Krasnodar Krai</v>
    <v>9a429c3b-d4ba-835f-1b73-b43e11683d61</v>
    <v>en-US</v>
    <v>Map</v>
  </rv>
  <rv s="1">
    <v>536870912</v>
    <v>Krasnoyarsk Krai</v>
    <v>1266f13e-65bc-fc05-ccd0-3c7a17af0597</v>
    <v>en-US</v>
    <v>Map</v>
  </rv>
  <rv s="1">
    <v>536870912</v>
    <v>Primorsky Krai</v>
    <v>c162694d-0600-3d2a-14ab-bd32888d7c8d</v>
    <v>en-US</v>
    <v>Map</v>
  </rv>
  <rv s="1">
    <v>536870912</v>
    <v>Khabarovsk Krai</v>
    <v>02068939-5788-e619-fddd-7743d37b74b3</v>
    <v>en-US</v>
    <v>Map</v>
  </rv>
  <rv s="1">
    <v>536870912</v>
    <v>Amur Oblast</v>
    <v>706fd605-8507-bdd1-46b4-ee14136bf6f2</v>
    <v>en-US</v>
    <v>Map</v>
  </rv>
  <rv s="1">
    <v>536870912</v>
    <v>Astrakhan Oblast</v>
    <v>06c7a94b-2d3b-41f7-ad05-8d46bb820ade</v>
    <v>en-US</v>
    <v>Map</v>
  </rv>
  <rv s="1">
    <v>536870912</v>
    <v>Arkhangelsk Oblast</v>
    <v>a26f0229-f4b7-1b73-1448-9522bf6b8a00</v>
    <v>en-US</v>
    <v>Map</v>
  </rv>
  <rv s="1">
    <v>536870912</v>
    <v>Belgorod Oblast</v>
    <v>c8940f0f-9335-1cda-1a75-5dd0ab1960ff</v>
    <v>en-US</v>
    <v>Map</v>
  </rv>
  <rv s="1">
    <v>536870912</v>
    <v>Bryansk Oblast</v>
    <v>0ea1957d-9d7f-b8a7-f59b-31b5d6b1bd4a</v>
    <v>en-US</v>
    <v>Map</v>
  </rv>
  <rv s="1">
    <v>536870912</v>
    <v>Vladimir Oblast</v>
    <v>2d317c56-15fe-4a06-56e0-02319a666d05</v>
    <v>en-US</v>
    <v>Map</v>
  </rv>
  <rv s="1">
    <v>536870912</v>
    <v>Volgograd Oblast</v>
    <v>8b9d97f0-f2de-ac3e-5891-976a9a8b1e60</v>
    <v>en-US</v>
    <v>Map</v>
  </rv>
  <rv s="1">
    <v>536870912</v>
    <v>Vologda Oblast</v>
    <v>e52cd8ce-a2fe-316d-8b57-f4e3b77333a5</v>
    <v>en-US</v>
    <v>Map</v>
  </rv>
  <rv s="1">
    <v>536870912</v>
    <v>Voronezh Oblast</v>
    <v>9b7449fa-9d99-9753-8580-fc09a3e938a1</v>
    <v>en-US</v>
    <v>Map</v>
  </rv>
  <rv s="1">
    <v>536870912</v>
    <v>Ivanovo Oblast</v>
    <v>fdcd3a68-b12f-1397-beb5-b43095d4606b</v>
    <v>en-US</v>
    <v>Map</v>
  </rv>
  <rv s="1">
    <v>536870912</v>
    <v>Irkutsk Oblast</v>
    <v>d1d27863-f692-cd79-ec4a-a224cb9b6b50</v>
    <v>en-US</v>
    <v>Map</v>
  </rv>
  <rv s="1">
    <v>536870912</v>
    <v>Kaliningrad Oblast</v>
    <v>7898a7d2-2c53-4ac9-fd66-da04a64ed92e</v>
    <v>en-US</v>
    <v>Map</v>
  </rv>
  <rv s="1">
    <v>536870912</v>
    <v>Kaluga Oblast</v>
    <v>97df7123-82c1-1ae8-dc29-631fa213b57f</v>
    <v>en-US</v>
    <v>Map</v>
  </rv>
  <rv s="1">
    <v>536870912</v>
    <v>Kamchatka Krai</v>
    <v>aa601ace-14aa-0457-d7e0-cc6046c92351</v>
    <v>en-US</v>
    <v>Map</v>
  </rv>
  <rv s="1">
    <v>536870912</v>
    <v>Kemerovo Oblast</v>
    <v>1e6a003a-be48-9fa5-55bd-e117a8409e45</v>
    <v>en-US</v>
    <v>Map</v>
  </rv>
  <rv s="1">
    <v>536870912</v>
    <v>Kirov Oblast</v>
    <v>d59795b1-20b4-27f8-b756-5227d25439ae</v>
    <v>en-US</v>
    <v>Map</v>
  </rv>
  <rv s="1">
    <v>536870912</v>
    <v>Kostroma Oblast</v>
    <v>48255075-9db6-a984-2d1d-fcf0441e427b</v>
    <v>en-US</v>
    <v>Map</v>
  </rv>
  <rv s="1">
    <v>536870912</v>
    <v>Kurgan Oblast</v>
    <v>903834e8-fe8c-1307-487f-0fb6d8993461</v>
    <v>en-US</v>
    <v>Map</v>
  </rv>
  <rv s="1">
    <v>536870912</v>
    <v>Kursk Oblast</v>
    <v>567e1124-acb2-49af-175b-c71b4a0ba198</v>
    <v>en-US</v>
    <v>Map</v>
  </rv>
  <rv s="1">
    <v>536870912</v>
    <v>Leningrad Oblast</v>
    <v>5c4a620f-878c-b7a4-a401-7f5115731d25</v>
    <v>en-US</v>
    <v>Map</v>
  </rv>
  <rv s="1">
    <v>536870912</v>
    <v>Lipetsk Oblast</v>
    <v>f35c04f7-4cb7-0802-ca04-755f7af52074</v>
    <v>en-US</v>
    <v>Map</v>
  </rv>
  <rv s="1">
    <v>536870912</v>
    <v>Magadan Oblast</v>
    <v>41a617f0-e934-53ad-bb6c-2cac390b18ba</v>
    <v>en-US</v>
    <v>Map</v>
  </rv>
  <rv s="1">
    <v>536870912</v>
    <v>Moscow Oblast</v>
    <v>dd63de90-3429-69f1-11c7-7129ec818a44</v>
    <v>en-US</v>
    <v>Map</v>
  </rv>
  <rv s="1">
    <v>536870912</v>
    <v>Murmansk Oblast</v>
    <v>07a783e3-274d-ec11-cee4-83081096a87f</v>
    <v>en-US</v>
    <v>Map</v>
  </rv>
  <rv s="1">
    <v>536870912</v>
    <v>Nizhny Novgorod Oblast</v>
    <v>691cbf3e-b13a-27a2-730d-d3a89a54588c</v>
    <v>en-US</v>
    <v>Map</v>
  </rv>
  <rv s="1">
    <v>536870912</v>
    <v>Novgorod Oblast</v>
    <v>5c6f11f1-917e-4dd9-5f0f-bca854810e3e</v>
    <v>en-US</v>
    <v>Map</v>
  </rv>
  <rv s="1">
    <v>536870912</v>
    <v>Novosibirsk Oblast</v>
    <v>e05e3666-c6d4-b98c-cf0b-3f8fbdcca509</v>
    <v>en-US</v>
    <v>Map</v>
  </rv>
  <rv s="1">
    <v>536870912</v>
    <v>Omsk Oblast</v>
    <v>ca626861-e115-9a15-2bb4-9047d7b785cd</v>
    <v>en-US</v>
    <v>Map</v>
  </rv>
  <rv s="1">
    <v>536870912</v>
    <v>Orenburg Oblast</v>
    <v>e416ef3d-74dd-73c7-82c5-e10e02791bfb</v>
    <v>en-US</v>
    <v>Map</v>
  </rv>
  <rv s="1">
    <v>536870912</v>
    <v>Oryol Oblast</v>
    <v>30918ef9-6129-11eb-d922-92a0eda65b46</v>
    <v>en-US</v>
    <v>Map</v>
  </rv>
  <rv s="1">
    <v>536870912</v>
    <v>Penza Oblast</v>
    <v>6037735b-86a2-89e3-37b1-b7b82ed427b8</v>
    <v>en-US</v>
    <v>Map</v>
  </rv>
  <rv s="1">
    <v>536870912</v>
    <v>Perm Krai</v>
    <v>e3254562-12b4-8af6-5efc-c33e6b4cc2fd</v>
    <v>en-US</v>
    <v>Map</v>
  </rv>
  <rv s="1">
    <v>536870912</v>
    <v>Pskov Oblast</v>
    <v>c4c338de-2857-ea26-c274-85903024dee2</v>
    <v>en-US</v>
    <v>Map</v>
  </rv>
  <rv s="1">
    <v>536870912</v>
    <v>Rostov Oblast</v>
    <v>05c23ef3-37da-92dc-0d82-db4e339caaa8</v>
    <v>en-US</v>
    <v>Map</v>
  </rv>
  <rv s="1">
    <v>536870912</v>
    <v>Ryazan Oblast</v>
    <v>6c69b62c-3503-7ba4-5d89-faeb0fc23ab3</v>
    <v>en-US</v>
    <v>Map</v>
  </rv>
  <rv s="1">
    <v>536870912</v>
    <v>Samara Oblast</v>
    <v>13d9bea7-a7c1-1b2c-7fb1-e678ddcd7a71</v>
    <v>en-US</v>
    <v>Map</v>
  </rv>
  <rv s="1">
    <v>536870912</v>
    <v>Saratov Oblast</v>
    <v>a391453d-4362-449f-bbe1-00b8176ec2f8</v>
    <v>en-US</v>
    <v>Map</v>
  </rv>
  <rv s="1">
    <v>536870912</v>
    <v>Sakhalin Oblast</v>
    <v>a0ca8508-79a7-09d7-1e4f-84e80916d921</v>
    <v>en-US</v>
    <v>Map</v>
  </rv>
  <rv s="1">
    <v>536870912</v>
    <v>Sverdlovsk Oblast</v>
    <v>32643100-03ea-0c14-f58e-a7d70c8c1468</v>
    <v>en-US</v>
    <v>Map</v>
  </rv>
  <rv s="1">
    <v>536870912</v>
    <v>Smolensk Oblast</v>
    <v>d2bbaf83-1065-8b46-d8df-55a0e9dd6b3a</v>
    <v>en-US</v>
    <v>Map</v>
  </rv>
  <rv s="1">
    <v>536870912</v>
    <v>Tambov Oblast</v>
    <v>c8c484f3-ed59-31b5-c134-bc324e7837a7</v>
    <v>en-US</v>
    <v>Map</v>
  </rv>
  <rv s="1">
    <v>536870912</v>
    <v>Tver Oblast</v>
    <v>43dbfe25-b444-4ee4-6a06-4a0c84faf831</v>
    <v>en-US</v>
    <v>Map</v>
  </rv>
  <rv s="1">
    <v>536870912</v>
    <v>Tomsk Oblast</v>
    <v>4833e982-a51c-b27a-99ba-c7aa39fdbfc5</v>
    <v>en-US</v>
    <v>Map</v>
  </rv>
  <rv s="1">
    <v>536870912</v>
    <v>Tula Oblast</v>
    <v>06958213-9024-c72f-be1d-870a43124549</v>
    <v>en-US</v>
    <v>Map</v>
  </rv>
  <rv s="1">
    <v>536870912</v>
    <v>Tyumen Oblast</v>
    <v>f7074e1e-5809-6c44-a836-391d78cc63b0</v>
    <v>en-US</v>
    <v>Map</v>
  </rv>
  <rv s="1">
    <v>536870912</v>
    <v>Ulyanovsk Oblast</v>
    <v>285ad0e8-dfc5-6c4f-f919-783c565347c2</v>
    <v>en-US</v>
    <v>Map</v>
  </rv>
  <rv s="1">
    <v>536870912</v>
    <v>Chelyabinsk Oblast</v>
    <v>e8506c94-c78a-be96-22a5-f42d90ce4d85</v>
    <v>en-US</v>
    <v>Map</v>
  </rv>
  <rv s="1">
    <v>536870912</v>
    <v>Zabaykalsky Krai</v>
    <v>4eec5a15-6252-a5ba-a675-32f7c3941986</v>
    <v>en-US</v>
    <v>Map</v>
  </rv>
  <rv s="1">
    <v>536870912</v>
    <v>Yaroslavl Oblast</v>
    <v>78a787d0-5bd7-369e-abec-20334f55f284</v>
    <v>en-US</v>
    <v>Map</v>
  </rv>
  <rv s="1">
    <v>536870912</v>
    <v>Saint Petersburg</v>
    <v>e3ed1086-8cd2-4813-dfa1-22d6666852c7</v>
    <v>en-US</v>
    <v>Map</v>
  </rv>
  <rv s="1">
    <v>536870912</v>
    <v>Sevastopol</v>
    <v>1d4e43aa-65a2-a88a-3324-a9ac6e098708</v>
    <v>en-US</v>
    <v>Map</v>
  </rv>
  <rv s="1">
    <v>536870912</v>
    <v>Jewish Autonomous Oblast</v>
    <v>f238d267-34ac-88dc-5e18-ecd8a1d9f1bd</v>
    <v>en-US</v>
    <v>Map</v>
  </rv>
  <rv s="1">
    <v>536870912</v>
    <v>Nenets Autonomous Okrug</v>
    <v>0bfd44fb-94fd-9862-0994-343325ef0e56</v>
    <v>en-US</v>
    <v>Map</v>
  </rv>
  <rv s="1">
    <v>536870912</v>
    <v>Khanty-Mansi Autonomous Okrug</v>
    <v>c54c2f51-aac8-6ea4-fc82-3027ba8cc45b</v>
    <v>en-US</v>
    <v>Map</v>
  </rv>
  <rv s="1">
    <v>536870912</v>
    <v>Chukotka Autonomous Okrug</v>
    <v>32d0b1a4-54c8-f9af-b97c-f05f93680504</v>
    <v>en-US</v>
    <v>Map</v>
  </rv>
  <rv s="1">
    <v>536870912</v>
    <v>Yamalo-Nenets Autonomous Okrug</v>
    <v>9ad3fb88-2ff4-83f3-32a9-b85ad7f10c6c</v>
    <v>en-US</v>
    <v>Map</v>
  </rv>
  <rv s="3">
    <v>542</v>
  </rv>
  <rv s="0">
    <fb>0.11384595754929799</fb>
    <v>28</v>
  </rv>
  <rv s="3">
    <v>543</v>
  </rv>
  <rv s="0">
    <fb>4.5850000381469698E-2</fb>
    <v>35</v>
  </rv>
  <rv s="0">
    <fb>107683889</fb>
    <v>9</v>
  </rv>
  <rv s="9">
    <v>#VALUE!</v>
    <v>en-US</v>
    <v>ed4fce79-8ad4-352b-205b-e4db36c49bbe</v>
    <v>536870912</v>
    <v>1</v>
    <v>1226</v>
    <v>55</v>
    <v>Russia</v>
    <v>5</v>
    <v>6</v>
    <v>Map</v>
    <v>7</v>
    <v>1227</v>
    <v>RU</v>
    <v>7752</v>
    <v>7753</v>
    <v>7754</v>
    <v>7755</v>
    <v>7756</v>
    <v>7741</v>
    <v>7757</v>
    <v>7758</v>
    <v>7759</v>
    <v>RUB</v>
    <v>Russia, or the Russian Federation, is a country spanning Eastern Europe and North Asia. It is the largest country in the world by land area, and extends across eleven time zones; sharing land borders with fourteen countries. Russia is the most ...</v>
    <v>7760</v>
    <v>7761</v>
    <v>7762</v>
    <v>7763</v>
    <v>7764</v>
    <v>7765</v>
    <v>7766</v>
    <v>7767</v>
    <v>7768</v>
    <v>5811</v>
    <v>7741</v>
    <v>7771</v>
    <v>7772</v>
    <v>7773</v>
    <v>7774</v>
    <v>7775</v>
    <v>5926</v>
    <v>Russia</v>
    <v>National anthem of Russia</v>
    <v>7748</v>
    <v>Российская Федерация</v>
    <v>7776</v>
    <v>7777</v>
    <v>7778</v>
    <v>935</v>
    <v>509</v>
    <v>7779</v>
    <v>1417</v>
    <v>7780</v>
    <v>6454</v>
    <v>3491</v>
    <v>7781</v>
    <v>7864</v>
    <v>7865</v>
    <v>7866</v>
    <v>2069</v>
    <v>7867</v>
    <v>Russia</v>
    <v>7868</v>
    <v>mdp/vdpid/203</v>
  </rv>
  <rv s="1">
    <v>536870912</v>
    <v>Kigali</v>
    <v>4312f5fb-d203-6f22-75c2-2e76025511fb</v>
    <v>en-US</v>
    <v>Map</v>
  </rv>
  <rv s="0">
    <fb>730</fb>
    <v>9</v>
  </rv>
  <rv s="1">
    <v>536870912</v>
    <v>Rwanda</v>
    <v>eb5f926e-ec19-3d93-b71c-da7503c96e60</v>
    <v>en-US</v>
    <v>Map</v>
  </rv>
  <rv s="2">
    <v>264</v>
    <v>7</v>
    <v>1228</v>
    <v>7</v>
    <v>0</v>
    <v>Image of Kigali</v>
  </rv>
  <rv s="1">
    <v>805306368</v>
    <v>Samuel Dusengiyumva (Mayor)</v>
    <v>9db6cfc0-06ad-bfdf-4e41-c4b2ab5c56c6</v>
    <v>en-US</v>
    <v>Generic</v>
  </rv>
  <rv s="3">
    <v>544</v>
  </rv>
  <rv s="4">
    <v>https://www.bing.com/search?q=kigali&amp;form=skydnc</v>
    <v>Learn more on Bing</v>
  </rv>
  <rv s="0">
    <fb>1745555</fb>
    <v>9</v>
  </rv>
  <rv s="16">
    <v>#VALUE!</v>
    <v>en-US</v>
    <v>4312f5fb-d203-6f22-75c2-2e76025511fb</v>
    <v>536870912</v>
    <v>1</v>
    <v>1230</v>
    <v>92</v>
    <v>Kigali</v>
    <v>5</v>
    <v>6</v>
    <v>Map</v>
    <v>7</v>
    <v>61</v>
    <v>RW-01</v>
    <v>7871</v>
    <v>7872</v>
    <v>Kigali is the capital and largest city of Rwanda. It is near the nation's geographic centre in a region of rolling hills, with a series of valleys and ridges joined by steep slopes. As a primate city, Kigali is a relatively new city. It has been ...</v>
    <v>7873</v>
    <v>7875</v>
    <v>7876</v>
    <v>Kigali</v>
    <v>7877</v>
    <v>3369</v>
    <v>Kigali</v>
    <v>mdp/vdpid/8109184879993815041</v>
  </rv>
  <rv s="0">
    <fb>0.73437371348677705</fb>
    <v>28</v>
  </rv>
  <rv s="0">
    <fb>26338</fb>
    <v>9</v>
  </rv>
  <rv s="0">
    <fb>31.696000000000002</fb>
    <v>29</v>
  </rv>
  <rv s="0">
    <fb>250</fb>
    <v>30</v>
  </rv>
  <rv s="0">
    <fb>1114.768</fb>
    <v>9</v>
  </rv>
  <rv s="0">
    <fb>151.08936856969899</fb>
    <v>31</v>
  </rv>
  <rv s="0">
    <fb>3.3533429931691103E-2</fb>
    <v>28</v>
  </rv>
  <rv s="0">
    <fb>4.0439999999999996</fb>
    <v>29</v>
  </rv>
  <rv s="0">
    <fb>0.197324680905135</fb>
    <v>28</v>
  </rv>
  <rv s="0">
    <fb>1.17</fb>
    <v>32</v>
  </rv>
  <rv s="0">
    <fb>10122472590.172001</fb>
    <v>33</v>
  </rv>
  <rv s="0">
    <fb>1.3304155</fb>
    <v>28</v>
  </rv>
  <rv s="0">
    <fb>6.7257200000000003E-2</fb>
    <v>28</v>
  </rv>
  <rv s="2">
    <v>265</v>
    <v>7</v>
    <v>1232</v>
    <v>7</v>
    <v>0</v>
    <v>Image of Rwanda</v>
  </rv>
  <rv s="1">
    <v>805306368</v>
    <v>Paul Kagame (President)</v>
    <v>c0781b90-3993-56d6-0563-317d96d61770</v>
    <v>en-US</v>
    <v>Generic</v>
  </rv>
  <rv s="1">
    <v>805306368</v>
    <v>Édouard Ngirente (Prime minister)</v>
    <v>5b722680-1c86-b874-f26e-483514ed8e91</v>
    <v>en-US</v>
    <v>Generic</v>
  </rv>
  <rv s="3">
    <v>545</v>
  </rv>
  <rv s="4">
    <v>https://www.bing.com/search?q=rwanda&amp;form=skydnc</v>
    <v>Learn more on Bing</v>
  </rv>
  <rv s="0">
    <fb>68.7</fb>
    <v>34</v>
  </rv>
  <rv s="0">
    <fb>3214220000</fb>
    <v>33</v>
  </rv>
  <rv s="3">
    <v>546</v>
  </rv>
  <rv s="0">
    <fb>0.25965821559999996</fb>
    <v>28</v>
  </rv>
  <rv s="0">
    <fb>0.13400000000000001</fb>
    <v>29</v>
  </rv>
  <rv s="0">
    <fb>13776698</fb>
    <v>9</v>
  </rv>
  <rv s="0">
    <fb>0.19800000000000001</fb>
    <v>28</v>
  </rv>
  <rv s="0">
    <fb>0.50800000000000001</fb>
    <v>28</v>
  </rv>
  <rv s="0">
    <fb>0.83654998779296907</fb>
    <v>28</v>
  </rv>
  <rv s="1">
    <v>536870912</v>
    <v>Northern Province, Rwanda</v>
    <v>8eb85005-df1a-23e3-832a-250fa2fbc1a4</v>
    <v>en-US</v>
    <v>Map</v>
  </rv>
  <rv s="1">
    <v>536870912</v>
    <v>Eastern Province, Rwanda</v>
    <v>9800f774-8039-2f6f-c5ad-5665e89cb49c</v>
    <v>en-US</v>
    <v>Map</v>
  </rv>
  <rv s="1">
    <v>536870912</v>
    <v>Southern Province, Rwanda</v>
    <v>e0ae656e-e7ce-e8ff-5cb3-b59fd1407c17</v>
    <v>en-US</v>
    <v>Map</v>
  </rv>
  <rv s="1">
    <v>536870912</v>
    <v>Western Province, Rwanda</v>
    <v>42eb4682-c969-8380-27e4-f906bc76abaf</v>
    <v>en-US</v>
    <v>Map</v>
  </rv>
  <rv s="3">
    <v>547</v>
  </rv>
  <rv s="0">
    <fb>0.14263284937979501</fb>
    <v>28</v>
  </rv>
  <rv s="3">
    <v>548</v>
  </rv>
  <rv s="0">
    <fb>0.33200000000000002</fb>
    <v>28</v>
  </rv>
  <rv s="0">
    <fb>1.02999997138977E-2</fb>
    <v>35</v>
  </rv>
  <rv s="0">
    <fb>2186104</fb>
    <v>9</v>
  </rv>
  <rv s="85">
    <v>#VALUE!</v>
    <v>en-US</v>
    <v>eb5f926e-ec19-3d93-b71c-da7503c96e60</v>
    <v>536870912</v>
    <v>1</v>
    <v>1235</v>
    <v>1236</v>
    <v>Rwanda</v>
    <v>5</v>
    <v>6</v>
    <v>Map</v>
    <v>7</v>
    <v>1237</v>
    <v>RW</v>
    <v>7879</v>
    <v>7880</v>
    <v>2104</v>
    <v>7881</v>
    <v>7882</v>
    <v>7870</v>
    <v>7883</v>
    <v>7884</v>
    <v>7885</v>
    <v>RWF</v>
    <v>Rwanda, officially the Republic of Rwanda, is a landlocked country in the Great Rift Valley of East Africa, where the African Great Lakes region and Southeast Africa converge. Located a few degrees south of the Equator, Rwanda is bordered by ...</v>
    <v>7886</v>
    <v>7887</v>
    <v>7888</v>
    <v>7889</v>
    <v>7890</v>
    <v>7891</v>
    <v>7892</v>
    <v>987</v>
    <v>7870</v>
    <v>7895</v>
    <v>7896</v>
    <v>7897</v>
    <v>7898</v>
    <v>2821</v>
    <v>Rwanda</v>
    <v>Rwanda Nziza</v>
    <v>7899</v>
    <v>Ruanda</v>
    <v>7900</v>
    <v>7901</v>
    <v>7902</v>
    <v>7903</v>
    <v>1007</v>
    <v>7904</v>
    <v>2013</v>
    <v>3685</v>
    <v>2930</v>
    <v>2193</v>
    <v>7905</v>
    <v>7910</v>
    <v>7911</v>
    <v>7912</v>
    <v>7913</v>
    <v>7914</v>
    <v>Rwanda</v>
    <v>7915</v>
    <v>mdp/vdpid/204</v>
  </rv>
  <rv s="1">
    <v>536870912</v>
    <v>Basseterre</v>
    <v>5499dd37-9ccd-c4ce-c1fb-2ebab86a585b</v>
    <v>en-US</v>
    <v>Map</v>
  </rv>
  <rv s="1">
    <v>536870912</v>
    <v>Saint Kitts</v>
    <v>41f34384-1f8d-9e29-1c41-ab45329f987c</v>
    <v>en-US</v>
    <v>Map</v>
  </rv>
  <rv s="1">
    <v>536870912</v>
    <v>Saint George Basseterre Parish</v>
    <v>4eba7d2f-0b43-faa1-51d8-dd780af97a32</v>
    <v>en-US</v>
    <v>Map</v>
  </rv>
  <rv s="0">
    <fb>6.4749702758399996</fb>
    <v>9</v>
  </rv>
  <rv s="1">
    <v>536870912</v>
    <v>Saint Kitts and Nevis</v>
    <v>20c6d98e-8969-529c-b2bd-822369713ba3</v>
    <v>en-US</v>
    <v>Map</v>
  </rv>
  <rv s="2">
    <v>266</v>
    <v>7</v>
    <v>1239</v>
    <v>7</v>
    <v>0</v>
    <v>Image of Basseterre</v>
  </rv>
  <rv s="0">
    <fb>17.298333333333002</fb>
    <v>0</v>
  </rv>
  <rv s="4">
    <v>https://www.bing.com/search?q=basseterre&amp;form=skydnc</v>
    <v>Learn more on Bing</v>
  </rv>
  <rv s="0">
    <fb>-62.734166666667001</fb>
    <v>0</v>
  </rv>
  <rv s="0">
    <fb>16696</fb>
    <v>9</v>
  </rv>
  <rv s="13">
    <v>#VALUE!</v>
    <v>en-US</v>
    <v>5499dd37-9ccd-c4ce-c1fb-2ebab86a585b</v>
    <v>536870912</v>
    <v>1</v>
    <v>1240</v>
    <v>72</v>
    <v>Basseterre</v>
    <v>5</v>
    <v>6</v>
    <v>Map</v>
    <v>7</v>
    <v>169</v>
    <v>7918</v>
    <v>7919</v>
    <v>7920</v>
    <v>7921</v>
    <v>Basseterre is the capital and largest city of Saint Kitts and Nevis with an estimated population of 14,000 in 2018. Geographically, the Basseterre port is located at 17°18′N 62°44′W / 17.300°N 62.733°W, on the south-western coast of Saint Kitts ...</v>
    <v>7922</v>
    <v>7923</v>
    <v>7924</v>
    <v>7925</v>
    <v>Basseterre</v>
    <v>7926</v>
    <v>2886</v>
    <v>Basseterre</v>
    <v>mdp/vdpid/5586661516796493825</v>
  </rv>
  <rv s="0">
    <fb>0.230769230769231</fb>
    <v>28</v>
  </rv>
  <rv s="0">
    <fb>269.35876300000001</fb>
    <v>9</v>
  </rv>
  <rv s="0">
    <fb>1869</fb>
    <v>30</v>
  </rv>
  <rv s="0">
    <fb>238.35499999999999</fb>
    <v>9</v>
  </rv>
  <rv s="0">
    <fb>104.565438498638</fb>
    <v>31</v>
  </rv>
  <rv s="0">
    <fb>-1.03712214131567E-2</fb>
    <v>28</v>
  </rv>
  <rv s="0">
    <fb>2.1070000000000002</fb>
    <v>29</v>
  </rv>
  <rv s="0">
    <fb>0.42307692307692302</fb>
    <v>28</v>
  </rv>
  <rv s="0">
    <fb>1050992592.59259</fb>
    <v>33</v>
  </rv>
  <rv s="0">
    <fb>1.0873554000000001</fb>
    <v>28</v>
  </rv>
  <rv s="0">
    <fb>0.86681489999999994</fb>
    <v>28</v>
  </rv>
  <rv s="2">
    <v>267</v>
    <v>7</v>
    <v>1242</v>
    <v>7</v>
    <v>0</v>
    <v>Image of Saint Kitts and Nevis</v>
  </rv>
  <rv s="1">
    <v>805306368</v>
    <v>Terrance Drew (Prime minister)</v>
    <v>b68ba5f2-f02a-47fc-bd03-47de03f534ca</v>
    <v>en-US</v>
    <v>Generic</v>
  </rv>
  <rv s="3">
    <v>549</v>
  </rv>
  <rv s="4">
    <v>https://www.bing.com/search?q=saint+kitts+and+nevis&amp;form=skydnc</v>
    <v>Learn more on Bing</v>
  </rv>
  <rv s="0">
    <fb>71.336585365853693</fb>
    <v>34</v>
  </rv>
  <rv s="0">
    <fb>3.33</fb>
    <v>32</v>
  </rv>
  <rv s="0">
    <fb>0.56642470860000005</fb>
    <v>28</v>
  </rv>
  <rv s="0">
    <fb>2.5230000000000001</fb>
    <v>29</v>
  </rv>
  <rv s="0">
    <fb>47657</fb>
    <v>9</v>
  </rv>
  <rv s="1">
    <v>536870912</v>
    <v>Christ Church Nichola Town Parish</v>
    <v>93d14397-fbce-683d-e160-5daaf274379d</v>
    <v>en-US</v>
    <v>Map</v>
  </rv>
  <rv s="1">
    <v>536870912</v>
    <v>Saint Anne Sandy Point Parish</v>
    <v>fea87b10-36b5-e190-049d-89c29a63f28b</v>
    <v>en-US</v>
    <v>Map</v>
  </rv>
  <rv s="1">
    <v>536870912</v>
    <v>Saint John Capisterre Parish</v>
    <v>59de45ee-e9d2-0164-e273-130ec61998a9</v>
    <v>en-US</v>
    <v>Map</v>
  </rv>
  <rv s="1">
    <v>536870912</v>
    <v>Saint Mary Cayon Parish</v>
    <v>32a7e1ec-54b3-46f2-3a8c-7006016058aa</v>
    <v>en-US</v>
    <v>Map</v>
  </rv>
  <rv s="1">
    <v>536870912</v>
    <v>Saint Paul Capisterre Parish</v>
    <v>b9efdf66-4b91-3739-c006-a2b4596bd5d6</v>
    <v>en-US</v>
    <v>Map</v>
  </rv>
  <rv s="1">
    <v>536870912</v>
    <v>Saint Peter Basseterre Parish</v>
    <v>fd5133af-7333-1f3c-cb80-b9fdccdd95fa</v>
    <v>en-US</v>
    <v>Map</v>
  </rv>
  <rv s="1">
    <v>536870912</v>
    <v>Saint Thomas Middle Island Parish</v>
    <v>7a436e93-606e-9e0a-0a96-52f7379a0fa4</v>
    <v>en-US</v>
    <v>Map</v>
  </rv>
  <rv s="1">
    <v>536870912</v>
    <v>Trinity Palmetto Point Parish</v>
    <v>abe9ec0f-01d0-a858-9825-83200d6d43e8</v>
    <v>en-US</v>
    <v>Map</v>
  </rv>
  <rv s="1">
    <v>536870912</v>
    <v>Saint George Gingerland Parish</v>
    <v>a93eb8c1-76ab-6edc-880e-5dd4cede4dac</v>
    <v>en-US</v>
    <v>Map</v>
  </rv>
  <rv s="1">
    <v>536870912</v>
    <v>Saint James Windward Parish</v>
    <v>f28867cb-4a6f-bdf1-2e34-da31f3558486</v>
    <v>en-US</v>
    <v>Map</v>
  </rv>
  <rv s="1">
    <v>536870912</v>
    <v>Saint John Figtree Parish</v>
    <v>f01ac8d3-ea86-139b-7833-cde0d3a1df88</v>
    <v>en-US</v>
    <v>Map</v>
  </rv>
  <rv s="1">
    <v>536870912</v>
    <v>Saint Paul Charlestown Parish</v>
    <v>7bdfd3dd-f1ea-0343-5fb3-a56e903b88c9</v>
    <v>en-US</v>
    <v>Map</v>
  </rv>
  <rv s="1">
    <v>536870912</v>
    <v>Saint Thomas Lowland Parish</v>
    <v>6b790f9c-1f8d-5120-64df-0ef4ba0de189</v>
    <v>en-US</v>
    <v>Map</v>
  </rv>
  <rv s="3">
    <v>550</v>
  </rv>
  <rv s="0">
    <fb>0.18461224110708599</fb>
    <v>28</v>
  </rv>
  <rv s="0">
    <fb>0.49700000000000005</fb>
    <v>28</v>
  </rv>
  <rv s="0">
    <fb>16269</fb>
    <v>9</v>
  </rv>
  <rv s="43">
    <v>#VALUE!</v>
    <v>en-US</v>
    <v>20c6d98e-8969-529c-b2bd-822369713ba3</v>
    <v>536870912</v>
    <v>1</v>
    <v>1245</v>
    <v>459</v>
    <v>Saint Kitts and Nevis</v>
    <v>5</v>
    <v>6</v>
    <v>Map</v>
    <v>7</v>
    <v>1246</v>
    <v>KN</v>
    <v>7928</v>
    <v>7929</v>
    <v>621</v>
    <v>7930</v>
    <v>7917</v>
    <v>7931</v>
    <v>7932</v>
    <v>7933</v>
    <v>XCD</v>
    <v>Saint Kitts and Nevis, officially the Federation of Saint Christopher and Nevis, is an island country consisting of the two islands of Saint Kitts and Nevis, both located in the West Indies, in the Leeward Islands chain of the Lesser Antilles. ...</v>
    <v>7934</v>
    <v>7935</v>
    <v>434</v>
    <v>7936</v>
    <v>7937</v>
    <v>7938</v>
    <v>7939</v>
    <v>1595</v>
    <v>7917</v>
    <v>7941</v>
    <v>7942</v>
    <v>7943</v>
    <v>7944</v>
    <v>Saint Kitts and Nevis</v>
    <v>O Land of Beauty!</v>
    <v>448</v>
    <v>Saint Kitts and Nevis</v>
    <v>7945</v>
    <v>7946</v>
    <v>7947</v>
    <v>7961</v>
    <v>7962</v>
    <v>462</v>
    <v>7963</v>
    <v>Saint Kitts and Nevis</v>
    <v>7964</v>
    <v>mdp/vdpid/207</v>
  </rv>
  <rv s="1">
    <v>536870912</v>
    <v>Castries</v>
    <v>93f2737c-8f89-dc8d-e6ce-37572bc03e81</v>
    <v>en-US</v>
    <v>Map</v>
  </rv>
  <rv s="1">
    <v>536870912</v>
    <v>Castries District</v>
    <v>620ed383-4ffb-87af-a78d-cdadd809a819</v>
    <v>en-US</v>
    <v>Map</v>
  </rv>
  <rv s="0">
    <fb>79</fb>
    <v>9</v>
  </rv>
  <rv s="1">
    <v>536870912</v>
    <v>Saint Lucia</v>
    <v>0d097960-d7ea-79a1-d032-ef196289d313</v>
    <v>en-US</v>
    <v>Map</v>
  </rv>
  <rv s="2">
    <v>268</v>
    <v>7</v>
    <v>1247</v>
    <v>7</v>
    <v>0</v>
    <v>Image of Castries</v>
  </rv>
  <rv s="0">
    <fb>14.016666666667</fb>
    <v>0</v>
  </rv>
  <rv s="1">
    <v>805306368</v>
    <v>Geraldine Lendor-Gabriel (Mayor)</v>
    <v>1a7db7eb-afbf-a8e6-653b-55b9997eefc0</v>
    <v>en-US</v>
    <v>Generic</v>
  </rv>
  <rv s="3">
    <v>551</v>
  </rv>
  <rv s="4">
    <v>https://www.bing.com/search?q=castries&amp;form=skydnc</v>
    <v>Learn more on Bing</v>
  </rv>
  <rv s="0">
    <fb>-60.983333333333</fb>
    <v>0</v>
  </rv>
  <rv s="0">
    <fb>70000</fb>
    <v>9</v>
  </rv>
  <rv s="24">
    <v>#VALUE!</v>
    <v>en-US</v>
    <v>93f2737c-8f89-dc8d-e6ce-37572bc03e81</v>
    <v>536870912</v>
    <v>1</v>
    <v>1248</v>
    <v>189</v>
    <v>Castries</v>
    <v>5</v>
    <v>6</v>
    <v>Map</v>
    <v>7</v>
    <v>190</v>
    <v>7967</v>
    <v>7968</v>
    <v>7969</v>
    <v>Castries is the capital and largest city of Saint Lucia, an island country in the Caribbean. The urban area has a population of approximately 20,000, while the eponymous district has a population of 70,000, as at May 2013. The city covers 80 km².</v>
    <v>7970</v>
    <v>7971</v>
    <v>7973</v>
    <v>7974</v>
    <v>7975</v>
    <v>Castries</v>
    <v>7976</v>
    <v>Castries</v>
    <v>mdp/vdpid/5592382516582416385</v>
  </rv>
  <rv s="0">
    <fb>0.17377049805688</fb>
    <v>28</v>
  </rv>
  <rv s="0">
    <fb>617.01286700000003</fb>
    <v>9</v>
  </rv>
  <rv s="0">
    <fb>1758</fb>
    <v>30</v>
  </rv>
  <rv s="0">
    <fb>414.37099999999998</fb>
    <v>9</v>
  </rv>
  <rv s="0">
    <fb>110.132070405894</fb>
    <v>31</v>
  </rv>
  <rv s="0">
    <fb>1.9384624437607301E-2</fb>
    <v>28</v>
  </rv>
  <rv s="0">
    <fb>1.4359999999999999</fb>
    <v>29</v>
  </rv>
  <rv s="0">
    <fb>0.33180327493636397</fb>
    <v>28</v>
  </rv>
  <rv s="0">
    <fb>1.3</fb>
    <v>32</v>
  </rv>
  <rv s="0">
    <fb>2122450629.6296301</fb>
    <v>33</v>
  </rv>
  <rv s="0">
    <fb>1.0259824</fb>
    <v>28</v>
  </rv>
  <rv s="0">
    <fb>0.14066529999999999</fb>
    <v>28</v>
  </rv>
  <rv s="2">
    <v>269</v>
    <v>7</v>
    <v>1250</v>
    <v>7</v>
    <v>0</v>
    <v>Image of Saint Lucia</v>
  </rv>
  <rv s="0">
    <fb>14.9</fb>
    <v>34</v>
  </rv>
  <rv s="1">
    <v>805306368</v>
    <v>Philip J. Pierre (Prime minister)</v>
    <v>b1a51566-d85f-d372-b391-606d8ec33ce7</v>
    <v>en-US</v>
    <v>Generic</v>
  </rv>
  <rv s="3">
    <v>552</v>
  </rv>
  <rv s="4">
    <v>https://www.bing.com/search?q=saint+lucia&amp;form=skydnc</v>
    <v>Learn more on Bing</v>
  </rv>
  <rv s="0">
    <fb>76.057000000000002</fb>
    <v>34</v>
  </rv>
  <rv s="0">
    <fb>117</fb>
    <v>34</v>
  </rv>
  <rv s="0">
    <fb>0.48384949329999999</fb>
    <v>28</v>
  </rv>
  <rv s="0">
    <fb>0.64090000000000003</fb>
    <v>29</v>
  </rv>
  <rv s="0">
    <fb>179857</fb>
    <v>9</v>
  </rv>
  <rv s="0">
    <fb>0.38600000000000001</fb>
    <v>28</v>
  </rv>
  <rv s="0">
    <fb>0.67103996276855493</fb>
    <v>28</v>
  </rv>
  <rv s="1">
    <v>536870912</v>
    <v>Anse la Raye District</v>
    <v>49bcb07d-d781-2821-2c0f-c78ecbfb297d</v>
    <v>en-US</v>
    <v>Map</v>
  </rv>
  <rv s="1">
    <v>536870912</v>
    <v>Choiseul District</v>
    <v>aef719be-98a2-f966-6101-62b4f4a55d97</v>
    <v>en-US</v>
    <v>Map</v>
  </rv>
  <rv s="1">
    <v>536870912</v>
    <v>Dennery District</v>
    <v>68931320-d357-bc4b-988f-0cfb5ab4c291</v>
    <v>en-US</v>
    <v>Map</v>
  </rv>
  <rv s="1">
    <v>536870912</v>
    <v>Gros Islet District</v>
    <v>600643a1-b55a-bca0-45af-d42ce637fd8d</v>
    <v>en-US</v>
    <v>Map</v>
  </rv>
  <rv s="1">
    <v>536870912</v>
    <v>Laborie District</v>
    <v>3b108f8f-0c97-2a9d-2078-8ffdbe6b0a7c</v>
    <v>en-US</v>
    <v>Map</v>
  </rv>
  <rv s="1">
    <v>536870912</v>
    <v>Micoud District</v>
    <v>090c99ca-9dc1-a341-1ec2-2a3375d42811</v>
    <v>en-US</v>
    <v>Map</v>
  </rv>
  <rv s="1">
    <v>536870912</v>
    <v>Soufrière District</v>
    <v>2aaecfe4-5269-4720-974e-eacd300d681b</v>
    <v>en-US</v>
    <v>Map</v>
  </rv>
  <rv s="1">
    <v>536870912</v>
    <v>Vieux Fort District</v>
    <v>046e43c2-e11b-f1f9-39a6-2b18eab75228</v>
    <v>en-US</v>
    <v>Map</v>
  </rv>
  <rv s="3">
    <v>553</v>
  </rv>
  <rv s="0">
    <fb>0.18219767764380101</fb>
    <v>28</v>
  </rv>
  <rv s="0">
    <fb>0.34700000000000003</fb>
    <v>28</v>
  </rv>
  <rv s="0">
    <fb>0.207059993743896</fb>
    <v>35</v>
  </rv>
  <rv s="0">
    <fb>34280</fb>
    <v>9</v>
  </rv>
  <rv s="86">
    <v>#VALUE!</v>
    <v>en-US</v>
    <v>0d097960-d7ea-79a1-d032-ef196289d313</v>
    <v>536870912</v>
    <v>1</v>
    <v>1253</v>
    <v>1254</v>
    <v>Saint Lucia</v>
    <v>5</v>
    <v>6</v>
    <v>Map</v>
    <v>7</v>
    <v>1255</v>
    <v>LC</v>
    <v>7978</v>
    <v>7979</v>
    <v>2852</v>
    <v>7980</v>
    <v>7966</v>
    <v>7981</v>
    <v>7982</v>
    <v>7983</v>
    <v>XCD</v>
    <v>Saint Lucia is an island country of the West Indies in the eastern Caribbean. Part of the Windward Islands of the Lesser Antilles, it is located north/northeast of the island of Saint Vincent, northwest of Barbados and south of Martinique. It ...</v>
    <v>7984</v>
    <v>7985</v>
    <v>434</v>
    <v>7986</v>
    <v>7987</v>
    <v>7988</v>
    <v>7989</v>
    <v>7990</v>
    <v>7991</v>
    <v>7966</v>
    <v>7993</v>
    <v>7994</v>
    <v>7995</v>
    <v>7996</v>
    <v>Saint Lucia</v>
    <v>Sons and Daughters of Saint Lucia</v>
    <v>4022</v>
    <v>Saint Lucia</v>
    <v>7997</v>
    <v>7998</v>
    <v>7999</v>
    <v>4805</v>
    <v>8000</v>
    <v>1120</v>
    <v>1166</v>
    <v>175</v>
    <v>4417</v>
    <v>2530</v>
    <v>8001</v>
    <v>8010</v>
    <v>8011</v>
    <v>462</v>
    <v>8012</v>
    <v>8013</v>
    <v>Saint Lucia</v>
    <v>8014</v>
    <v>mdp/vdpid/218</v>
  </rv>
  <rv s="1">
    <v>536870912</v>
    <v>Apia</v>
    <v>afa512c2-f775-77f8-0d31-81026fc743bb</v>
    <v>en-US</v>
    <v>Map</v>
  </rv>
  <rv s="1">
    <v>536870912</v>
    <v>Tuamasaga</v>
    <v>ca4e9e1f-bf8d-d0a4-d2e0-651f81792de1</v>
    <v>en-US</v>
    <v>Map</v>
  </rv>
  <rv s="0">
    <fb>123.81</fb>
    <v>9</v>
  </rv>
  <rv s="1">
    <v>536870912</v>
    <v>Samoa</v>
    <v>0da2bb1b-9823-c254-9ad3-a506224035c8</v>
    <v>en-US</v>
    <v>Map</v>
  </rv>
  <rv s="2">
    <v>270</v>
    <v>7</v>
    <v>1256</v>
    <v>7</v>
    <v>0</v>
    <v>Image of Apia</v>
  </rv>
  <rv s="0">
    <fb>-13.833333333333</fb>
    <v>0</v>
  </rv>
  <rv s="4">
    <v>https://www.bing.com/search?q=apia&amp;form=skydnc</v>
    <v>Learn more on Bing</v>
  </rv>
  <rv s="0">
    <fb>-171.83333333332999</fb>
    <v>0</v>
  </rv>
  <rv s="0">
    <fb>35974</fb>
    <v>9</v>
  </rv>
  <rv s="3">
    <v>554</v>
  </rv>
  <rv s="17">
    <v>#VALUE!</v>
    <v>en-US</v>
    <v>afa512c2-f775-77f8-0d31-81026fc743bb</v>
    <v>536870912</v>
    <v>1</v>
    <v>1257</v>
    <v>110</v>
    <v>Apia</v>
    <v>5</v>
    <v>6</v>
    <v>Map</v>
    <v>7</v>
    <v>216</v>
    <v>8017</v>
    <v>8018</v>
    <v>8019</v>
    <v>Apia is the capital and only city of Samoa. It is located on the central north coast of Upolu, Samoa's second-largest island. Apia falls within the political district of Tuamasaga. The Apia Urban Area has a population of 35,974. Its geographic ...</v>
    <v>8020</v>
    <v>8021</v>
    <v>8022</v>
    <v>8023</v>
    <v>Apia</v>
    <v>8024</v>
    <v>8025</v>
    <v>Apia</v>
    <v>mdp/vdpid/5785428418849931265</v>
  </rv>
  <rv s="0">
    <fb>0.123674911660777</fb>
    <v>28</v>
  </rv>
  <rv s="0">
    <fb>2842</fb>
    <v>9</v>
  </rv>
  <rv s="0">
    <fb>24.378</fb>
    <v>29</v>
  </rv>
  <rv s="0">
    <fb>685</fb>
    <v>30</v>
  </rv>
  <rv s="0">
    <fb>245.68899999999999</fb>
    <v>9</v>
  </rv>
  <rv s="0">
    <fb>117.55552211969299</fb>
    <v>31</v>
  </rv>
  <rv s="0">
    <fb>9.8232656988814209E-3</fb>
    <v>28</v>
  </rv>
  <rv s="0">
    <fb>3.8769999999999998</fb>
    <v>29</v>
  </rv>
  <rv s="0">
    <fb>0.604240282685512</fb>
    <v>28</v>
  </rv>
  <rv s="0">
    <fb>850655017.22048795</fb>
    <v>33</v>
  </rv>
  <rv s="0">
    <fb>1.1052420999999999</fb>
    <v>28</v>
  </rv>
  <rv s="0">
    <fb>7.5638300000000006E-2</fb>
    <v>28</v>
  </rv>
  <rv s="2">
    <v>271</v>
    <v>7</v>
    <v>1259</v>
    <v>7</v>
    <v>0</v>
    <v>Image of Samoa</v>
  </rv>
  <rv s="1">
    <v>805306368</v>
    <v>Tuimalealiʻifano Vaʻaletoʻa Sualauvi II (O le Ao o le Malo)</v>
    <v>709c895a-bdec-1644-e60e-6a991240cf3f</v>
    <v>en-US</v>
    <v>Generic</v>
  </rv>
  <rv s="1">
    <v>805306368</v>
    <v>Fiamē Naomi Mataʻafa (Prime minister)</v>
    <v>c28d42ae-49ee-6f3d-3e5d-88e8bed267f6</v>
    <v>en-US</v>
    <v>Generic</v>
  </rv>
  <rv s="3">
    <v>555</v>
  </rv>
  <rv s="4">
    <v>https://www.bing.com/search?q=samoa&amp;form=skydnc</v>
    <v>Learn more on Bing</v>
  </rv>
  <rv s="0">
    <fb>73.186999999999998</fb>
    <v>34</v>
  </rv>
  <rv s="0">
    <fb>43</fb>
    <v>34</v>
  </rv>
  <rv s="3">
    <v>556</v>
  </rv>
  <rv s="0">
    <fb>0.1150121613</fb>
    <v>28</v>
  </rv>
  <rv s="0">
    <fb>0.34089999999999998</fb>
    <v>29</v>
  </rv>
  <rv s="0">
    <fb>222382</fb>
    <v>9</v>
  </rv>
  <rv s="0">
    <fb>0.46399999999999997</fb>
    <v>28</v>
  </rv>
  <rv s="0">
    <fb>6.8000000000000005E-2</fb>
    <v>28</v>
  </rv>
  <rv s="0">
    <fb>0.43685001373290999</fb>
    <v>28</v>
  </rv>
  <rv s="1">
    <v>536870912</v>
    <v>Aʻana</v>
    <v>3e1140ec-bf1c-5091-d26d-e34381c72431</v>
    <v>en-US</v>
    <v>Map</v>
  </rv>
  <rv s="1">
    <v>536870912</v>
    <v>Aiga-i-le-Tai</v>
    <v>80320dcd-b0cb-44fb-1f3b-798f8cf144e7</v>
    <v>en-US</v>
    <v>Map</v>
  </rv>
  <rv s="1">
    <v>536870912</v>
    <v>Atua</v>
    <v>9977db0c-9a1a-fb15-627b-d1b3bfe37f13</v>
    <v>en-US</v>
    <v>Map</v>
  </rv>
  <rv s="1">
    <v>536870912</v>
    <v>Vaʻa-o-Fonoti</v>
    <v>1b07655e-85f8-b534-87be-c12d9c23531e</v>
    <v>en-US</v>
    <v>Map</v>
  </rv>
  <rv s="1">
    <v>536870912</v>
    <v>Faʻasaleleaga</v>
    <v>901af2b2-f534-df0f-2b91-29896d98918a</v>
    <v>en-US</v>
    <v>Map</v>
  </rv>
  <rv s="1">
    <v>536870912</v>
    <v>Gagaʻemauga</v>
    <v>950ebc6c-15a7-7ab7-37b6-e82bb5fb17ba</v>
    <v>en-US</v>
    <v>Map</v>
  </rv>
  <rv s="1">
    <v>536870912</v>
    <v>Gagaʻifomauga</v>
    <v>cb26d958-beee-4c26-42f0-d6a0985dbe76</v>
    <v>en-US</v>
    <v>Map</v>
  </rv>
  <rv s="1">
    <v>536870912</v>
    <v>Vaisigano</v>
    <v>e04db308-2e19-d4ed-7060-5207e5614abb</v>
    <v>en-US</v>
    <v>Map</v>
  </rv>
  <rv s="1">
    <v>536870912</v>
    <v>Satupaʻitea</v>
    <v>ad72f3e1-15a5-82a1-dfb3-3c80a5a8d456</v>
    <v>en-US</v>
    <v>Map</v>
  </rv>
  <rv s="1">
    <v>536870912</v>
    <v>Palauli</v>
    <v>45171573-1326-b264-d243-eb8b999689f0</v>
    <v>en-US</v>
    <v>Map</v>
  </rv>
  <rv s="3">
    <v>557</v>
  </rv>
  <rv s="0">
    <fb>0.25460185544525499</fb>
    <v>28</v>
  </rv>
  <rv s="0">
    <fb>0.193</fb>
    <v>28</v>
  </rv>
  <rv s="0">
    <fb>8.3590002059936511E-2</fb>
    <v>35</v>
  </rv>
  <rv s="0">
    <fb>35588</fb>
    <v>9</v>
  </rv>
  <rv s="87">
    <v>#VALUE!</v>
    <v>en-US</v>
    <v>0da2bb1b-9823-c254-9ad3-a506224035c8</v>
    <v>536870912</v>
    <v>1</v>
    <v>1262</v>
    <v>1263</v>
    <v>Samoa</v>
    <v>5</v>
    <v>6</v>
    <v>Map</v>
    <v>7</v>
    <v>1264</v>
    <v>WS</v>
    <v>8027</v>
    <v>8028</v>
    <v>8029</v>
    <v>8030</v>
    <v>8016</v>
    <v>8031</v>
    <v>8032</v>
    <v>8033</v>
    <v>WST</v>
    <v>Samoa, officially the Independent State of Samoa and known until 1997 as Western Samoa, is an island country in Polynesia, consisting of two main islands ; two smaller, inhabited islands ; and several smaller, uninhabited islands, including the ...</v>
    <v>8034</v>
    <v>8035</v>
    <v>434</v>
    <v>6658</v>
    <v>8036</v>
    <v>8037</v>
    <v>8038</v>
    <v>8039</v>
    <v>5974</v>
    <v>8016</v>
    <v>8042</v>
    <v>8043</v>
    <v>8044</v>
    <v>8045</v>
    <v>2112</v>
    <v>Samoa</v>
    <v>The Banner of Freedom</v>
    <v>8046</v>
    <v>Западное Самоа</v>
    <v>8047</v>
    <v>8048</v>
    <v>8049</v>
    <v>585</v>
    <v>5647</v>
    <v>8050</v>
    <v>1287</v>
    <v>8051</v>
    <v>1474</v>
    <v>4509</v>
    <v>8052</v>
    <v>8063</v>
    <v>8064</v>
    <v>8025</v>
    <v>8065</v>
    <v>8066</v>
    <v>Samoa</v>
    <v>8067</v>
    <v>mdp/vdpid/259</v>
  </rv>
  <rv s="1">
    <v>536870912</v>
    <v>City of San Marino</v>
    <v>ff31ae3b-5108-043e-7ec1-27b0b35a08ab</v>
    <v>en-US</v>
    <v>Map</v>
  </rv>
  <rv s="0">
    <fb>7.09</fb>
    <v>9</v>
  </rv>
  <rv s="1">
    <v>536870912</v>
    <v>San Marino</v>
    <v>185d8e87-9d95-fed8-e01c-773c13bf35ad</v>
    <v>en-US</v>
    <v>Map</v>
  </rv>
  <rv s="2">
    <v>272</v>
    <v>7</v>
    <v>1265</v>
    <v>7</v>
    <v>0</v>
    <v>Image of City of San Marino</v>
  </rv>
  <rv s="4">
    <v>https://www.bing.com/search?q=capital+of+san+marino&amp;form=skydnc</v>
    <v>Learn more on Bing</v>
  </rv>
  <rv s="0">
    <fb>3997</fb>
    <v>9</v>
  </rv>
  <rv s="88">
    <v>#VALUE!</v>
    <v>en-US</v>
    <v>ff31ae3b-5108-043e-7ec1-27b0b35a08ab</v>
    <v>536870912</v>
    <v>1</v>
    <v>1267</v>
    <v>1268</v>
    <v>City of San Marino</v>
    <v>5</v>
    <v>6</v>
    <v>Map</v>
    <v>7</v>
    <v>8</v>
    <v>SM-07</v>
    <v>8070</v>
    <v>8071</v>
    <v>The City of San Marino, also known simply as San Marino and locally as Città, is the capital city of the Republic of San Marino. It has a population of 4,061. It is on the western slopes of San Marino's highest point, Monte Titano.</v>
    <v>8072</v>
    <v>8073</v>
    <v>City of San Marino</v>
    <v>4736</v>
    <v>8074</v>
    <v>City of San Marino</v>
    <v>mdp/vdpid/7214899253330575363</v>
  </rv>
  <rv s="0">
    <fb>0.16666666666666699</fb>
    <v>28</v>
  </rv>
  <rv s="0">
    <fb>61.2</fb>
    <v>9</v>
  </rv>
  <rv s="0">
    <fb>6.8</fb>
    <v>29</v>
  </rv>
  <rv s="0">
    <fb>378</fb>
    <v>30</v>
  </rv>
  <rv s="0">
    <fb>110.631595560108</fb>
    <v>31</v>
  </rv>
  <rv s="0">
    <fb>1.04597683468952E-2</fb>
    <v>28</v>
  </rv>
  <rv s="0">
    <fb>1.26</fb>
    <v>29</v>
  </rv>
  <rv s="0">
    <fb>1637931034.48276</fb>
    <v>33</v>
  </rv>
  <rv s="0">
    <fb>1.0808401999999999</fb>
    <v>28</v>
  </rv>
  <rv s="0">
    <fb>0.4247126</fb>
    <v>28</v>
  </rv>
  <rv s="2">
    <v>273</v>
    <v>7</v>
    <v>1270</v>
    <v>7</v>
    <v>0</v>
    <v>Image of San Marino</v>
  </rv>
  <rv s="0">
    <fb>1.7</fb>
    <v>34</v>
  </rv>
  <rv s="1">
    <v>805306368</v>
    <v>Francesca Civerchia (Captain Regent)</v>
    <v>7ad810c6-688a-63f4-d22a-1a098b447c71</v>
    <v>en-US</v>
    <v>Generic</v>
  </rv>
  <rv s="1">
    <v>805306368</v>
    <v>Dalibor Riccardi (Captain Regent)</v>
    <v>006797a0-34d0-df66-e5bc-16d533079646</v>
    <v>en-US</v>
    <v>Generic</v>
  </rv>
  <rv s="1">
    <v>805306368</v>
    <v>Luca Beccari (Secretary of state)</v>
    <v>42e1b8f3-6b42-eab1-6434-9bac397b185b</v>
    <v>en-US</v>
    <v>Generic</v>
  </rv>
  <rv s="3">
    <v>558</v>
  </rv>
  <rv s="4">
    <v>https://www.bing.com/search?q=san+marino&amp;form=skydnc</v>
    <v>Learn more on Bing</v>
  </rv>
  <rv s="0">
    <fb>85.417073170731697</fb>
    <v>34</v>
  </rv>
  <rv s="0">
    <fb>0.1832862469</fb>
    <v>28</v>
  </rv>
  <rv s="0">
    <fb>6.1093999999999999</fb>
    <v>29</v>
  </rv>
  <rv s="0">
    <fb>33660</fb>
    <v>9</v>
  </rv>
  <rv s="1">
    <v>536870912</v>
    <v>Acquaviva</v>
    <v>b21e8f47-a0e1-2624-b85b-a192cb36d873</v>
    <v>en-US</v>
    <v>Map</v>
  </rv>
  <rv s="1">
    <v>536870912</v>
    <v>Borgo Maggiore</v>
    <v>b4a29c75-a2d6-9549-b7e2-fbf9b9a7694c</v>
    <v>en-US</v>
    <v>Map</v>
  </rv>
  <rv s="1">
    <v>536870912</v>
    <v>Chiesanuova</v>
    <v>82f792b2-835d-b989-2431-0cf3c7297c61</v>
    <v>en-US</v>
    <v>Map</v>
  </rv>
  <rv s="1">
    <v>536870912</v>
    <v>Domagnano</v>
    <v>0af8a8e5-f736-9c30-a1c9-019ace5ce8ba</v>
    <v>en-US</v>
    <v>Map</v>
  </rv>
  <rv s="1">
    <v>536870912</v>
    <v>Faetano</v>
    <v>63ecdab7-192f-dc09-1c4a-d785f0d2f752</v>
    <v>en-US</v>
    <v>Map</v>
  </rv>
  <rv s="1">
    <v>536870912</v>
    <v>Fiorentino</v>
    <v>a9b7b449-cec7-1d44-884b-e07cd92d20a2</v>
    <v>en-US</v>
    <v>Map</v>
  </rv>
  <rv s="1">
    <v>536870912</v>
    <v>Montegiardino</v>
    <v>4c6dbef3-5260-9488-04f6-79cd40c59ebb</v>
    <v>en-US</v>
    <v>Map</v>
  </rv>
  <rv s="1">
    <v>536870912</v>
    <v>Serravalle, San Marino</v>
    <v>2c4b3d57-8854-1833-da4e-ae7736021f51</v>
    <v>en-US</v>
    <v>Map</v>
  </rv>
  <rv s="3">
    <v>559</v>
  </rv>
  <rv s="0">
    <fb>0.18147244196106702</fb>
    <v>28</v>
  </rv>
  <rv s="0">
    <fb>0.36200000000000004</fb>
    <v>28</v>
  </rv>
  <rv s="0">
    <fb>32969</fb>
    <v>9</v>
  </rv>
  <rv s="89">
    <v>#VALUE!</v>
    <v>en-US</v>
    <v>185d8e87-9d95-fed8-e01c-773c13bf35ad</v>
    <v>536870912</v>
    <v>1</v>
    <v>1273</v>
    <v>1274</v>
    <v>San Marino</v>
    <v>5</v>
    <v>6</v>
    <v>Map</v>
    <v>7</v>
    <v>1275</v>
    <v>SM</v>
    <v>8076</v>
    <v>8077</v>
    <v>8078</v>
    <v>8079</v>
    <v>8069</v>
    <v>8080</v>
    <v>8081</v>
    <v>EUR</v>
    <v>San Marino, officially the Republic of San Marino, is the oldest existing representative republic and the European state with the smallest population, excluding the Vatican City. It is the larger of the two microstates surrounded by Italy. ...</v>
    <v>8082</v>
    <v>7703</v>
    <v>8083</v>
    <v>8084</v>
    <v>8085</v>
    <v>8086</v>
    <v>8087</v>
    <v>8069</v>
    <v>8091</v>
    <v>8092</v>
    <v>8093</v>
    <v>San Marino</v>
    <v>Inno Nazionale della Repubblica di San Marino</v>
    <v>4736</v>
    <v>Repubblica di San Marino</v>
    <v>8094</v>
    <v>8095</v>
    <v>8096</v>
    <v>8105</v>
    <v>8106</v>
    <v>193</v>
    <v>8107</v>
    <v>San Marino</v>
    <v>8108</v>
    <v>mdp/vdpid/214</v>
  </rv>
  <rv s="1">
    <v>536870912</v>
    <v>São Tomé</v>
    <v>c0da709b-9496-c3f5-2f8d-b785f3df5634</v>
    <v>en-US</v>
    <v>Map</v>
  </rv>
  <rv s="1">
    <v>536870912</v>
    <v>Água Grande District</v>
    <v>157d2149-95a6-6d8b-f1b8-922b52161363</v>
    <v>en-US</v>
    <v>Map</v>
  </rv>
  <rv s="0">
    <fb>17</fb>
    <v>9</v>
  </rv>
  <rv s="1">
    <v>536870912</v>
    <v>São Tomé and Príncipe</v>
    <v>54da485f-443f-55ec-0697-974f0aca178a</v>
    <v>en-US</v>
    <v>Map</v>
  </rv>
  <rv s="2">
    <v>274</v>
    <v>7</v>
    <v>1276</v>
    <v>7</v>
    <v>0</v>
    <v>Image of São Tomé</v>
  </rv>
  <rv s="0">
    <fb>0.33333333333332998</fb>
    <v>0</v>
  </rv>
  <rv s="4">
    <v>https://www.bing.com/search?q=s%c3%a3o+tom%c3%a9&amp;form=skydnc</v>
    <v>Learn more on Bing</v>
  </rv>
  <rv s="0">
    <fb>6.7333333333332996</fb>
    <v>0</v>
  </rv>
  <rv s="0">
    <fb>71868</fb>
    <v>9</v>
  </rv>
  <rv s="14">
    <v>#VALUE!</v>
    <v>en-US</v>
    <v>c0da709b-9496-c3f5-2f8d-b785f3df5634</v>
    <v>536870912</v>
    <v>1</v>
    <v>1277</v>
    <v>81</v>
    <v>São Tomé</v>
    <v>5</v>
    <v>6</v>
    <v>Map</v>
    <v>7</v>
    <v>253</v>
    <v>8111</v>
    <v>8112</v>
    <v>8113</v>
    <v>São Tomé is the capital and largest city of the Central African island country of São Tomé and Príncipe. Its name is Portuguese for "Saint Thomas". Founded in the 15th century, it is one of Africa's oldest colonial cities.</v>
    <v>8114</v>
    <v>8115</v>
    <v>8116</v>
    <v>8117</v>
    <v>São Tomé</v>
    <v>8118</v>
    <v>São Tomé</v>
    <v>mdp/vdpid/7304126278590791681</v>
  </rv>
  <rv s="0">
    <fb>0.50729167461395297</fb>
    <v>28</v>
  </rv>
  <rv s="0">
    <fb>1001</fb>
    <v>9</v>
  </rv>
  <rv s="0">
    <fb>31.538</fb>
    <v>29</v>
  </rv>
  <rv s="0">
    <fb>239</fb>
    <v>30</v>
  </rv>
  <rv s="0">
    <fb>121.011</fb>
    <v>9</v>
  </rv>
  <rv s="0">
    <fb>185.08955168232399</fb>
    <v>31</v>
  </rv>
  <rv s="0">
    <fb>7.857064313335331E-2</fb>
    <v>28</v>
  </rv>
  <rv s="0">
    <fb>4.3209999999999997</fb>
    <v>29</v>
  </rv>
  <rv s="0">
    <fb>0.55833331743876102</fb>
    <v>28</v>
  </rv>
  <rv s="0">
    <fb>429016605.20820498</fb>
    <v>33</v>
  </rv>
  <rv s="0">
    <fb>1.0679154</fb>
    <v>28</v>
  </rv>
  <rv s="0">
    <fb>0.1338452</fb>
    <v>28</v>
  </rv>
  <rv s="2">
    <v>275</v>
    <v>7</v>
    <v>1279</v>
    <v>7</v>
    <v>0</v>
    <v>Image of São Tomé and Príncipe</v>
  </rv>
  <rv s="0">
    <fb>24.4</fb>
    <v>34</v>
  </rv>
  <rv s="1">
    <v>805306368</v>
    <v>Carlos Vila Nova (President)</v>
    <v>56ed3022-c0e7-b4eb-e37e-2653d83e6f39</v>
    <v>en-US</v>
    <v>Generic</v>
  </rv>
  <rv s="1">
    <v>805306368</v>
    <v>Américo Ramos (Prime minister)</v>
    <v>cad14fd8-ca36-8443-11cf-648b7d9e5e93</v>
    <v>en-US</v>
    <v>Generic</v>
  </rv>
  <rv s="3">
    <v>560</v>
  </rv>
  <rv s="4">
    <v>https://www.bing.com/search?q=s%c3%a3o+tom%c3%a9+and+pr%c3%adncipe&amp;form=skydnc</v>
    <v>Learn more on Bing</v>
  </rv>
  <rv s="0">
    <fb>70.17</fb>
    <v>34</v>
  </rv>
  <rv s="0">
    <fb>130</fb>
    <v>34</v>
  </rv>
  <rv s="3">
    <v>561</v>
  </rv>
  <rv s="0">
    <fb>0.11673493260000001</fb>
    <v>28</v>
  </rv>
  <rv s="0">
    <fb>5.3100000000000001E-2</fb>
    <v>29</v>
  </rv>
  <rv s="0">
    <fb>227380</fb>
    <v>9</v>
  </rv>
  <rv s="0">
    <fb>0.49200000000000005</fb>
    <v>28</v>
  </rv>
  <rv s="0">
    <fb>0.61199999999999999</fb>
    <v>28</v>
  </rv>
  <rv s="0">
    <fb>0.57789001464843803</fb>
    <v>28</v>
  </rv>
  <rv s="1">
    <v>536870912</v>
    <v>Cantagalo District</v>
    <v>127e677e-be47-89a4-e6d6-3eb4c6d351c4</v>
    <v>en-US</v>
    <v>Map</v>
  </rv>
  <rv s="1">
    <v>536870912</v>
    <v>Caué District</v>
    <v>0c0c6d89-a6fc-5b0a-22a1-093c5ff42db0</v>
    <v>en-US</v>
    <v>Map</v>
  </rv>
  <rv s="1">
    <v>536870912</v>
    <v>Lembá District</v>
    <v>042bca9a-fa04-a8ab-27f3-6789c93bee7b</v>
    <v>en-US</v>
    <v>Map</v>
  </rv>
  <rv s="1">
    <v>536870912</v>
    <v>Lobata District</v>
    <v>f3127fad-61d3-5340-c817-1a5c1694c2e6</v>
    <v>en-US</v>
    <v>Map</v>
  </rv>
  <rv s="1">
    <v>536870912</v>
    <v>Mé-Zóchi District</v>
    <v>932c4417-0766-7348-365e-48d35f0573d7</v>
    <v>en-US</v>
    <v>Map</v>
  </rv>
  <rv s="3">
    <v>562</v>
  </rv>
  <rv s="0">
    <fb>0.14612629428327001</fb>
    <v>28</v>
  </rv>
  <rv s="3">
    <v>563</v>
  </rv>
  <rv s="0">
    <fb>0.37</fb>
    <v>28</v>
  </rv>
  <rv s="0">
    <fb>0.133690004348755</fb>
    <v>35</v>
  </rv>
  <rv s="0">
    <fb>158277</fb>
    <v>9</v>
  </rv>
  <rv s="90">
    <v>#VALUE!</v>
    <v>en-US</v>
    <v>54da485f-443f-55ec-0697-974f0aca178a</v>
    <v>536870912</v>
    <v>1</v>
    <v>1282</v>
    <v>1283</v>
    <v>São Tomé and Príncipe</v>
    <v>5</v>
    <v>6</v>
    <v>Map</v>
    <v>7</v>
    <v>1284</v>
    <v>ST</v>
    <v>8120</v>
    <v>8121</v>
    <v>817</v>
    <v>8122</v>
    <v>8123</v>
    <v>8110</v>
    <v>8124</v>
    <v>8125</v>
    <v>8126</v>
    <v>STD</v>
    <v>São Tomé and Príncipe, officially the Democratic Republic of São Tomé and Príncipe, is an island country in the Gulf of Guinea, off the western equatorial coast of Central Africa. It consists of two archipelagos around the two main islands of ...</v>
    <v>8127</v>
    <v>8128</v>
    <v>434</v>
    <v>8129</v>
    <v>8130</v>
    <v>8131</v>
    <v>8132</v>
    <v>8133</v>
    <v>8110</v>
    <v>8136</v>
    <v>8137</v>
    <v>8138</v>
    <v>8139</v>
    <v>São Tomé and Príncipe</v>
    <v>Independência total</v>
    <v>8140</v>
    <v>República Democrática de São Tomé e Príncipe</v>
    <v>8141</v>
    <v>8142</v>
    <v>8143</v>
    <v>653</v>
    <v>8144</v>
    <v>8145</v>
    <v>385</v>
    <v>1472</v>
    <v>3851</v>
    <v>1474</v>
    <v>8146</v>
    <v>8152</v>
    <v>8153</v>
    <v>8154</v>
    <v>8155</v>
    <v>8156</v>
    <v>São Tomé and Príncipe</v>
    <v>8157</v>
    <v>mdp/vdpid/233</v>
  </rv>
  <rv s="1">
    <v>536870912</v>
    <v>Riyadh</v>
    <v>77f8babc-744b-01c3-105d-fd8a09a9f9c3</v>
    <v>en-US</v>
    <v>Map</v>
  </rv>
  <rv s="1">
    <v>536870912</v>
    <v>Riyadh Province</v>
    <v>b29357c5-8470-1b8c-8a9e-41280d15b829</v>
    <v>en-US</v>
    <v>Map</v>
  </rv>
  <rv s="0">
    <fb>1798</fb>
    <v>9</v>
  </rv>
  <rv s="1">
    <v>536870912</v>
    <v>Saudi Arabia</v>
    <v>672bc136-22f9-3750-0459-2fbd2340f892</v>
    <v>en-US</v>
    <v>Map</v>
  </rv>
  <rv s="2">
    <v>276</v>
    <v>7</v>
    <v>1285</v>
    <v>7</v>
    <v>0</v>
    <v>Image of Riyadh</v>
  </rv>
  <rv s="3">
    <v>564</v>
  </rv>
  <rv s="4">
    <v>https://www.bing.com/search?q=riyadh&amp;form=skydnc</v>
    <v>Learn more on Bing</v>
  </rv>
  <rv s="0">
    <fb>7009100</fb>
    <v>9</v>
  </rv>
  <rv s="24">
    <v>#VALUE!</v>
    <v>en-US</v>
    <v>77f8babc-744b-01c3-105d-fd8a09a9f9c3</v>
    <v>536870912</v>
    <v>1</v>
    <v>1286</v>
    <v>189</v>
    <v>Riyadh</v>
    <v>5</v>
    <v>6</v>
    <v>Map</v>
    <v>7</v>
    <v>61</v>
    <v>8160</v>
    <v>8161</v>
    <v>8162</v>
    <v>Riyadh, formerly known as Hajr al-Yamamah, is the capital and largest city of Saudi Arabia. It is also the capital of the Riyadh Province and the centre of the Riyadh Governorate. It is the largest city on the Arabian Peninsula, and is situated ...</v>
    <v>8163</v>
    <v>34</v>
    <v>8164</v>
    <v>8165</v>
    <v>35</v>
    <v>Riyadh</v>
    <v>8166</v>
    <v>Riyadh</v>
    <v>mdp/vdpid/7373665753234407425</v>
  </rv>
  <rv s="0">
    <fb>0.80764668394047501</fb>
    <v>28</v>
  </rv>
  <rv s="0">
    <fb>2250000</fb>
    <v>9</v>
  </rv>
  <rv s="0">
    <fb>252000</fb>
    <v>9</v>
  </rv>
  <rv s="0">
    <fb>17.797999999999998</fb>
    <v>29</v>
  </rv>
  <rv s="0">
    <fb>966</fb>
    <v>30</v>
  </rv>
  <rv s="0">
    <fb>563449.21799999999</fb>
    <v>9</v>
  </rv>
  <rv s="0">
    <fb>118.399825471917</fb>
    <v>31</v>
  </rv>
  <rv s="0">
    <fb>-1.2060168826831901E-2</fb>
    <v>28</v>
  </rv>
  <rv s="0">
    <fb>9401.3667693566804</fb>
    <v>9</v>
  </rv>
  <rv s="0">
    <fb>2.319</fb>
    <v>29</v>
  </rv>
  <rv s="0">
    <fb>4.5448413492177901E-3</fb>
    <v>28</v>
  </rv>
  <rv s="0">
    <fb>99.928018621746105</fb>
    <v>34</v>
  </rv>
  <rv s="0">
    <fb>0.24</fb>
    <v>32</v>
  </rv>
  <rv s="0">
    <fb>792966838161.65906</fb>
    <v>33</v>
  </rv>
  <rv s="0">
    <fb>0.99769900000000011</fb>
    <v>28</v>
  </rv>
  <rv s="0">
    <fb>0.68039890000000003</fb>
    <v>28</v>
  </rv>
  <rv s="2">
    <v>277</v>
    <v>7</v>
    <v>1288</v>
    <v>7</v>
    <v>0</v>
    <v>Image of Saudi Arabia</v>
  </rv>
  <rv s="1">
    <v>805306368</v>
    <v>Salman of Saudi Arabia (King)</v>
    <v>3b5a69d0-c16b-2cb2-fb8c-65e7c9a377e6</v>
    <v>en-US</v>
    <v>Generic</v>
  </rv>
  <rv s="1">
    <v>805306368</v>
    <v>Mohammed bin Salman (Prime minister)</v>
    <v>485957f4-5f7f-4ecb-8ef8-627eb3f0b28a</v>
    <v>en-US</v>
    <v>Generic</v>
  </rv>
  <rv s="3">
    <v>565</v>
  </rv>
  <rv s="4">
    <v>https://www.bing.com/search?q=saudi+arabia&amp;form=skydnc</v>
    <v>Learn more on Bing</v>
  </rv>
  <rv s="0">
    <fb>74.998000000000005</fb>
    <v>34</v>
  </rv>
  <rv s="0">
    <fb>2406819600000</fb>
    <v>33</v>
  </rv>
  <rv s="0">
    <fb>3.85</fb>
    <v>32</v>
  </rv>
  <rv s="0">
    <fb>0.1497993758</fb>
    <v>28</v>
  </rv>
  <rv s="0">
    <fb>2.6116999999999999</fb>
    <v>29</v>
  </rv>
  <rv s="0">
    <fb>36408820</fb>
    <v>9</v>
  </rv>
  <rv s="0">
    <fb>0.55880001068115204</fb>
    <v>28</v>
  </rv>
  <rv s="1">
    <v>536870912</v>
    <v>Al-Bahah Province</v>
    <v>7992ca77-e569-6ff5-fb2f-bffd80b286d2</v>
    <v>en-US</v>
    <v>Map</v>
  </rv>
  <rv s="1">
    <v>536870912</v>
    <v>Northern Borders Province</v>
    <v>c96091e3-d809-87b1-d966-1f062b46b0cb</v>
    <v>en-US</v>
    <v>Map</v>
  </rv>
  <rv s="1">
    <v>536870912</v>
    <v>Al-Jawf Province</v>
    <v>fc636922-9e6f-97d1-e832-9a5ebe95f40f</v>
    <v>en-US</v>
    <v>Map</v>
  </rv>
  <rv s="1">
    <v>536870912</v>
    <v>Medina Province</v>
    <v>89bd833e-07d7-972c-2ab0-a6eec140758d</v>
    <v>en-US</v>
    <v>Map</v>
  </rv>
  <rv s="1">
    <v>536870912</v>
    <v>Al-Qassim Province</v>
    <v>13e366cf-6f0f-39be-9e4f-353301279390</v>
    <v>en-US</v>
    <v>Map</v>
  </rv>
  <rv s="1">
    <v>536870912</v>
    <v>Eastern Province, Saudi Arabia</v>
    <v>1c96fec0-30d7-7d30-b7b8-5a167655bb75</v>
    <v>en-US</v>
    <v>Map</v>
  </rv>
  <rv s="1">
    <v>536870912</v>
    <v>Asir</v>
    <v>8448761f-e815-168b-0e40-bd95f193a332</v>
    <v>en-US</v>
    <v>Map</v>
  </rv>
  <rv s="1">
    <v>536870912</v>
    <v>Ḥa'il Province</v>
    <v>85ede757-28d8-0a5e-f697-8e85aca5da1a</v>
    <v>en-US</v>
    <v>Map</v>
  </rv>
  <rv s="1">
    <v>536870912</v>
    <v>Jazan Province</v>
    <v>18655f63-623b-b55a-bd5e-437e81279119</v>
    <v>en-US</v>
    <v>Map</v>
  </rv>
  <rv s="1">
    <v>536870912</v>
    <v>Mecca Province</v>
    <v>e5f1c8fd-81dd-0695-05d3-447b8aacfa82</v>
    <v>en-US</v>
    <v>Map</v>
  </rv>
  <rv s="1">
    <v>536870912</v>
    <v>Najran Province</v>
    <v>1f1319e8-f032-cbd9-4335-7f25d8db19ed</v>
    <v>en-US</v>
    <v>Map</v>
  </rv>
  <rv s="1">
    <v>536870912</v>
    <v>Tabuk Province</v>
    <v>b1fe1469-b64f-06bd-3c0a-e555c140338f</v>
    <v>en-US</v>
    <v>Map</v>
  </rv>
  <rv s="3">
    <v>566</v>
  </rv>
  <rv s="0">
    <fb>8.92574503531601E-2</fb>
    <v>28</v>
  </rv>
  <rv s="0">
    <fb>5.9270000457763698E-2</fb>
    <v>35</v>
  </rv>
  <rv s="0">
    <fb>28807838</fb>
    <v>9</v>
  </rv>
  <rv s="62">
    <v>#VALUE!</v>
    <v>en-US</v>
    <v>672bc136-22f9-3750-0459-2fbd2340f892</v>
    <v>536870912</v>
    <v>1</v>
    <v>1291</v>
    <v>791</v>
    <v>Saudi Arabia</v>
    <v>5</v>
    <v>6</v>
    <v>Map</v>
    <v>7</v>
    <v>1292</v>
    <v>SA</v>
    <v>8168</v>
    <v>8169</v>
    <v>8170</v>
    <v>8171</v>
    <v>8172</v>
    <v>8159</v>
    <v>8173</v>
    <v>8174</v>
    <v>8175</v>
    <v>SAR</v>
    <v>Saudi Arabia, officially the Kingdom of Saudi Arabia, is a country in West Asia. Located in the centre of the Middle East, it covers the bulk of the Arabian Peninsula and has a land area of about 2,150,000 km², making it the fifth-largest ...</v>
    <v>8176</v>
    <v>8177</v>
    <v>8178</v>
    <v>8179</v>
    <v>8180</v>
    <v>8181</v>
    <v>8182</v>
    <v>8183</v>
    <v>8184</v>
    <v>642</v>
    <v>8159</v>
    <v>8187</v>
    <v>8188</v>
    <v>8189</v>
    <v>8190</v>
    <v>7775</v>
    <v>8191</v>
    <v>Saudi Arabia</v>
    <v>Chant of the Saudi Nation</v>
    <v>3133</v>
    <v>الْمَمْلَكَةُ الْعَرَبِيَّةُ السُّعُودِيَّة</v>
    <v>8192</v>
    <v>8193</v>
    <v>8194</v>
    <v>8195</v>
    <v>8208</v>
    <v>8209</v>
    <v>1020</v>
    <v>3686</v>
    <v>8210</v>
    <v>Saudi Arabia</v>
    <v>8211</v>
    <v>mdp/vdpid/205</v>
  </rv>
  <rv s="1">
    <v>536870912</v>
    <v>Dakar</v>
    <v>231d192c-d87d-99c6-2482-7dd7e8becc3e</v>
    <v>en-US</v>
    <v>Map</v>
  </rv>
  <rv s="1">
    <v>536870912</v>
    <v>Dakar Region</v>
    <v>3bb61292-7b3c-7124-2947-27d8f8207ea6</v>
    <v>en-US</v>
    <v>Map</v>
  </rv>
  <rv s="1">
    <v>536870912</v>
    <v>Dakar Department</v>
    <v>33f913b8-9cf6-4f46-8b1a-a58b40fcf60b</v>
    <v>en-US</v>
    <v>Map</v>
  </rv>
  <rv s="0">
    <fb>82.5</fb>
    <v>9</v>
  </rv>
  <rv s="1">
    <v>536870912</v>
    <v>Senegal</v>
    <v>61b4b41a-e86a-1c43-604a-57097e879fb9</v>
    <v>en-US</v>
    <v>Map</v>
  </rv>
  <rv s="2">
    <v>278</v>
    <v>7</v>
    <v>1293</v>
    <v>7</v>
    <v>0</v>
    <v>Image of Dakar</v>
  </rv>
  <rv s="0">
    <fb>14.731944444444</fb>
    <v>0</v>
  </rv>
  <rv s="1">
    <v>805306368</v>
    <v>Barthélemy Dias (Mayor)</v>
    <v>3d6376ab-17be-3721-1ce5-12f72efc231a</v>
    <v>en-US</v>
    <v>Generic</v>
  </rv>
  <rv s="3">
    <v>567</v>
  </rv>
  <rv s="4">
    <v>https://www.bing.com/search?q=dakar+senegal&amp;form=skydnc</v>
    <v>Learn more on Bing</v>
  </rv>
  <rv s="0">
    <fb>-17.457222222222001</fb>
    <v>0</v>
  </rv>
  <rv s="0">
    <fb>1438725</fb>
    <v>9</v>
  </rv>
  <rv s="23">
    <v>#VALUE!</v>
    <v>en-US</v>
    <v>231d192c-d87d-99c6-2482-7dd7e8becc3e</v>
    <v>536870912</v>
    <v>1</v>
    <v>1294</v>
    <v>179</v>
    <v>Dakar</v>
    <v>5</v>
    <v>6</v>
    <v>Map</v>
    <v>7</v>
    <v>216</v>
    <v>8214</v>
    <v>8215</v>
    <v>8216</v>
    <v>8217</v>
    <v>Dakar is the capital and largest city of Senegal. The department of Dakar has a population of 1,182,417, and the population of the Dakar metropolitan area is estimated at 3.9 million in 2023. Dakar is situated on the Cap-Vert peninsula, the ...</v>
    <v>8218</v>
    <v>8219</v>
    <v>8221</v>
    <v>8222</v>
    <v>8223</v>
    <v>Dakar</v>
    <v>8224</v>
    <v>Dakar</v>
    <v>mdp/vdpid/5734176372293632001</v>
  </rv>
  <rv s="0">
    <fb>0.46060354230509504</fb>
    <v>28</v>
  </rv>
  <rv s="0">
    <fb>196722</fb>
    <v>9</v>
  </rv>
  <rv s="0">
    <fb>19000</fb>
    <v>9</v>
  </rv>
  <rv s="0">
    <fb>34.523000000000003</fb>
    <v>29</v>
  </rv>
  <rv s="0">
    <fb>221</fb>
    <v>30</v>
  </rv>
  <rv s="0">
    <fb>10901.991</fb>
    <v>9</v>
  </rv>
  <rv s="0">
    <fb>109.251270172291</fb>
    <v>31</v>
  </rv>
  <rv s="0">
    <fb>1.7585651759565901E-2</fb>
    <v>28</v>
  </rv>
  <rv s="0">
    <fb>229.35179510637599</fb>
    <v>9</v>
  </rv>
  <rv s="0">
    <fb>4.625</fb>
    <v>29</v>
  </rv>
  <rv s="0">
    <fb>0.42762166935023105</fb>
    <v>28</v>
  </rv>
  <rv s="0">
    <fb>53.909117209717202</fb>
    <v>34</v>
  </rv>
  <rv s="0">
    <fb>23578084052.014702</fb>
    <v>33</v>
  </rv>
  <rv s="0">
    <fb>0.80950040000000001</fb>
    <v>28</v>
  </rv>
  <rv s="0">
    <fb>0.12762589999999999</fb>
    <v>28</v>
  </rv>
  <rv s="2">
    <v>279</v>
    <v>7</v>
    <v>1296</v>
    <v>7</v>
    <v>0</v>
    <v>Image of Senegal</v>
  </rv>
  <rv s="0">
    <fb>31.8</fb>
    <v>34</v>
  </rv>
  <rv s="1">
    <v>805306368</v>
    <v>Bassirou Diomaye Faye (President)</v>
    <v>4b85b865-b12f-b824-0b99-5e369a8fcabc</v>
    <v>en-US</v>
    <v>Generic</v>
  </rv>
  <rv s="1">
    <v>805306368</v>
    <v>Ousmane Sonko (Prime minister)</v>
    <v>1096fc47-a66d-8bd8-8a24-4d855e2a06c0</v>
    <v>en-US</v>
    <v>Generic</v>
  </rv>
  <rv s="3">
    <v>568</v>
  </rv>
  <rv s="4">
    <v>https://www.bing.com/search?q=senegal&amp;form=skydnc</v>
    <v>Learn more on Bing</v>
  </rv>
  <rv s="0">
    <fb>67.665000000000006</fb>
    <v>34</v>
  </rv>
  <rv s="0">
    <fb>315</fb>
    <v>34</v>
  </rv>
  <rv s="3">
    <v>569</v>
  </rv>
  <rv s="0">
    <fb>0.44180671030000002</fb>
    <v>28</v>
  </rv>
  <rv s="0">
    <fb>6.9099999999999995E-2</fb>
    <v>29</v>
  </rv>
  <rv s="0">
    <fb>17316449</fb>
    <v>9</v>
  </rv>
  <rv s="0">
    <fb>0.46899999999999997</fb>
    <v>28</v>
  </rv>
  <rv s="0">
    <fb>6.0999999999999999E-2</fb>
    <v>28</v>
  </rv>
  <rv s="0">
    <fb>0.45683998107910201</fb>
    <v>28</v>
  </rv>
  <rv s="1">
    <v>536870912</v>
    <v>Dakar region</v>
    <v>3bb61292-7b3c-7124-2947-27d8f8207ea6</v>
    <v>en-US</v>
    <v>Map</v>
  </rv>
  <rv s="1">
    <v>536870912</v>
    <v>Diourbel region</v>
    <v>3a04c367-3989-9214-f703-f9caae8c2380</v>
    <v>en-US</v>
    <v>Map</v>
  </rv>
  <rv s="1">
    <v>536870912</v>
    <v>Fatick region</v>
    <v>b43f17b3-9f6f-299a-9d6e-c6be9ad16f93</v>
    <v>en-US</v>
    <v>Map</v>
  </rv>
  <rv s="1">
    <v>536870912</v>
    <v>Kaffrine region</v>
    <v>d07d2758-d957-15b8-0148-96c6ac35c8cc</v>
    <v>en-US</v>
    <v>Map</v>
  </rv>
  <rv s="1">
    <v>536870912</v>
    <v>Kaolack region</v>
    <v>86e997d8-50b5-6fbb-a0e8-cc6f1af0d180</v>
    <v>en-US</v>
    <v>Map</v>
  </rv>
  <rv s="1">
    <v>536870912</v>
    <v>Kédougou region</v>
    <v>be665ea0-47d0-74cf-a4c9-749564e5d774</v>
    <v>en-US</v>
    <v>Map</v>
  </rv>
  <rv s="1">
    <v>536870912</v>
    <v>Kolda region</v>
    <v>c6cbe52c-3bb9-4f46-99ce-df49ccf17d78</v>
    <v>en-US</v>
    <v>Map</v>
  </rv>
  <rv s="1">
    <v>536870912</v>
    <v>Louga region</v>
    <v>08e6ec18-e2d9-407c-d36e-2d2b3e5812e7</v>
    <v>en-US</v>
    <v>Map</v>
  </rv>
  <rv s="1">
    <v>536870912</v>
    <v>Matam region</v>
    <v>5b6b478c-d8e5-3d03-e263-172092ca0e2a</v>
    <v>en-US</v>
    <v>Map</v>
  </rv>
  <rv s="1">
    <v>536870912</v>
    <v>Saint-Louis region</v>
    <v>dd8c5a0a-57ff-1d66-70a5-890cccde5de6</v>
    <v>en-US</v>
    <v>Map</v>
  </rv>
  <rv s="1">
    <v>536870912</v>
    <v>Sédhiou region</v>
    <v>9f50a8d2-d72a-ae8c-222b-a038d4bfa5bf</v>
    <v>en-US</v>
    <v>Map</v>
  </rv>
  <rv s="1">
    <v>536870912</v>
    <v>Tambacounda region</v>
    <v>81d98438-d785-d9fd-11a6-ed6aff0674b7</v>
    <v>en-US</v>
    <v>Map</v>
  </rv>
  <rv s="1">
    <v>536870912</v>
    <v>Thiès region</v>
    <v>aacbf82b-f645-4869-bdab-70cf7794b920</v>
    <v>en-US</v>
    <v>Map</v>
  </rv>
  <rv s="1">
    <v>536870912</v>
    <v>Ziguinchor region</v>
    <v>d4699e3e-86b1-9fdc-8429-2bd7e9bb2f07</v>
    <v>en-US</v>
    <v>Map</v>
  </rv>
  <rv s="3">
    <v>570</v>
  </rv>
  <rv s="0">
    <fb>0.16294156680093402</fb>
    <v>28</v>
  </rv>
  <rv s="3">
    <v>571</v>
  </rv>
  <rv s="0">
    <fb>0.44799999999999995</fb>
    <v>28</v>
  </rv>
  <rv s="0">
    <fb>6.6040000915527294E-2</fb>
    <v>35</v>
  </rv>
  <rv s="0">
    <fb>7765706</fb>
    <v>9</v>
  </rv>
  <rv s="8">
    <v>#VALUE!</v>
    <v>en-US</v>
    <v>61b4b41a-e86a-1c43-604a-57097e879fb9</v>
    <v>536870912</v>
    <v>1</v>
    <v>1299</v>
    <v>46</v>
    <v>Senegal</v>
    <v>5</v>
    <v>6</v>
    <v>Map</v>
    <v>7</v>
    <v>1300</v>
    <v>SN</v>
    <v>8226</v>
    <v>8227</v>
    <v>8228</v>
    <v>8229</v>
    <v>8230</v>
    <v>8213</v>
    <v>8231</v>
    <v>8232</v>
    <v>8233</v>
    <v>XOF</v>
    <v>Senegal, officially the Republic of Senegal, is the westernmost country in West Africa, situated on the Atlantic Ocean coastline. It borders Mauritania to the north, Mali to the east, Guinea to the southeast and Guinea-Bissau to the southwest. ...</v>
    <v>8234</v>
    <v>8235</v>
    <v>8236</v>
    <v>8237</v>
    <v>3381</v>
    <v>8238</v>
    <v>8239</v>
    <v>8240</v>
    <v>8241</v>
    <v>8242</v>
    <v>8213</v>
    <v>8245</v>
    <v>8246</v>
    <v>8247</v>
    <v>8248</v>
    <v>6159</v>
    <v>Senegal</v>
    <v>Le Lion rouge</v>
    <v>8249</v>
    <v>République du Sénégal</v>
    <v>8250</v>
    <v>8251</v>
    <v>8252</v>
    <v>4506</v>
    <v>1751</v>
    <v>8253</v>
    <v>2191</v>
    <v>8254</v>
    <v>4296</v>
    <v>1754</v>
    <v>8255</v>
    <v>8270</v>
    <v>8271</v>
    <v>8272</v>
    <v>8273</v>
    <v>8274</v>
    <v>Senegal</v>
    <v>8275</v>
    <v>mdp/vdpid/210</v>
  </rv>
  <rv s="1">
    <v>536870912</v>
    <v>Belgrade</v>
    <v>23967a85-77cf-f376-c0a7-769fd8f12d6b</v>
    <v>en-US</v>
    <v>Map</v>
  </rv>
  <rv s="0">
    <fb>359.96</fb>
    <v>9</v>
  </rv>
  <rv s="1">
    <v>536870912</v>
    <v>Serbia</v>
    <v>bfde06a5-c040-2791-7779-ac3934ad56d8</v>
    <v>en-US</v>
    <v>Map</v>
  </rv>
  <rv s="2">
    <v>280</v>
    <v>7</v>
    <v>1301</v>
    <v>7</v>
    <v>0</v>
    <v>Image of Belgrade</v>
  </rv>
  <rv s="1">
    <v>805306368</v>
    <v>Aleksandar Šapić (Mayor)</v>
    <v>03648505-2c13-8fb3-7e22-4596c6c03ada</v>
    <v>en-US</v>
    <v>Generic</v>
  </rv>
  <rv s="3">
    <v>572</v>
  </rv>
  <rv s="4">
    <v>https://www.bing.com/search?q=belgrade&amp;form=skydnc</v>
    <v>Learn more on Bing</v>
  </rv>
  <rv s="3">
    <v>573</v>
  </rv>
  <rv s="0">
    <fb>1197714</fb>
    <v>9</v>
  </rv>
  <rv s="18">
    <v>#VALUE!</v>
    <v>en-US</v>
    <v>23967a85-77cf-f376-c0a7-769fd8f12d6b</v>
    <v>536870912</v>
    <v>1</v>
    <v>1303</v>
    <v>124</v>
    <v>Belgrade</v>
    <v>5</v>
    <v>6</v>
    <v>Map</v>
    <v>7</v>
    <v>61</v>
    <v>RS-00</v>
    <v>8278</v>
    <v>8279</v>
    <v>Belgrade is the capital and largest city of Serbia. It is located at the confluence of the Sava and Danube rivers and at the crossroads of the Pannonian Plain and the Balkan Peninsula. The population of the Belgrade metropolitan area is ...</v>
    <v>8280</v>
    <v>8282</v>
    <v>8283</v>
    <v>Belgrade</v>
    <v>8284</v>
    <v>8285</v>
    <v>141</v>
    <v>Belgrade</v>
    <v>mdp/vdpid/7217621128724873221</v>
  </rv>
  <rv s="0">
    <fb>0.39332266178824599</fb>
    <v>28</v>
  </rv>
  <rv s="0">
    <fb>88499</fb>
    <v>9</v>
  </rv>
  <rv s="0">
    <fb>381</fb>
    <v>30</v>
  </rv>
  <rv s="0">
    <fb>45221.444000000003</fb>
    <v>9</v>
  </rv>
  <rv s="0">
    <fb>143.997573551714</fb>
    <v>31</v>
  </rv>
  <rv s="0">
    <fb>1.8492298451108998E-2</fb>
    <v>28</v>
  </rv>
  <rv s="0">
    <fb>4271.7446669105002</fb>
    <v>9</v>
  </rv>
  <rv s="0">
    <fb>1.49</fb>
    <v>29</v>
  </rv>
  <rv s="0">
    <fb>0.31115937598259202</fb>
    <v>28</v>
  </rv>
  <rv s="0">
    <fb>83.871261642928602</fb>
    <v>34</v>
  </rv>
  <rv s="0">
    <fb>51409167350.754799</fb>
    <v>33</v>
  </rv>
  <rv s="0">
    <fb>1.0030193000000001</fb>
    <v>28</v>
  </rv>
  <rv s="0">
    <fb>0.67158659999999992</fb>
    <v>28</v>
  </rv>
  <rv s="2">
    <v>281</v>
    <v>7</v>
    <v>1305</v>
    <v>7</v>
    <v>0</v>
    <v>Image of Serbia</v>
  </rv>
  <rv s="0">
    <fb>4.8</fb>
    <v>34</v>
  </rv>
  <rv s="1">
    <v>805306368</v>
    <v>Aleksandar Vučić (President)</v>
    <v>a8f29601-b0b4-618d-06c1-225d9c9ca494</v>
    <v>en-US</v>
    <v>Generic</v>
  </rv>
  <rv s="1">
    <v>805306368</v>
    <v>Miloš Vučević (Prime minister)</v>
    <v>645725cb-351a-434a-aed8-948fc5c558ee</v>
    <v>en-US</v>
    <v>Generic</v>
  </rv>
  <rv s="3">
    <v>574</v>
  </rv>
  <rv s="4">
    <v>https://www.bing.com/search?q=serbia&amp;form=skydnc</v>
    <v>Learn more on Bing</v>
  </rv>
  <rv s="0">
    <fb>75.539024390243895</fb>
    <v>34</v>
  </rv>
  <rv s="0">
    <fb>1791690000</fb>
    <v>33</v>
  </rv>
  <rv s="0">
    <fb>0.40587734609999998</fb>
    <v>28</v>
  </rv>
  <rv s="0">
    <fb>3.1131000000000002</fb>
    <v>29</v>
  </rv>
  <rv s="0">
    <fb>6760087</fb>
    <v>9</v>
  </rv>
  <rv s="0">
    <fb>0.23800000000000002</fb>
    <v>28</v>
  </rv>
  <rv s="0">
    <fb>0.25600000000000001</fb>
    <v>28</v>
  </rv>
  <rv s="0">
    <fb>0.54875999450683599</fb>
    <v>28</v>
  </rv>
  <rv s="1">
    <v>536870912</v>
    <v>Bor District</v>
    <v>9ffcfa10-55be-f82f-cb8e-afca4700a28b</v>
    <v>en-US</v>
    <v>Map</v>
  </rv>
  <rv s="1">
    <v>536870912</v>
    <v>Braničevo District</v>
    <v>a07c6be1-8fe2-69b2-2187-39748186c884</v>
    <v>en-US</v>
    <v>Map</v>
  </rv>
  <rv s="1">
    <v>536870912</v>
    <v>Zaječar District</v>
    <v>bf30904f-9632-457e-b741-4ebc19b76af2</v>
    <v>en-US</v>
    <v>Map</v>
  </rv>
  <rv s="1">
    <v>536870912</v>
    <v>West Bačka District</v>
    <v>49dfcc2e-e5c1-4a00-a596-a4b6abe539fd</v>
    <v>en-US</v>
    <v>Map</v>
  </rv>
  <rv s="1">
    <v>536870912</v>
    <v>Zlatibor District</v>
    <v>7ed061c8-ef14-f3ec-edf4-656d71063c27</v>
    <v>en-US</v>
    <v>Map</v>
  </rv>
  <rv s="1">
    <v>536870912</v>
    <v>Jablanica District</v>
    <v>16236efd-1eca-d77d-cde8-546ed74407d7</v>
    <v>en-US</v>
    <v>Map</v>
  </rv>
  <rv s="1">
    <v>536870912</v>
    <v>South Banat District</v>
    <v>1cb5c728-aa24-9ee2-4304-f3f4d7f9bc36</v>
    <v>en-US</v>
    <v>Map</v>
  </rv>
  <rv s="1">
    <v>536870912</v>
    <v>South Bačka District</v>
    <v>3b6bf260-5f36-2f33-f93c-25ddc78dc37b</v>
    <v>en-US</v>
    <v>Map</v>
  </rv>
  <rv s="1">
    <v>536870912</v>
    <v>Kolubara District</v>
    <v>4cfa6c33-d52d-c0e0-d59e-4b97a24548aa</v>
    <v>en-US</v>
    <v>Map</v>
  </rv>
  <rv s="1">
    <v>536870912</v>
    <v>Mačva District</v>
    <v>3700cd33-66a3-4307-a6a4-0052c5a1a9cd</v>
    <v>en-US</v>
    <v>Map</v>
  </rv>
  <rv s="1">
    <v>536870912</v>
    <v>Moravica District</v>
    <v>89880f9b-171d-cf8e-1a53-c8d66d717f83</v>
    <v>en-US</v>
    <v>Map</v>
  </rv>
  <rv s="1">
    <v>536870912</v>
    <v>Nišava District</v>
    <v>56d3daa6-6c64-4b4e-b95a-92901df4991a</v>
    <v>en-US</v>
    <v>Map</v>
  </rv>
  <rv s="1">
    <v>536870912</v>
    <v>Pirot District</v>
    <v>0b1d3d41-522e-85f6-2839-c1a73f48bfa2</v>
    <v>en-US</v>
    <v>Map</v>
  </rv>
  <rv s="1">
    <v>536870912</v>
    <v>Podunavlje District</v>
    <v>1bc538cc-ed8c-0a64-aaef-80eebb06eed4</v>
    <v>en-US</v>
    <v>Map</v>
  </rv>
  <rv s="1">
    <v>536870912</v>
    <v>Pomoravlje District</v>
    <v>03b3cb07-b7d9-574d-5772-db151f2e2919</v>
    <v>en-US</v>
    <v>Map</v>
  </rv>
  <rv s="1">
    <v>536870912</v>
    <v>Pčinja District</v>
    <v>553f9237-b6f3-4d59-b448-e891febf795f</v>
    <v>en-US</v>
    <v>Map</v>
  </rv>
  <rv s="1">
    <v>536870912</v>
    <v>Rasina District</v>
    <v>b07edd1c-21ee-ac36-f59e-703020e74185</v>
    <v>en-US</v>
    <v>Map</v>
  </rv>
  <rv s="1">
    <v>536870912</v>
    <v>Raška District</v>
    <v>8c653eb9-14b9-489c-ab00-f38e993137fc</v>
    <v>en-US</v>
    <v>Map</v>
  </rv>
  <rv s="1">
    <v>536870912</v>
    <v>North Banat District</v>
    <v>412e968b-7dc0-3592-2176-e8fa00bf85fa</v>
    <v>en-US</v>
    <v>Map</v>
  </rv>
  <rv s="1">
    <v>536870912</v>
    <v>North Bačka District</v>
    <v>4264da16-3531-4cc1-99c5-0559ace6880f</v>
    <v>en-US</v>
    <v>Map</v>
  </rv>
  <rv s="1">
    <v>536870912</v>
    <v>Central Banat District</v>
    <v>db1a60f4-4d29-db90-281b-e46d486156c9</v>
    <v>en-US</v>
    <v>Map</v>
  </rv>
  <rv s="1">
    <v>536870912</v>
    <v>Srem District</v>
    <v>794a5a1f-3b8d-b0db-5924-9e66b4a9fb3f</v>
    <v>en-US</v>
    <v>Map</v>
  </rv>
  <rv s="1">
    <v>536870912</v>
    <v>Toplica District</v>
    <v>55dcdea5-a7b1-53a8-08e0-41bb67c07978</v>
    <v>en-US</v>
    <v>Map</v>
  </rv>
  <rv s="1">
    <v>536870912</v>
    <v>Šumadija District</v>
    <v>5ab530fd-7899-457b-a64a-7737385a8eb7</v>
    <v>en-US</v>
    <v>Map</v>
  </rv>
  <rv s="3">
    <v>575</v>
  </rv>
  <rv s="0">
    <fb>0.185525002126608</fb>
    <v>28</v>
  </rv>
  <rv s="0">
    <fb>0.12685999870300299</fb>
    <v>35</v>
  </rv>
  <rv s="0">
    <fb>3907243</fb>
    <v>9</v>
  </rv>
  <rv s="9">
    <v>#VALUE!</v>
    <v>en-US</v>
    <v>bfde06a5-c040-2791-7779-ac3934ad56d8</v>
    <v>536870912</v>
    <v>1</v>
    <v>1308</v>
    <v>55</v>
    <v>Serbia</v>
    <v>5</v>
    <v>6</v>
    <v>Map</v>
    <v>7</v>
    <v>1309</v>
    <v>RS</v>
    <v>8287</v>
    <v>8288</v>
    <v>1081</v>
    <v>5798</v>
    <v>8289</v>
    <v>8277</v>
    <v>8290</v>
    <v>8291</v>
    <v>8292</v>
    <v>RSD</v>
    <v>Serbia, officially the Republic of Serbia, is a landlocked country at the crossroads of Southeast and Central Europe, located in the Balkans and the Pannonian Plain. It borders Hungary to the north, Romania to the northeast, Bulgaria to the ...</v>
    <v>8293</v>
    <v>8294</v>
    <v>8295</v>
    <v>8296</v>
    <v>5419</v>
    <v>8297</v>
    <v>8298</v>
    <v>8299</v>
    <v>8300</v>
    <v>8301</v>
    <v>8277</v>
    <v>8304</v>
    <v>8305</v>
    <v>8306</v>
    <v>8307</v>
    <v>4410</v>
    <v>1654</v>
    <v>Serbia</v>
    <v>Bože pravde</v>
    <v>8284</v>
    <v>Србија</v>
    <v>8308</v>
    <v>8309</v>
    <v>8310</v>
    <v>8311</v>
    <v>8312</v>
    <v>1470</v>
    <v>2346</v>
    <v>6333</v>
    <v>3331</v>
    <v>3546</v>
    <v>8313</v>
    <v>8338</v>
    <v>8339</v>
    <v>193</v>
    <v>194</v>
    <v>8340</v>
    <v>Serbia</v>
    <v>8341</v>
    <v>mdp/vdpid/271</v>
  </rv>
  <rv s="1">
    <v>536870912</v>
    <v>Victoria, Seychelles</v>
    <v>775ad069-ad7c-7703-43b7-0fd25b36e04a</v>
    <v>en-US</v>
    <v>Map</v>
  </rv>
  <rv s="0">
    <fb>20.100000000000001</fb>
    <v>9</v>
  </rv>
  <rv s="1">
    <v>536870912</v>
    <v>Seychelles</v>
    <v>edbdad3e-b40e-62fd-849a-f3eaffadc75d</v>
    <v>en-US</v>
    <v>Map</v>
  </rv>
  <rv s="2">
    <v>282</v>
    <v>7</v>
    <v>1310</v>
    <v>7</v>
    <v>0</v>
    <v>Image of Victoria, Seychelles</v>
  </rv>
  <rv s="0">
    <fb>-4.6236111111111002</fb>
    <v>0</v>
  </rv>
  <rv s="1">
    <v>805306368</v>
    <v>Lydia Charlie (Mayor)</v>
    <v>aaefb782-1179-e8ff-be66-3741d3ae2235</v>
    <v>en-US</v>
    <v>Generic</v>
  </rv>
  <rv s="3">
    <v>576</v>
  </rv>
  <rv s="4">
    <v>https://www.bing.com/search?q=victoria+seychelles&amp;form=skydnc</v>
    <v>Learn more on Bing</v>
  </rv>
  <rv s="0">
    <fb>55.454444444444</fb>
    <v>0</v>
  </rv>
  <rv s="0">
    <fb>26450</fb>
    <v>9</v>
  </rv>
  <rv s="45">
    <v>#VALUE!</v>
    <v>en-US</v>
    <v>775ad069-ad7c-7703-43b7-0fd25b36e04a</v>
    <v>536870912</v>
    <v>1</v>
    <v>1311</v>
    <v>505</v>
    <v>Victoria, Seychelles</v>
    <v>5</v>
    <v>6</v>
    <v>Map</v>
    <v>7</v>
    <v>136</v>
    <v>8344</v>
    <v>8345</v>
    <v>Victoria is the capital and largest city of the Republic of Seychelles, situated on the north-eastern side of Mahé, the archipelago's main island. The city was first established as the seat of the British colonial government. In 2010, the ...</v>
    <v>8346</v>
    <v>8347</v>
    <v>8349</v>
    <v>8350</v>
    <v>8351</v>
    <v>Victoria, Seychelles</v>
    <v>8352</v>
    <v>554</v>
    <v>Victoria, Seychelles</v>
    <v>mdp/vdpid/8218957649929043969</v>
  </rv>
  <rv s="0">
    <fb>3.3695651137310399E-2</fb>
    <v>28</v>
  </rv>
  <rv s="0">
    <fb>459</fb>
    <v>9</v>
  </rv>
  <rv s="0">
    <fb>17.100000000000001</fb>
    <v>29</v>
  </rv>
  <rv s="0">
    <fb>248</fb>
    <v>30</v>
  </rv>
  <rv s="0">
    <fb>605.05499999999995</fb>
    <v>9</v>
  </rv>
  <rv s="0">
    <fb>129.95819746015201</fb>
    <v>31</v>
  </rv>
  <rv s="0">
    <fb>1.8061115998362701E-2</fb>
    <v>28</v>
  </rv>
  <rv s="0">
    <fb>2.41</fb>
    <v>29</v>
  </rv>
  <rv s="0">
    <fb>0.88413039497707202</fb>
    <v>28</v>
  </rv>
  <rv s="0">
    <fb>1698843062.76141</fb>
    <v>33</v>
  </rv>
  <rv s="0">
    <fb>1.0037948999999999</fb>
    <v>28</v>
  </rv>
  <rv s="0">
    <fb>0.17079849999999999</fb>
    <v>28</v>
  </rv>
  <rv s="2">
    <v>283</v>
    <v>7</v>
    <v>1313</v>
    <v>7</v>
    <v>0</v>
    <v>Image of Seychelles</v>
  </rv>
  <rv s="1">
    <v>805306368</v>
    <v>Wavel Ramkalawan (President)</v>
    <v>083a7524-88a8-9381-3900-0a9fc1b5d357</v>
    <v>en-US</v>
    <v>Generic</v>
  </rv>
  <rv s="1">
    <v>805306368</v>
    <v>Ahmed Afif (Vice president)</v>
    <v>7ca58186-1ab3-446a-dcde-f2c549a55021</v>
    <v>en-US</v>
    <v>Generic</v>
  </rv>
  <rv s="3">
    <v>577</v>
  </rv>
  <rv s="4">
    <v>https://www.bing.com/search?q=seychelles&amp;form=skydnc</v>
    <v>Learn more on Bing</v>
  </rv>
  <rv s="0">
    <fb>72.841463414634106</fb>
    <v>34</v>
  </rv>
  <rv s="0">
    <fb>1136540000</fb>
    <v>33</v>
  </rv>
  <rv s="3">
    <v>578</v>
  </rv>
  <rv s="0">
    <fb>2.4844012200000001E-2</fb>
    <v>28</v>
  </rv>
  <rv s="0">
    <fb>0.94579999999999997</fb>
    <v>29</v>
  </rv>
  <rv s="0">
    <fb>100060</fb>
    <v>9</v>
  </rv>
  <rv s="0">
    <fb>0.184</fb>
    <v>28</v>
  </rv>
  <rv s="0">
    <fb>0.53</fb>
    <v>28</v>
  </rv>
  <rv s="1">
    <v>536870912</v>
    <v>Bel Air, Seychelles</v>
    <v>6028dc63-f5bc-b003-614f-c3423b3283ac</v>
    <v>en-US</v>
    <v>Map</v>
  </rv>
  <rv s="1">
    <v>536870912</v>
    <v>English River, Seychelles</v>
    <v>41563f20-dd24-017f-a035-e38d8191c88d</v>
    <v>en-US</v>
    <v>Map</v>
  </rv>
  <rv s="1">
    <v>536870912</v>
    <v>Les Mamelles</v>
    <v>c1ef852d-383b-ac8a-ad2f-fce594a4e355</v>
    <v>en-US</v>
    <v>Map</v>
  </rv>
  <rv s="1">
    <v>536870912</v>
    <v>Mont Buxton</v>
    <v>faaae7c2-897c-738e-66ca-b43069e8b9e4</v>
    <v>en-US</v>
    <v>Map</v>
  </rv>
  <rv s="1">
    <v>536870912</v>
    <v>Mont Fleuri</v>
    <v>997d5069-a1df-ac64-2fb4-98539abfd098</v>
    <v>en-US</v>
    <v>Map</v>
  </rv>
  <rv s="1">
    <v>536870912</v>
    <v>Plaisance, Seychelles</v>
    <v>0b547d04-47e0-ade2-72c2-53d1e2a2eecc</v>
    <v>en-US</v>
    <v>Map</v>
  </rv>
  <rv s="1">
    <v>536870912</v>
    <v>Roche Caiman</v>
    <v>27e3108d-54be-afb4-144d-2984f7caacd8</v>
    <v>en-US</v>
    <v>Map</v>
  </rv>
  <rv s="1">
    <v>536870912</v>
    <v>Saint Louis, Seychelles</v>
    <v>d0a0dba1-e562-fee5-84d6-2f356eaa0fe3</v>
    <v>en-US</v>
    <v>Map</v>
  </rv>
  <rv s="1">
    <v>536870912</v>
    <v>Anse aux Pins</v>
    <v>a916d846-fbee-0b9c-d9ee-dd4692f23771</v>
    <v>en-US</v>
    <v>Map</v>
  </rv>
  <rv s="1">
    <v>536870912</v>
    <v>Anse Boileau</v>
    <v>5116d6e9-dfe9-3bc8-afd9-3e340b122891</v>
    <v>en-US</v>
    <v>Map</v>
  </rv>
  <rv s="1">
    <v>536870912</v>
    <v>Anse Etoile</v>
    <v>9637b260-1d1a-215b-1a6f-c53c26c2f6a3</v>
    <v>en-US</v>
    <v>Map</v>
  </rv>
  <rv s="1">
    <v>536870912</v>
    <v>Au Cap</v>
    <v>09a4fe1f-6895-97cb-440e-2401a22b8c8c</v>
    <v>en-US</v>
    <v>Map</v>
  </rv>
  <rv s="1">
    <v>536870912</v>
    <v>Anse Royale</v>
    <v>e73216fd-8d69-dd96-beaf-1435086aead1</v>
    <v>en-US</v>
    <v>Map</v>
  </rv>
  <rv s="1">
    <v>536870912</v>
    <v>Baie Lazare</v>
    <v>9541bf03-b038-b270-6118-dc714f32f008</v>
    <v>en-US</v>
    <v>Map</v>
  </rv>
  <rv s="1">
    <v>536870912</v>
    <v>Beau Vallon, Seychelles</v>
    <v>a17a6c77-755a-8725-5022-5cc26b762c89</v>
    <v>en-US</v>
    <v>Map</v>
  </rv>
  <rv s="1">
    <v>536870912</v>
    <v>Bel Ombre, Seychelles</v>
    <v>2c2f4200-45d7-7e9c-bdaf-312fa8f2aea3</v>
    <v>en-US</v>
    <v>Map</v>
  </rv>
  <rv s="1">
    <v>536870912</v>
    <v>Cascade, Seychelles</v>
    <v>09a1d7d4-e49e-71be-d2ae-db520ec3cd0d</v>
    <v>en-US</v>
    <v>Map</v>
  </rv>
  <rv s="1">
    <v>536870912</v>
    <v>Glacis, Seychelles</v>
    <v>c32ae8df-1e45-b167-67dc-cc954cc3fba6</v>
    <v>en-US</v>
    <v>Map</v>
  </rv>
  <rv s="1">
    <v>536870912</v>
    <v>Grand'Anse Mahé</v>
    <v>1174b345-2bed-cf59-0822-8763981c46fb</v>
    <v>en-US</v>
    <v>Map</v>
  </rv>
  <rv s="1">
    <v>536870912</v>
    <v>Pointe La Rue</v>
    <v>a165b555-c1f4-532b-3dfc-0a710fec98aa</v>
    <v>en-US</v>
    <v>Map</v>
  </rv>
  <rv s="1">
    <v>536870912</v>
    <v>Port Glaud</v>
    <v>e48919e6-ccf5-033b-cdc2-6cf948dcbb7e</v>
    <v>en-US</v>
    <v>Map</v>
  </rv>
  <rv s="1">
    <v>536870912</v>
    <v>Takamaka, Seychelles</v>
    <v>6e453608-ae0a-b342-f5ab-ce26f302bcd8</v>
    <v>en-US</v>
    <v>Map</v>
  </rv>
  <rv s="1">
    <v>536870912</v>
    <v>Baie Saint Anne</v>
    <v>ad8766b0-6597-9be8-40b0-d55b2fe77246</v>
    <v>en-US</v>
    <v>Map</v>
  </rv>
  <rv s="1">
    <v>536870912</v>
    <v>Grand'Anse Praslin</v>
    <v>9c29603b-c760-5e2d-3835-19d72d32a41c</v>
    <v>en-US</v>
    <v>Map</v>
  </rv>
  <rv s="3">
    <v>579</v>
  </rv>
  <rv s="0">
    <fb>0.341163212544145</fb>
    <v>28</v>
  </rv>
  <rv s="0">
    <fb>55762</fb>
    <v>9</v>
  </rv>
  <rv s="91">
    <v>#VALUE!</v>
    <v>en-US</v>
    <v>edbdad3e-b40e-62fd-849a-f3eaffadc75d</v>
    <v>536870912</v>
    <v>1</v>
    <v>1316</v>
    <v>1317</v>
    <v>Seychelles</v>
    <v>5</v>
    <v>6</v>
    <v>Map</v>
    <v>7</v>
    <v>1318</v>
    <v>SC</v>
    <v>8354</v>
    <v>8355</v>
    <v>426</v>
    <v>8356</v>
    <v>8357</v>
    <v>8343</v>
    <v>8358</v>
    <v>8359</v>
    <v>8360</v>
    <v>SCR</v>
    <v>Seychelles, officially the Republic of Seychelles, is an island country and archipelagic state consisting of 155 islands in the Indian Ocean. Its capital and largest city, Victoria, is 1,500 kilometres east of mainland Africa. Nearby island ...</v>
    <v>8361</v>
    <v>8362</v>
    <v>434</v>
    <v>8363</v>
    <v>8364</v>
    <v>8365</v>
    <v>8366</v>
    <v>4793</v>
    <v>8343</v>
    <v>8369</v>
    <v>8370</v>
    <v>8371</v>
    <v>8372</v>
    <v>5702</v>
    <v>2184</v>
    <v>Seychelles</v>
    <v>Koste Seselwa</v>
    <v>8373</v>
    <v>Repubblica delle Seychelles</v>
    <v>8374</v>
    <v>8375</v>
    <v>8376</v>
    <v>8377</v>
    <v>6516</v>
    <v>8378</v>
    <v>1662</v>
    <v>2827</v>
    <v>2930</v>
    <v>2634</v>
    <v>8403</v>
    <v>8404</v>
    <v>554</v>
    <v>4547</v>
    <v>Seychelles</v>
    <v>8405</v>
    <v>mdp/vdpid/208</v>
  </rv>
  <rv s="1">
    <v>536870912</v>
    <v>Freetown</v>
    <v>55165688-4d05-763a-a26e-f7e79cafa0da</v>
    <v>en-US</v>
    <v>Map</v>
  </rv>
  <rv s="1">
    <v>536870912</v>
    <v>Western Area</v>
    <v>97c4bd99-40a7-27ce-e2dd-0f1433b76c55</v>
    <v>en-US</v>
    <v>Map</v>
  </rv>
  <rv s="0">
    <fb>357</fb>
    <v>9</v>
  </rv>
  <rv s="1">
    <v>536870912</v>
    <v>Sierra Leone</v>
    <v>41793478-51d5-adbf-c119-180944ed6ef5</v>
    <v>en-US</v>
    <v>Map</v>
  </rv>
  <rv s="2">
    <v>284</v>
    <v>7</v>
    <v>1320</v>
    <v>7</v>
    <v>0</v>
    <v>Image of Freetown</v>
  </rv>
  <rv s="0">
    <fb>8.4833333333333005</fb>
    <v>0</v>
  </rv>
  <rv s="1">
    <v>805306368</v>
    <v>Yvonne Aki-Sawyerr (Mayor)</v>
    <v>7aff7b80-71ef-b90b-75c8-0188a4853607</v>
    <v>en-US</v>
    <v>Generic</v>
  </rv>
  <rv s="3">
    <v>580</v>
  </rv>
  <rv s="4">
    <v>https://www.bing.com/search?q=freetown&amp;form=skydnc</v>
    <v>Learn more on Bing</v>
  </rv>
  <rv s="0">
    <fb>-13.233055555556</fb>
    <v>0</v>
  </rv>
  <rv s="0">
    <fb>1347559</fb>
    <v>9</v>
  </rv>
  <rv s="7">
    <v>#VALUE!</v>
    <v>en-US</v>
    <v>55165688-4d05-763a-a26e-f7e79cafa0da</v>
    <v>536870912</v>
    <v>1</v>
    <v>1321</v>
    <v>38</v>
    <v>Freetown</v>
    <v>5</v>
    <v>6</v>
    <v>Map</v>
    <v>7</v>
    <v>169</v>
    <v>8408</v>
    <v>8409</v>
    <v>8410</v>
    <v>Freetown is the capital and largest city of Sierra Leone. It is a major port city on the Atlantic Ocean and is located in the Western Area of the country. Freetown is Sierra Leone's major urban, economic, financial, cultural, educational and ...</v>
    <v>8411</v>
    <v>8412</v>
    <v>8414</v>
    <v>8415</v>
    <v>8416</v>
    <v>Freetown</v>
    <v>8417</v>
    <v>1712</v>
    <v>Freetown</v>
    <v>mdp/vdpid/5749818884106485761</v>
  </rv>
  <rv s="0">
    <fb>0.54710446106954802</fb>
    <v>28</v>
  </rv>
  <rv s="0">
    <fb>71740</fb>
    <v>9</v>
  </rv>
  <rv s="0">
    <fb>33.405999999999999</fb>
    <v>29</v>
  </rv>
  <rv s="0">
    <fb>232</fb>
    <v>30</v>
  </rv>
  <rv s="0">
    <fb>1092.7660000000001</fb>
    <v>9</v>
  </rv>
  <rv s="0">
    <fb>234.15870949074099</fb>
    <v>31</v>
  </rv>
  <rv s="0">
    <fb>0.148030585681759</fb>
    <v>28</v>
  </rv>
  <rv s="0">
    <fb>4.2629999999999999</fb>
    <v>29</v>
  </rv>
  <rv s="0">
    <fb>0.43053478770521603</fb>
    <v>28</v>
  </rv>
  <rv s="0">
    <fb>1.08</fb>
    <v>32</v>
  </rv>
  <rv s="0">
    <fb>3941474310.7691302</fb>
    <v>33</v>
  </rv>
  <rv s="0">
    <fb>1.1275457</fb>
    <v>28</v>
  </rv>
  <rv s="0">
    <fb>1.9587799999999999E-2</fb>
    <v>28</v>
  </rv>
  <rv s="2">
    <v>285</v>
    <v>7</v>
    <v>1323</v>
    <v>7</v>
    <v>0</v>
    <v>Image of Sierra Leone</v>
  </rv>
  <rv s="0">
    <fb>78.5</fb>
    <v>34</v>
  </rv>
  <rv s="1">
    <v>805306368</v>
    <v>Julius Maada Bio (President)</v>
    <v>dba1e7bb-97c5-18a9-378b-8f97f7a20670</v>
    <v>en-US</v>
    <v>Generic</v>
  </rv>
  <rv s="1">
    <v>805306368</v>
    <v>Mohamed Juldeh Jalloh (Vice president)</v>
    <v>c772cd24-8e86-0208-1402-c6235a4729a1</v>
    <v>en-US</v>
    <v>Generic</v>
  </rv>
  <rv s="1">
    <v>805306368</v>
    <v>David Moinina Sengeh (Prime minister)</v>
    <v>e7e20cbf-f65b-4363-64a9-7cd634d44949</v>
    <v>en-US</v>
    <v>Generic</v>
  </rv>
  <rv s="3">
    <v>581</v>
  </rv>
  <rv s="4">
    <v>https://www.bing.com/search?q=sierra+leone&amp;form=skydnc</v>
    <v>Learn more on Bing</v>
  </rv>
  <rv s="0">
    <fb>54.308999999999997</fb>
    <v>34</v>
  </rv>
  <rv s="0">
    <fb>1120</fb>
    <v>34</v>
  </rv>
  <rv s="0">
    <fb>0.56999999999999995</fb>
    <v>32</v>
  </rv>
  <rv s="0">
    <fb>0.38238115090000002</fb>
    <v>28</v>
  </rv>
  <rv s="0">
    <fb>2.5000000000000001E-2</fb>
    <v>29</v>
  </rv>
  <rv s="0">
    <fb>8605718</fb>
    <v>9</v>
  </rv>
  <rv s="0">
    <fb>0.11699999999999999</fb>
    <v>28</v>
  </rv>
  <rv s="0">
    <fb>0.57895999908447304</fb>
    <v>28</v>
  </rv>
  <rv s="1">
    <v>536870912</v>
    <v>Northern Province, Sierra Leone</v>
    <v>bd7b6207-d6cb-1c1f-6277-d09bea114dfb</v>
    <v>en-US</v>
    <v>Map</v>
  </rv>
  <rv s="1">
    <v>536870912</v>
    <v>Southern Province, Sierra Leone</v>
    <v>2f3c9dcb-0cd5-6744-49b4-b8117e86218c</v>
    <v>en-US</v>
    <v>Map</v>
  </rv>
  <rv s="1">
    <v>536870912</v>
    <v>Eastern Province, Sierra Leone</v>
    <v>afd79e24-2e3a-f3e5-34e1-a805620bfd76</v>
    <v>en-US</v>
    <v>Map</v>
  </rv>
  <rv s="3">
    <v>582</v>
  </rv>
  <rv s="0">
    <fb>8.5952159824142504E-2</fb>
    <v>28</v>
  </rv>
  <rv s="3">
    <v>583</v>
  </rv>
  <rv s="0">
    <fb>0.307</fb>
    <v>28</v>
  </rv>
  <rv s="0">
    <fb>4.4279999732971198E-2</fb>
    <v>35</v>
  </rv>
  <rv s="0">
    <fb>3319366</fb>
    <v>9</v>
  </rv>
  <rv s="32">
    <v>#VALUE!</v>
    <v>en-US</v>
    <v>41793478-51d5-adbf-c119-180944ed6ef5</v>
    <v>536870912</v>
    <v>1</v>
    <v>1326</v>
    <v>326</v>
    <v>Sierra Leone</v>
    <v>5</v>
    <v>6</v>
    <v>Map</v>
    <v>7</v>
    <v>1327</v>
    <v>SL</v>
    <v>8419</v>
    <v>8420</v>
    <v>145</v>
    <v>8421</v>
    <v>8422</v>
    <v>8407</v>
    <v>8423</v>
    <v>8424</v>
    <v>8425</v>
    <v>SLE</v>
    <v>Sierra Leone, officially the Republic of Sierra Leone, is a country on the southwest coast of West Africa. It is bordered to the southeast by Liberia and by Guinea to the north. Sierra Leone's land area is 73,252 km². It has a tropical climate ...</v>
    <v>8426</v>
    <v>8427</v>
    <v>8428</v>
    <v>8429</v>
    <v>8430</v>
    <v>8431</v>
    <v>8432</v>
    <v>8433</v>
    <v>8407</v>
    <v>8437</v>
    <v>8438</v>
    <v>8439</v>
    <v>8440</v>
    <v>8441</v>
    <v>Sierra Leone</v>
    <v>High We Exalt Thee, Realm of the Free</v>
    <v>448</v>
    <v>Repubblica della Sierra Leone</v>
    <v>8442</v>
    <v>8443</v>
    <v>8444</v>
    <v>3137</v>
    <v>3217</v>
    <v>4686</v>
    <v>2760</v>
    <v>4417</v>
    <v>8445</v>
    <v>1360</v>
    <v>8446</v>
    <v>8450</v>
    <v>8451</v>
    <v>8452</v>
    <v>8453</v>
    <v>8454</v>
    <v>Sierra Leone</v>
    <v>8455</v>
    <v>mdp/vdpid/213</v>
  </rv>
  <rv s="1">
    <v>536870912</v>
    <v>Bratislava</v>
    <v>58b70fde-dfcf-1beb-05ed-c5baeec68486</v>
    <v>en-US</v>
    <v>Map</v>
  </rv>
  <rv s="1">
    <v>536870912</v>
    <v>Bratislava Region</v>
    <v>e637bf19-eeaa-4459-9caf-f56123dbf175</v>
    <v>en-US</v>
    <v>Map</v>
  </rv>
  <rv s="0">
    <fb>367.6</fb>
    <v>9</v>
  </rv>
  <rv s="1">
    <v>536870912</v>
    <v>Slovakia</v>
    <v>edb4720a-f85f-2ef3-4669-e9de895513b0</v>
    <v>en-US</v>
    <v>Map</v>
  </rv>
  <rv s="2">
    <v>286</v>
    <v>7</v>
    <v>1328</v>
    <v>7</v>
    <v>0</v>
    <v>Image of Bratislava</v>
  </rv>
  <rv s="0">
    <fb>48.144722222222001</fb>
    <v>0</v>
  </rv>
  <rv s="1">
    <v>805306368</v>
    <v>Matúš Vallo (Mayor)</v>
    <v>219049a6-8e4d-2d89-06a4-be9a2a5d04c8</v>
    <v>en-US</v>
    <v>Generic</v>
  </rv>
  <rv s="3">
    <v>584</v>
  </rv>
  <rv s="4">
    <v>https://www.bing.com/search?q=bratislava&amp;form=skydnc</v>
    <v>Learn more on Bing</v>
  </rv>
  <rv s="0">
    <fb>17.112777777778</fb>
    <v>0</v>
  </rv>
  <rv s="0">
    <fb>475503</fb>
    <v>9</v>
  </rv>
  <rv s="23">
    <v>#VALUE!</v>
    <v>en-US</v>
    <v>58b70fde-dfcf-1beb-05ed-c5baeec68486</v>
    <v>536870912</v>
    <v>1</v>
    <v>1329</v>
    <v>179</v>
    <v>Bratislava</v>
    <v>5</v>
    <v>6</v>
    <v>Map</v>
    <v>7</v>
    <v>216</v>
    <v>8458</v>
    <v>8458</v>
    <v>8459</v>
    <v>8460</v>
    <v>Bratislava, historically known as Preßburg, is the capital and largest city of Slovakia. Officially, the population of the city is about 475,000; however, it is estimated to be more than 660,000—approximately 140% of the official figures. ...</v>
    <v>8461</v>
    <v>8462</v>
    <v>8464</v>
    <v>8465</v>
    <v>8466</v>
    <v>Bratislava</v>
    <v>8467</v>
    <v>Bratislava</v>
    <v>mdp/vdpid/7023742287930720257</v>
  </rv>
  <rv s="0">
    <fb>0.39226289517470903</fb>
    <v>28</v>
  </rv>
  <rv s="0">
    <fb>49035</fb>
    <v>9</v>
  </rv>
  <rv s="0">
    <fb>10.6</fb>
    <v>29</v>
  </rv>
  <rv s="0">
    <fb>421</fb>
    <v>30</v>
  </rv>
  <rv s="0">
    <fb>32423.614000000001</fb>
    <v>9</v>
  </rv>
  <rv s="0">
    <fb>115.338987748767</fb>
    <v>31</v>
  </rv>
  <rv s="0">
    <fb>2.6645613342544297E-2</fb>
    <v>28</v>
  </rv>
  <rv s="0">
    <fb>5137.0738351939799</fb>
    <v>9</v>
  </rv>
  <rv s="0">
    <fb>1.52</fb>
    <v>29</v>
  </rv>
  <rv s="0">
    <fb>0.40353576355488302</fb>
    <v>28</v>
  </rv>
  <rv s="0">
    <fb>64.091495098880202</fb>
    <v>34</v>
  </rv>
  <rv s="0">
    <fb>105422304975.576</fb>
    <v>33</v>
  </rv>
  <rv s="0">
    <fb>0.98732050000000005</fb>
    <v>28</v>
  </rv>
  <rv s="0">
    <fb>0.46634390000000003</fb>
    <v>28</v>
  </rv>
  <rv s="2">
    <v>287</v>
    <v>7</v>
    <v>1331</v>
    <v>7</v>
    <v>0</v>
    <v>Image of Slovakia</v>
  </rv>
  <rv s="0">
    <fb>4.5999999999999996</fb>
    <v>34</v>
  </rv>
  <rv s="1">
    <v>805306368</v>
    <v>Peter Pellegrini (President)</v>
    <v>f629decd-819c-5335-3056-a303e967b3ef</v>
    <v>en-US</v>
    <v>Generic</v>
  </rv>
  <rv s="1">
    <v>805306368</v>
    <v>Robert Fico (Prime minister)</v>
    <v>8e083165-c1e0-fe2d-8b3f-c60ab5f7ccbc</v>
    <v>en-US</v>
    <v>Generic</v>
  </rv>
  <rv s="3">
    <v>585</v>
  </rv>
  <rv s="4">
    <v>https://www.bing.com/search?q=slovakia&amp;form=skydnc</v>
    <v>Learn more on Bing</v>
  </rv>
  <rv s="0">
    <fb>77.165853658536605</fb>
    <v>34</v>
  </rv>
  <rv s="0">
    <fb>4801320000</fb>
    <v>33</v>
  </rv>
  <rv s="0">
    <fb>3.11</fb>
    <v>32</v>
  </rv>
  <rv s="3">
    <v>586</v>
  </rv>
  <rv s="0">
    <fb>0.18443573520000001</fb>
    <v>28</v>
  </rv>
  <rv s="0">
    <fb>3.4156</fb>
    <v>29</v>
  </rv>
  <rv s="0">
    <fb>5431752</fb>
    <v>9</v>
  </rv>
  <rv s="0">
    <fb>0.19</fb>
    <v>28</v>
  </rv>
  <rv s="0">
    <fb>0.59541000366210906</fb>
    <v>28</v>
  </rv>
  <rv s="1">
    <v>536870912</v>
    <v>Trnava Region</v>
    <v>4f2bb7cb-6583-4c39-9bf0-d4e3bb63dc18</v>
    <v>en-US</v>
    <v>Map</v>
  </rv>
  <rv s="1">
    <v>536870912</v>
    <v>Nitra Region</v>
    <v>d1ead58e-466d-468e-a927-7b14d511bee9</v>
    <v>en-US</v>
    <v>Map</v>
  </rv>
  <rv s="1">
    <v>536870912</v>
    <v>Trenčín Region</v>
    <v>20297534-639a-464f-90d3-81da4026bd2b</v>
    <v>en-US</v>
    <v>Map</v>
  </rv>
  <rv s="1">
    <v>536870912</v>
    <v>Žilina Region</v>
    <v>712f0aa7-5c71-4ca0-b231-743ce5252eb2</v>
    <v>en-US</v>
    <v>Map</v>
  </rv>
  <rv s="1">
    <v>536870912</v>
    <v>Banská Bystrica Region</v>
    <v>2e442f08-059f-48a2-8f6e-cbe382c50935</v>
    <v>en-US</v>
    <v>Map</v>
  </rv>
  <rv s="1">
    <v>536870912</v>
    <v>Košice Region</v>
    <v>d93306fe-d07e-40fc-876e-e0ebf15d5b24</v>
    <v>en-US</v>
    <v>Map</v>
  </rv>
  <rv s="1">
    <v>536870912</v>
    <v>Prešov Region</v>
    <v>9ed1d64f-c597-423c-8a57-6c255167c0ef</v>
    <v>en-US</v>
    <v>Map</v>
  </rv>
  <rv s="3">
    <v>587</v>
  </rv>
  <rv s="0">
    <fb>0.18701973520562698</fb>
    <v>28</v>
  </rv>
  <rv s="0">
    <fb>5.56099987030029E-2</fb>
    <v>35</v>
  </rv>
  <rv s="0">
    <fb>2930419</fb>
    <v>9</v>
  </rv>
  <rv s="9">
    <v>#VALUE!</v>
    <v>en-US</v>
    <v>edb4720a-f85f-2ef3-4669-e9de895513b0</v>
    <v>536870912</v>
    <v>1</v>
    <v>1334</v>
    <v>55</v>
    <v>Slovakia</v>
    <v>5</v>
    <v>6</v>
    <v>Map</v>
    <v>7</v>
    <v>1335</v>
    <v>SK</v>
    <v>8469</v>
    <v>8470</v>
    <v>2734</v>
    <v>8471</v>
    <v>8472</v>
    <v>8457</v>
    <v>8473</v>
    <v>8474</v>
    <v>8475</v>
    <v>EUR</v>
    <v>Slovakia, officially the Slovak Republic, is a landlocked country in Central Europe. It is bordered by Poland to the north, Ukraine to the east, Hungary to the south, Austria to the west, and the Czech Republic to the northwest. Slovakia's ...</v>
    <v>8476</v>
    <v>8477</v>
    <v>8478</v>
    <v>8479</v>
    <v>2810</v>
    <v>8480</v>
    <v>8481</v>
    <v>8482</v>
    <v>8483</v>
    <v>8484</v>
    <v>8457</v>
    <v>8487</v>
    <v>8488</v>
    <v>8489</v>
    <v>8490</v>
    <v>440</v>
    <v>8491</v>
    <v>Slovakia</v>
    <v>Nad Tatrou sa blýska</v>
    <v>8492</v>
    <v>Slovenská republika</v>
    <v>8493</v>
    <v>8494</v>
    <v>8495</v>
    <v>508</v>
    <v>2344</v>
    <v>2212</v>
    <v>1417</v>
    <v>1111</v>
    <v>2829</v>
    <v>8496</v>
    <v>8497</v>
    <v>8505</v>
    <v>8506</v>
    <v>193</v>
    <v>7963</v>
    <v>8507</v>
    <v>Slovakia</v>
    <v>8508</v>
    <v>mdp/vdpid/143</v>
  </rv>
  <rv s="1">
    <v>536870912</v>
    <v>Ljubljana</v>
    <v>692acddf-5ab9-3bdd-6312-19b898edc3c2</v>
    <v>en-US</v>
    <v>Map</v>
  </rv>
  <rv s="0">
    <fb>163.76</fb>
    <v>9</v>
  </rv>
  <rv s="1">
    <v>536870912</v>
    <v>Kingdom of Serbs, Croats and Slovenes</v>
    <v>0a415c49-1434-4ddb-89ad-8dff4c50b643</v>
    <v>en-US</v>
    <v>Map</v>
  </rv>
  <rv s="2">
    <v>288</v>
    <v>7</v>
    <v>1336</v>
    <v>7</v>
    <v>0</v>
    <v>Image of Ljubljana</v>
  </rv>
  <rv s="0">
    <fb>46.051388888888901</fb>
    <v>0</v>
  </rv>
  <rv s="1">
    <v>805306368</v>
    <v>Zoran Janković (Mayor)</v>
    <v>02500339-a76b-99e4-64e9-a33e31d7704e</v>
    <v>en-US</v>
    <v>Generic</v>
  </rv>
  <rv s="3">
    <v>588</v>
  </rv>
  <rv s="4">
    <v>https://www.bing.com/search?q=ljubljana&amp;form=skydnc</v>
    <v>Learn more on Bing</v>
  </rv>
  <rv s="0">
    <fb>14.5061111111111</fb>
    <v>0</v>
  </rv>
  <rv s="0">
    <fb>284293</fb>
    <v>9</v>
  </rv>
  <rv s="45">
    <v>#VALUE!</v>
    <v>en-US</v>
    <v>692acddf-5ab9-3bdd-6312-19b898edc3c2</v>
    <v>536870912</v>
    <v>1</v>
    <v>1337</v>
    <v>505</v>
    <v>Ljubljana</v>
    <v>5</v>
    <v>6</v>
    <v>Map</v>
    <v>7</v>
    <v>61</v>
    <v>8511</v>
    <v>8512</v>
    <v>Ljubljana is the capital and largest city of Slovenia, located along a trade route between the northern Adriatic Sea and the Danube region, north of the country's largest marsh, inhabited since prehistoric times. It is the country's cultural, ...</v>
    <v>8513</v>
    <v>8514</v>
    <v>8516</v>
    <v>8517</v>
    <v>8518</v>
    <v>Ljubljana</v>
    <v>8519</v>
    <v>193</v>
    <v>Ljubljana</v>
    <v>mdp/vdpid/7023096595918880769</v>
  </rv>
  <rv s="1">
    <v>536870912</v>
    <v>Honiara</v>
    <v>77747d9e-93e3-f430-0c78-72e024efa89c</v>
    <v>en-US</v>
    <v>Map</v>
  </rv>
  <rv s="1">
    <v>536870912</v>
    <v>Solomon Islands</v>
    <v>21782a7b-8132-6cb7-9c19-a969f888720b</v>
    <v>en-US</v>
    <v>Map</v>
  </rv>
  <rv s="2">
    <v>289</v>
    <v>7</v>
    <v>1339</v>
    <v>7</v>
    <v>0</v>
    <v>Image of Honiara</v>
  </rv>
  <rv s="1">
    <v>805306368</v>
    <v>Eddie Siapu (Mayor)</v>
    <v>452937ff-6e99-5db3-94ea-cdcceb9bad9b</v>
    <v>en-US</v>
    <v>Generic</v>
  </rv>
  <rv s="3">
    <v>589</v>
  </rv>
  <rv s="4">
    <v>https://www.bing.com/search?q=honiara&amp;form=skydnc</v>
    <v>Learn more on Bing</v>
  </rv>
  <rv s="0">
    <fb>84520</fb>
    <v>9</v>
  </rv>
  <rv s="30">
    <v>#VALUE!</v>
    <v>en-US</v>
    <v>77747d9e-93e3-f430-0c78-72e024efa89c</v>
    <v>536870912</v>
    <v>1</v>
    <v>1340</v>
    <v>294</v>
    <v>Honiara</v>
    <v>5</v>
    <v>6</v>
    <v>Map</v>
    <v>7</v>
    <v>148</v>
    <v>SB-CT</v>
    <v>1716</v>
    <v>8522</v>
    <v>Honiara is the capital and largest city of Solomon Islands, situated on the northwestern coast of Guadalcanal. As of 2021, it had a population of 92,344 people. The city is served by Honiara International Airport and the seaport of Point Cruz, ...</v>
    <v>8523</v>
    <v>8525</v>
    <v>8526</v>
    <v>Honiara</v>
    <v>8527</v>
    <v>Honiara</v>
    <v>mdp/vdpid/8832939474901008385</v>
  </rv>
  <rv s="0">
    <fb>3.8585209003215402E-2</fb>
    <v>28</v>
  </rv>
  <rv s="0">
    <fb>28400</fb>
    <v>9</v>
  </rv>
  <rv s="0">
    <fb>32.439</fb>
    <v>29</v>
  </rv>
  <rv s="0">
    <fb>677</fb>
    <v>30</v>
  </rv>
  <rv s="0">
    <fb>168.68199999999999</fb>
    <v>9</v>
  </rv>
  <rv s="0">
    <fb>133.06203318559099</fb>
    <v>31</v>
  </rv>
  <rv s="0">
    <fb>1.6348554401224201E-2</fb>
    <v>28</v>
  </rv>
  <rv s="0">
    <fb>4.4029999999999996</fb>
    <v>29</v>
  </rv>
  <rv s="0">
    <fb>0.778635191977045</fb>
    <v>28</v>
  </rv>
  <rv s="0">
    <fb>1425074225.7779801</fb>
    <v>33</v>
  </rv>
  <rv s="0">
    <fb>1.0620649</fb>
    <v>28</v>
  </rv>
  <rv s="2">
    <v>290</v>
    <v>7</v>
    <v>1342</v>
    <v>7</v>
    <v>0</v>
    <v>Image of Solomon Islands</v>
  </rv>
  <rv s="0">
    <fb>17.100000000000001</fb>
    <v>34</v>
  </rv>
  <rv s="1">
    <v>805306368</v>
    <v>Jeremiah Manele (Prime minister)</v>
    <v>4e1aeccd-e810-bc15-e095-375ee5abd4b7</v>
    <v>en-US</v>
    <v>Generic</v>
  </rv>
  <rv s="3">
    <v>590</v>
  </rv>
  <rv s="4">
    <v>https://www.bing.com/search?q=solomon+islands&amp;form=skydnc</v>
    <v>Learn more on Bing</v>
  </rv>
  <rv s="0">
    <fb>72.834999999999994</fb>
    <v>34</v>
  </rv>
  <rv s="0">
    <fb>104</fb>
    <v>34</v>
  </rv>
  <rv s="3">
    <v>591</v>
  </rv>
  <rv s="0">
    <fb>3.2869159699999997E-2</fb>
    <v>28</v>
  </rv>
  <rv s="0">
    <fb>0.19370000000000001</fb>
    <v>29</v>
  </rv>
  <rv s="0">
    <fb>724273</fb>
    <v>9</v>
  </rv>
  <rv s="0">
    <fb>0.114</fb>
    <v>28</v>
  </rv>
  <rv s="0">
    <fb>0.83835998535156309</fb>
    <v>28</v>
  </rv>
  <rv s="1">
    <v>536870912</v>
    <v>Central Province</v>
    <v>bc5be92b-5d58-c58f-ee5f-213b45ff6a4f</v>
    <v>en-US</v>
    <v>Map</v>
  </rv>
  <rv s="1">
    <v>536870912</v>
    <v>Choiseul Province</v>
    <v>8eeabac9-4950-1ac3-3b05-3beacb4a9512</v>
    <v>en-US</v>
    <v>Map</v>
  </rv>
  <rv s="1">
    <v>536870912</v>
    <v>Guadalcanal Province</v>
    <v>e1b97407-dbe0-6e1d-42d9-2376e710a2d4</v>
    <v>en-US</v>
    <v>Map</v>
  </rv>
  <rv s="1">
    <v>536870912</v>
    <v>Isabel Province</v>
    <v>294cf314-1d95-99d6-287d-30d961ff5fb9</v>
    <v>en-US</v>
    <v>Map</v>
  </rv>
  <rv s="1">
    <v>536870912</v>
    <v>Makira-Ulawa Province</v>
    <v>1844274e-618a-56ab-13bc-496222093fc5</v>
    <v>en-US</v>
    <v>Map</v>
  </rv>
  <rv s="1">
    <v>536870912</v>
    <v>Malaita Province</v>
    <v>cc9ca4b7-6dae-e7cf-76c0-801fe795f2aa</v>
    <v>en-US</v>
    <v>Map</v>
  </rv>
  <rv s="1">
    <v>536870912</v>
    <v>Western Province</v>
    <v>a0981a2a-e472-d95b-ce9e-87c83b667336</v>
    <v>en-US</v>
    <v>Map</v>
  </rv>
  <rv s="1">
    <v>536870912</v>
    <v>Rennell and Bellona Province</v>
    <v>a86f7d3f-72cf-17d3-141b-601bc739195e</v>
    <v>en-US</v>
    <v>Map</v>
  </rv>
  <rv s="1">
    <v>536870912</v>
    <v>Temotu Province</v>
    <v>689698f0-224c-41c3-f8a0-ebb77cf4e684</v>
    <v>en-US</v>
    <v>Map</v>
  </rv>
  <rv s="3">
    <v>592</v>
  </rv>
  <rv s="0">
    <fb>0.29549349568202299</fb>
    <v>28</v>
  </rv>
  <rv s="3">
    <v>593</v>
  </rv>
  <rv s="0">
    <fb>5.75999975204468E-3</fb>
    <v>35</v>
  </rv>
  <rv s="0">
    <fb>162164</fb>
    <v>9</v>
  </rv>
  <rv s="92">
    <v>#VALUE!</v>
    <v>en-US</v>
    <v>21782a7b-8132-6cb7-9c19-a969f888720b</v>
    <v>536870912</v>
    <v>1</v>
    <v>1345</v>
    <v>1346</v>
    <v>Solomon Islands</v>
    <v>5</v>
    <v>6</v>
    <v>Map</v>
    <v>7</v>
    <v>1347</v>
    <v>SB</v>
    <v>8529</v>
    <v>8530</v>
    <v>8531</v>
    <v>8532</v>
    <v>8521</v>
    <v>8533</v>
    <v>8534</v>
    <v>8535</v>
    <v>SBD</v>
    <v>Solomon Islands, also known simply as the Solomons, is an island country consisting of six major islands and over 1000 smaller islands in Melanesia, part of Oceania, to the northeast of Australia. It is directly adjacent to Papua New Guinea to ...</v>
    <v>8536</v>
    <v>8537</v>
    <v>434</v>
    <v>8538</v>
    <v>8539</v>
    <v>8540</v>
    <v>8541</v>
    <v>8521</v>
    <v>8543</v>
    <v>8544</v>
    <v>8545</v>
    <v>8546</v>
    <v>2925</v>
    <v>Solomon Islands</v>
    <v>God Save Our Solomon Islands</v>
    <v>8547</v>
    <v>Solomon Islands</v>
    <v>8548</v>
    <v>8549</v>
    <v>8550</v>
    <v>2825</v>
    <v>586</v>
    <v>5122</v>
    <v>651</v>
    <v>1473</v>
    <v>8551</v>
    <v>1289</v>
    <v>8552</v>
    <v>8562</v>
    <v>8563</v>
    <v>8564</v>
    <v>3004</v>
    <v>8565</v>
    <v>Solomon Islands</v>
    <v>8566</v>
    <v>mdp/vdpid/30</v>
  </rv>
  <rv s="1">
    <v>536870912</v>
    <v>Mogadishu</v>
    <v>6b153fea-d687-ac84-f937-d59d0a5bdaf6</v>
    <v>en-US</v>
    <v>Map</v>
  </rv>
  <rv s="1">
    <v>536870912</v>
    <v>Banaadir</v>
    <v>47a94b95-50da-e3cb-c6c9-dd8cba83fba4</v>
    <v>en-US</v>
    <v>Map</v>
  </rv>
  <rv s="0">
    <fb>91</fb>
    <v>9</v>
  </rv>
  <rv s="1">
    <v>536870912</v>
    <v>Somalia</v>
    <v>14f0659c-f28d-2a2c-7272-22ac7398b0ed</v>
    <v>en-US</v>
    <v>Map</v>
  </rv>
  <rv s="2">
    <v>291</v>
    <v>7</v>
    <v>1348</v>
    <v>7</v>
    <v>0</v>
    <v>Image of Mogadishu</v>
  </rv>
  <rv s="0">
    <fb>2.0391666666666701</fb>
    <v>0</v>
  </rv>
  <rv s="1">
    <v>805306368</v>
    <v>Yusuf Hussein Jimaale (Mayor)</v>
    <v>04de3d46-470b-27d7-f398-e328ff819205</v>
    <v>en-US</v>
    <v>Generic</v>
  </rv>
  <rv s="3">
    <v>594</v>
  </rv>
  <rv s="4">
    <v>https://www.bing.com/search?q=mogadishu&amp;form=skydnc</v>
    <v>Learn more on Bing</v>
  </rv>
  <rv s="0">
    <fb>45.341944444444401</fb>
    <v>0</v>
  </rv>
  <rv s="0">
    <fb>2120000</fb>
    <v>9</v>
  </rv>
  <rv s="24">
    <v>#VALUE!</v>
    <v>en-US</v>
    <v>6b153fea-d687-ac84-f937-d59d0a5bdaf6</v>
    <v>536870912</v>
    <v>1</v>
    <v>1349</v>
    <v>189</v>
    <v>Mogadishu</v>
    <v>5</v>
    <v>6</v>
    <v>Map</v>
    <v>7</v>
    <v>253</v>
    <v>8569</v>
    <v>8570</v>
    <v>8571</v>
    <v>Mogadishu, locally known as Xamar or Hamar, is the capital and most populous city of Somalia. The city has served as an important port connecting traders across the Indian Ocean for millennia, and has an estimated urban population of 2,610,483. ...</v>
    <v>8572</v>
    <v>8573</v>
    <v>8575</v>
    <v>8576</v>
    <v>8577</v>
    <v>Mogadishu</v>
    <v>8578</v>
    <v>Mogadishu</v>
    <v>mdp/vdpid/7445650460117041153</v>
  </rv>
  <rv s="0">
    <fb>0.70336659546657299</fb>
    <v>28</v>
  </rv>
  <rv s="0">
    <fb>637657</fb>
    <v>9</v>
  </rv>
  <rv s="0">
    <fb>20000</fb>
    <v>9</v>
  </rv>
  <rv s="0">
    <fb>41.753</fb>
    <v>29</v>
  </rv>
  <rv s="0">
    <fb>252</fb>
    <v>30</v>
  </rv>
  <rv s="0">
    <fb>645.39200000000005</fb>
    <v>9</v>
  </rv>
  <rv s="0">
    <fb>6.0720000000000001</fb>
    <v>29</v>
  </rv>
  <rv s="0">
    <fb>0.10020403920222699</fb>
    <v>28</v>
  </rv>
  <rv s="0">
    <fb>4720727278.1883297</fb>
    <v>33</v>
  </rv>
  <rv s="0">
    <fb>0.23363539999999999</fb>
    <v>28</v>
  </rv>
  <rv s="0">
    <fb>2.46041E-2</fb>
    <v>28</v>
  </rv>
  <rv s="2">
    <v>292</v>
    <v>7</v>
    <v>1351</v>
    <v>7</v>
    <v>0</v>
    <v>Image of Somalia</v>
  </rv>
  <rv s="0">
    <fb>76.599999999999994</fb>
    <v>34</v>
  </rv>
  <rv s="1">
    <v>805306368</v>
    <v>Hassan Sheikh Mohamud (President)</v>
    <v>d1819e08-8cad-4518-ac6e-f3ef48938ebd</v>
    <v>en-US</v>
    <v>Generic</v>
  </rv>
  <rv s="1">
    <v>805306368</v>
    <v>Hamza Abdi Barre (Prime minister)</v>
    <v>ca870171-69e7-4e60-80e2-a0812c621b0a</v>
    <v>en-US</v>
    <v>Generic</v>
  </rv>
  <rv s="3">
    <v>595</v>
  </rv>
  <rv s="4">
    <v>https://www.bing.com/search?q=somalia&amp;form=skydnc</v>
    <v>Learn more on Bing</v>
  </rv>
  <rv s="0">
    <fb>57.067999999999998</fb>
    <v>34</v>
  </rv>
  <rv s="3">
    <v>596</v>
  </rv>
  <rv s="0">
    <fb>2.29E-2</fb>
    <v>29</v>
  </rv>
  <rv s="0">
    <fb>17597511</fb>
    <v>9</v>
  </rv>
  <rv s="0">
    <fb>0.47397998809814501</fb>
    <v>28</v>
  </rv>
  <rv s="1">
    <v>536870912</v>
    <v>Awdal</v>
    <v>dc88f9a6-2153-a64c-06a2-87f616cf8e06</v>
    <v>en-US</v>
    <v>Map</v>
  </rv>
  <rv s="1">
    <v>536870912</v>
    <v>Bakool</v>
    <v>dadbaa78-4326-e3cb-8889-109ae596a2a3</v>
    <v>en-US</v>
    <v>Map</v>
  </rv>
  <rv s="1">
    <v>536870912</v>
    <v>Bari, Somalia</v>
    <v>26e6ebcf-d0b4-0e6a-c727-158f90261893</v>
    <v>en-US</v>
    <v>Map</v>
  </rv>
  <rv s="1">
    <v>536870912</v>
    <v>Bay, Somalia</v>
    <v>5720b10c-535c-ff5b-3f90-78350a201b15</v>
    <v>en-US</v>
    <v>Map</v>
  </rv>
  <rv s="1">
    <v>536870912</v>
    <v>Galguduud</v>
    <v>0cbca1a2-c990-a55a-9a31-acb985524f41</v>
    <v>en-US</v>
    <v>Map</v>
  </rv>
  <rv s="1">
    <v>536870912</v>
    <v>Gedo</v>
    <v>935ff2fb-6bd8-18e7-3544-4e4a67e78e85</v>
    <v>en-US</v>
    <v>Map</v>
  </rv>
  <rv s="1">
    <v>536870912</v>
    <v>Hiran, Somalia</v>
    <v>585d50a6-f0b8-2668-7102-7c0d361e87fd</v>
    <v>en-US</v>
    <v>Map</v>
  </rv>
  <rv s="1">
    <v>536870912</v>
    <v>Middle Juba</v>
    <v>b27d7a5a-c58f-fde4-79ad-b72da787b9c1</v>
    <v>en-US</v>
    <v>Map</v>
  </rv>
  <rv s="1">
    <v>536870912</v>
    <v>Lower Juba</v>
    <v>1c3a23f3-dc33-9f09-ce2f-838195564920</v>
    <v>en-US</v>
    <v>Map</v>
  </rv>
  <rv s="1">
    <v>536870912</v>
    <v>Mudug</v>
    <v>3197077f-31df-5f39-98ac-d91829097e30</v>
    <v>en-US</v>
    <v>Map</v>
  </rv>
  <rv s="1">
    <v>536870912</v>
    <v>Middle Shabelle</v>
    <v>81542177-8bd5-073d-612d-0f67ff1e44f2</v>
    <v>en-US</v>
    <v>Map</v>
  </rv>
  <rv s="1">
    <v>536870912</v>
    <v>Lower Shabelle</v>
    <v>ff07773d-4ae7-d991-aeae-d84e23217903</v>
    <v>en-US</v>
    <v>Map</v>
  </rv>
  <rv s="3">
    <v>597</v>
  </rv>
  <rv s="0">
    <fb>1.2287243373719898E-6</fb>
    <v>28</v>
  </rv>
  <rv s="3">
    <v>598</v>
  </rv>
  <rv s="0">
    <fb>0.11350999832153301</fb>
    <v>35</v>
  </rv>
  <rv s="0">
    <fb>7034861</fb>
    <v>9</v>
  </rv>
  <rv s="93">
    <v>#VALUE!</v>
    <v>en-US</v>
    <v>14f0659c-f28d-2a2c-7272-22ac7398b0ed</v>
    <v>536870912</v>
    <v>1</v>
    <v>1354</v>
    <v>1355</v>
    <v>Somalia</v>
    <v>5</v>
    <v>6</v>
    <v>Map</v>
    <v>7</v>
    <v>1356</v>
    <v>SO</v>
    <v>8580</v>
    <v>8581</v>
    <v>8582</v>
    <v>8583</v>
    <v>8584</v>
    <v>8568</v>
    <v>8585</v>
    <v>SOS</v>
    <v>Somalia, officially the Federal Republic of Somalia, is the easternmost country in continental Africa. The country is located in the Horn of Africa and is bordered by Ethiopia to the west, Djibouti to the northwest, Kenya to the southwest, the ...</v>
    <v>8586</v>
    <v>8587</v>
    <v>2053</v>
    <v>8588</v>
    <v>8589</v>
    <v>8590</v>
    <v>8591</v>
    <v>8592</v>
    <v>8568</v>
    <v>8595</v>
    <v>8596</v>
    <v>8597</v>
    <v>2064</v>
    <v>Somalia</v>
    <v>Qolobaa Calankeed</v>
    <v>8598</v>
    <v>Federal Republic of Somalia</v>
    <v>8599</v>
    <v>8600</v>
    <v>8601</v>
    <v>8614</v>
    <v>8615</v>
    <v>8616</v>
    <v>8617</v>
    <v>Somalia</v>
    <v>8618</v>
    <v>mdp/vdpid/216</v>
  </rv>
  <rv s="1">
    <v>536870912</v>
    <v>Pretoria</v>
    <v>3fa43cca-3409-4d81-f4f9-2df74e37e177</v>
    <v>en-US</v>
    <v>Map</v>
  </rv>
  <rv s="1">
    <v>536870912</v>
    <v>Gauteng</v>
    <v>adc304a6-9c62-702f-7ed7-29afec5c41a8</v>
    <v>en-US</v>
    <v>Map</v>
  </rv>
  <rv s="1">
    <v>536870912</v>
    <v>City of Tshwane Metropolitan Municipality</v>
    <v>6edc8312-e5b7-c7f7-5b61-db3f0e797204</v>
    <v>en-US</v>
    <v>Map</v>
  </rv>
  <rv s="0">
    <fb>688</fb>
    <v>9</v>
  </rv>
  <rv s="1">
    <v>536870912</v>
    <v>South Africa</v>
    <v>38a9fd4a-4f7c-6d91-d6dd-4eed3131672d</v>
    <v>en-US</v>
    <v>Map</v>
  </rv>
  <rv s="2">
    <v>293</v>
    <v>7</v>
    <v>1357</v>
    <v>7</v>
    <v>0</v>
    <v>Image of Pretoria</v>
  </rv>
  <rv s="1">
    <v>805306368</v>
    <v>Cilliers Brink (Mayor)</v>
    <v>477e1eed-70e9-bb3d-b0d5-cd5e290b2f4a</v>
    <v>en-US</v>
    <v>Generic</v>
  </rv>
  <rv s="3">
    <v>599</v>
  </rv>
  <rv s="4">
    <v>https://www.bing.com/search?q=pretoria&amp;form=skydnc</v>
    <v>Learn more on Bing</v>
  </rv>
  <rv s="0">
    <fb>741651</fb>
    <v>9</v>
  </rv>
  <rv s="5">
    <v>#VALUE!</v>
    <v>en-US</v>
    <v>3fa43cca-3409-4d81-f4f9-2df74e37e177</v>
    <v>536870912</v>
    <v>1</v>
    <v>1358</v>
    <v>3</v>
    <v>Pretoria</v>
    <v>5</v>
    <v>6</v>
    <v>Map</v>
    <v>7</v>
    <v>39</v>
    <v>8621</v>
    <v>8622</v>
    <v>8623</v>
    <v>8624</v>
    <v>Pretoria is South Africa's administrative capital, serving as the seat of the executive branch of government, and as the host to all foreign embassies to South Africa. Pretoria straddles the Apies River and extends eastward into the foothills of ...</v>
    <v>8625</v>
    <v>36</v>
    <v>8627</v>
    <v>8628</v>
    <v>37</v>
    <v>Pretoria</v>
    <v>8629</v>
    <v>3369</v>
    <v>Pretoria</v>
    <v>mdp/vdpid/8181932715222761474</v>
  </rv>
  <rv s="0">
    <fb>0.79830020855830996</fb>
    <v>28</v>
  </rv>
  <rv s="0">
    <fb>1221037</fb>
    <v>9</v>
  </rv>
  <rv s="0">
    <fb>80000</fb>
    <v>9</v>
  </rv>
  <rv s="0">
    <fb>20.51</fb>
    <v>29</v>
  </rv>
  <rv s="0">
    <fb>27</fb>
    <v>30</v>
  </rv>
  <rv s="0">
    <fb>476643.99400000001</fb>
    <v>9</v>
  </rv>
  <rv s="0">
    <fb>158.92793752218699</fb>
    <v>31</v>
  </rv>
  <rv s="0">
    <fb>4.1243507248623905E-2</fb>
    <v>28</v>
  </rv>
  <rv s="0">
    <fb>4197.9070469175304</fb>
    <v>9</v>
  </rv>
  <rv s="0">
    <fb>2.4049999999999998</fb>
    <v>29</v>
  </rv>
  <rv s="0">
    <fb>7.6177365240831296E-2</fb>
    <v>28</v>
  </rv>
  <rv s="0">
    <fb>86.791431691401598</fb>
    <v>34</v>
  </rv>
  <rv s="0">
    <fb>351431649241.43903</fb>
    <v>33</v>
  </rv>
  <rv s="0">
    <fb>1.0086473</fb>
    <v>28</v>
  </rv>
  <rv s="0">
    <fb>0.22366029999999998</fb>
    <v>28</v>
  </rv>
  <rv s="2">
    <v>294</v>
    <v>7</v>
    <v>1360</v>
    <v>7</v>
    <v>0</v>
    <v>Image of South Africa</v>
  </rv>
  <rv s="0">
    <fb>28.5</fb>
    <v>34</v>
  </rv>
  <rv s="1">
    <v>536870912</v>
    <v>Johannesburg</v>
    <v>fdf01f15-cb04-8b6c-43e6-a8b2138c0312</v>
    <v>en-US</v>
    <v>Map</v>
  </rv>
  <rv s="1">
    <v>805306368</v>
    <v>Cyril Ramaphosa (President)</v>
    <v>c3bf14fa-ef5e-696f-af28-746c7d0b22a9</v>
    <v>en-US</v>
    <v>Generic</v>
  </rv>
  <rv s="1">
    <v>805306368</v>
    <v>Mandisa Maya (Chief justice)</v>
    <v>d7f4df4e-1431-de9c-d625-ad5005dd70e1</v>
    <v>en-US</v>
    <v>Generic</v>
  </rv>
  <rv s="3">
    <v>600</v>
  </rv>
  <rv s="4">
    <v>https://www.bing.com/search?q=south+africa&amp;form=skydnc</v>
    <v>Learn more on Bing</v>
  </rv>
  <rv s="0">
    <fb>63.856999999999999</fb>
    <v>34</v>
  </rv>
  <rv s="0">
    <fb>1056341440000</fb>
    <v>33</v>
  </rv>
  <rv s="0">
    <fb>119</fb>
    <v>34</v>
  </rv>
  <rv s="3">
    <v>601</v>
  </rv>
  <rv s="0">
    <fb>7.6985469299999998E-2</fb>
    <v>28</v>
  </rv>
  <rv s="0">
    <fb>0.90539999999999998</fb>
    <v>29</v>
  </rv>
  <rv s="0">
    <fb>59893885</fb>
    <v>9</v>
  </rv>
  <rv s="0">
    <fb>0.505</fb>
    <v>28</v>
  </rv>
  <rv s="0">
    <fb>0.68200000000000005</fb>
    <v>28</v>
  </rv>
  <rv s="0">
    <fb>0.56016998291015596</fb>
    <v>28</v>
  </rv>
  <rv s="1">
    <v>536870912</v>
    <v>Eastern Cape</v>
    <v>52d32047-22e4-2498-c546-1854275462d0</v>
    <v>en-US</v>
    <v>Map</v>
  </rv>
  <rv s="1">
    <v>536870912</v>
    <v>Free State</v>
    <v>a80d303a-f84e-1047-ecc5-821b167d82e2</v>
    <v>en-US</v>
    <v>Map</v>
  </rv>
  <rv s="1">
    <v>536870912</v>
    <v>KwaZulu-Natal</v>
    <v>b18f871a-4296-ec9f-bd43-fc7b0e94f309</v>
    <v>en-US</v>
    <v>Map</v>
  </rv>
  <rv s="1">
    <v>536870912</v>
    <v>Limpopo</v>
    <v>1145af3c-da05-7eb5-c05e-8dbdf794ccd4</v>
    <v>en-US</v>
    <v>Map</v>
  </rv>
  <rv s="1">
    <v>536870912</v>
    <v>Mpumalanga</v>
    <v>fe8e43ff-3125-ea79-5306-db1bee5c12d8</v>
    <v>en-US</v>
    <v>Map</v>
  </rv>
  <rv s="1">
    <v>536870912</v>
    <v>North West</v>
    <v>a9ca554b-55e2-f0d1-dbe6-796b1fc29dff</v>
    <v>en-US</v>
    <v>Map</v>
  </rv>
  <rv s="1">
    <v>536870912</v>
    <v>Northern Cape</v>
    <v>c7811f0b-afea-afb9-4c2d-695826b9ca98</v>
    <v>en-US</v>
    <v>Map</v>
  </rv>
  <rv s="1">
    <v>536870912</v>
    <v>Western Cape</v>
    <v>c7b124b8-e75d-0b9b-5245-dda6bbb13800</v>
    <v>en-US</v>
    <v>Map</v>
  </rv>
  <rv s="3">
    <v>602</v>
  </rv>
  <rv s="0">
    <fb>0.27465217966612804</fb>
    <v>28</v>
  </rv>
  <rv s="3">
    <v>603</v>
  </rv>
  <rv s="0">
    <fb>0.28180999755859398</fb>
    <v>35</v>
  </rv>
  <rv s="0">
    <fb>39149717</fb>
    <v>9</v>
  </rv>
  <rv s="40">
    <v>#VALUE!</v>
    <v>en-US</v>
    <v>38a9fd4a-4f7c-6d91-d6dd-4eed3131672d</v>
    <v>536870912</v>
    <v>1</v>
    <v>1363</v>
    <v>433</v>
    <v>South Africa</v>
    <v>5</v>
    <v>6</v>
    <v>Map</v>
    <v>7</v>
    <v>1364</v>
    <v>ZA</v>
    <v>8631</v>
    <v>8632</v>
    <v>8633</v>
    <v>8634</v>
    <v>8635</v>
    <v>8620</v>
    <v>8636</v>
    <v>8637</v>
    <v>8638</v>
    <v>ZAR</v>
    <v>South Africa, officially the Republic of South Africa, is the southernmost country in Africa. Its nine provinces are bounded to the south by 2,798 kilometres of coastline that stretches along the South Atlantic and Indian Ocean; to the north by ...</v>
    <v>8639</v>
    <v>8640</v>
    <v>8641</v>
    <v>8642</v>
    <v>825</v>
    <v>8643</v>
    <v>8644</v>
    <v>8645</v>
    <v>8646</v>
    <v>8647</v>
    <v>8648</v>
    <v>8651</v>
    <v>8652</v>
    <v>8653</v>
    <v>8654</v>
    <v>8655</v>
    <v>South Africa</v>
    <v>National anthem of South Africa</v>
    <v>8656</v>
    <v>Republic of South Africa</v>
    <v>8657</v>
    <v>8658</v>
    <v>8659</v>
    <v>178</v>
    <v>8660</v>
    <v>8661</v>
    <v>1166</v>
    <v>2013</v>
    <v>727</v>
    <v>2470</v>
    <v>8662</v>
    <v>8671</v>
    <v>8672</v>
    <v>8673</v>
    <v>586</v>
    <v>8674</v>
    <v>South Africa</v>
    <v>8675</v>
    <v>mdp/vdpid/209</v>
  </rv>
  <rv s="1">
    <v>536870912</v>
    <v>Seoul</v>
    <v>669b47ba-40b4-0147-3657-a7dd0861132c</v>
    <v>en-US</v>
    <v>Map</v>
  </rv>
  <rv s="0">
    <fb>605.25</fb>
    <v>9</v>
  </rv>
  <rv s="1">
    <v>536870912</v>
    <v>Jung District, Seoul</v>
    <v>6ded7087-821c-6453-3bd8-2a280fe33548</v>
    <v>en-US</v>
    <v>Map</v>
  </rv>
  <rv s="1">
    <v>536870912</v>
    <v>South Korea</v>
    <v>b003484d-7dbb-1bab-0627-e4f8277edc5b</v>
    <v>en-US</v>
    <v>Map</v>
  </rv>
  <rv s="0">
    <fb>3915023</fb>
    <v>9</v>
  </rv>
  <rv s="0">
    <fb>2830857</fb>
    <v>9</v>
  </rv>
  <rv s="2">
    <v>295</v>
    <v>7</v>
    <v>1365</v>
    <v>7</v>
    <v>0</v>
    <v>Image of Seoul</v>
  </rv>
  <rv s="1">
    <v>805306368</v>
    <v>Oh Se-hoon (Mayor)</v>
    <v>0771cc02-de02-404f-b63d-e5126ad480d4</v>
    <v>en-US</v>
    <v>Generic</v>
  </rv>
  <rv s="3">
    <v>604</v>
  </rv>
  <rv s="4">
    <v>https://www.bing.com/search?q=seoul+korea&amp;form=skydnc</v>
    <v>Learn more on Bing</v>
  </rv>
  <rv s="0">
    <fb>9668465</fb>
    <v>9</v>
  </rv>
  <rv s="94">
    <v>#VALUE!</v>
    <v>en-US</v>
    <v>669b47ba-40b4-0147-3657-a7dd0861132c</v>
    <v>536870912</v>
    <v>1</v>
    <v>1368</v>
    <v>1369</v>
    <v>Seoul</v>
    <v>5</v>
    <v>6</v>
    <v>Map</v>
    <v>7</v>
    <v>1370</v>
    <v>KR-11</v>
    <v>8678</v>
    <v>8679</v>
    <v>8680</v>
    <v>Seoul, officially Seoul Special Metropolitan City, is the capital and largest city of South Korea. The broader Seoul Metropolitan Area, encompassing Seoul, Gyeonggi Province and Incheon, emerged as the world's sixth largest metropolitan economy ...</v>
    <v>8681</v>
    <v>8682</v>
    <v>8683</v>
    <v>8685</v>
    <v>8686</v>
    <v>Seoul</v>
    <v>6975</v>
    <v>8687</v>
    <v>7257</v>
    <v>Seoul</v>
    <v>mdp/vdpid/7832619085128007681</v>
  </rv>
  <rv s="1">
    <v>536870912</v>
    <v>Juba</v>
    <v>4dfb3035-1f71-020c-ac75-1fd8e9de5a25</v>
    <v>en-US</v>
    <v>Map</v>
  </rv>
  <rv s="1">
    <v>536870912</v>
    <v>Central Equatoria</v>
    <v>8a2ac9ce-dd1e-21a9-d7dc-279b55fdf3a0</v>
    <v>en-US</v>
    <v>Map</v>
  </rv>
  <rv s="1">
    <v>536870912</v>
    <v>South Sudan</v>
    <v>635b509c-70bc-d390-59d2-111df3a4c6bf</v>
    <v>en-US</v>
    <v>Map</v>
  </rv>
  <rv s="2">
    <v>296</v>
    <v>7</v>
    <v>1371</v>
    <v>7</v>
    <v>0</v>
    <v>Image of Juba</v>
  </rv>
  <rv s="0">
    <fb>4.8499999999999996</fb>
    <v>0</v>
  </rv>
  <rv s="1">
    <v>805306368</v>
    <v>Stephen Wani Michael (Mayor)</v>
    <v>ce33c5ca-abd6-0628-be2a-dd55ee1420ef</v>
    <v>en-US</v>
    <v>Generic</v>
  </rv>
  <rv s="3">
    <v>605</v>
  </rv>
  <rv s="4">
    <v>https://www.bing.com/search?q=juba&amp;form=skydnc</v>
    <v>Learn more on Bing</v>
  </rv>
  <rv s="0">
    <fb>31.6</fb>
    <v>0</v>
  </rv>
  <rv s="0">
    <fb>525953</fb>
    <v>9</v>
  </rv>
  <rv s="7">
    <v>#VALUE!</v>
    <v>en-US</v>
    <v>4dfb3035-1f71-020c-ac75-1fd8e9de5a25</v>
    <v>536870912</v>
    <v>1</v>
    <v>1372</v>
    <v>38</v>
    <v>Juba</v>
    <v>5</v>
    <v>6</v>
    <v>Map</v>
    <v>7</v>
    <v>148</v>
    <v>8690</v>
    <v>1183</v>
    <v>8691</v>
    <v>Juba is the capital and largest city of South Sudan. The city is situated on the White Nile and also serves as the capital of the Central Equatoria State. It is the most recently declared national capital and had a population of 525,953 in 2017. ...</v>
    <v>8692</v>
    <v>8693</v>
    <v>8695</v>
    <v>8696</v>
    <v>8697</v>
    <v>Juba</v>
    <v>8698</v>
    <v>1020</v>
    <v>Juba</v>
    <v>mdp/vdpid/7339261727529238529</v>
  </rv>
  <rv s="0">
    <fb>644329</fb>
    <v>9</v>
  </rv>
  <rv s="0">
    <fb>185000</fb>
    <v>9</v>
  </rv>
  <rv s="0">
    <fb>35.01</fb>
    <v>29</v>
  </rv>
  <rv s="0">
    <fb>211</fb>
    <v>30</v>
  </rv>
  <rv s="0">
    <fb>1727.1569999999999</fb>
    <v>9</v>
  </rv>
  <rv s="0">
    <fb>4583.7054616258101</fb>
    <v>31</v>
  </rv>
  <rv s="0">
    <fb>1.8785162569662401</fb>
    <v>28</v>
  </rv>
  <rv s="0">
    <fb>43.5817242123859</fb>
    <v>9</v>
  </rv>
  <rv s="0">
    <fb>4.6959999999999997</fb>
    <v>29</v>
  </rv>
  <rv s="0">
    <fb>72.222634783900205</fb>
    <v>34</v>
  </rv>
  <rv s="0">
    <fb>11997800751.0613</fb>
    <v>33</v>
  </rv>
  <rv s="0">
    <fb>0.72989909999999991</fb>
    <v>28</v>
  </rv>
  <rv s="2">
    <v>297</v>
    <v>7</v>
    <v>1374</v>
    <v>7</v>
    <v>0</v>
    <v>Image of South Sudan</v>
  </rv>
  <rv s="0">
    <fb>63.7</fb>
    <v>34</v>
  </rv>
  <rv s="1">
    <v>805306368</v>
    <v>Salva Kiir Mayardit (President)</v>
    <v>c0ae52ac-d436-411b-b133-bb255da42af4</v>
    <v>en-US</v>
    <v>Generic</v>
  </rv>
  <rv s="1">
    <v>805306368</v>
    <v>Riek Machar (Vice president)</v>
    <v>68ed28f3-fb00-a527-16cb-cdd5c41d370e</v>
    <v>en-US</v>
    <v>Generic</v>
  </rv>
  <rv s="1">
    <v>805306368</v>
    <v>Jemma Nunu Kumba (Speaker)</v>
    <v>7c089c61-5460-31b4-dc01-29cbc64a5baf</v>
    <v>en-US</v>
    <v>Generic</v>
  </rv>
  <rv s="1">
    <v>805306368</v>
    <v>Chan Reec Madut (Chief justice)</v>
    <v>72ac3d5e-732a-a00f-fd6b-0139d7be7182</v>
    <v>en-US</v>
    <v>Generic</v>
  </rv>
  <rv s="3">
    <v>606</v>
  </rv>
  <rv s="4">
    <v>https://www.bing.com/search?q=south+sudan&amp;form=skydnc</v>
    <v>Learn more on Bing</v>
  </rv>
  <rv s="0">
    <fb>57.603999999999999</fb>
    <v>34</v>
  </rv>
  <rv s="0">
    <fb>1150</fb>
    <v>34</v>
  </rv>
  <rv s="0">
    <fb>0.61346893280000003</fb>
    <v>28</v>
  </rv>
  <rv s="0">
    <fb>10913164</fb>
    <v>9</v>
  </rv>
  <rv s="0">
    <fb>0.50600000000000001</fb>
    <v>28</v>
  </rv>
  <rv s="0">
    <fb>0.72386001586914106</fb>
    <v>28</v>
  </rv>
  <rv s="1">
    <v>536870912</v>
    <v>Jonglei State</v>
    <v>55bb8850-8170-898d-2687-c0773460903b</v>
    <v>en-US</v>
    <v>Map</v>
  </rv>
  <rv s="1">
    <v>536870912</v>
    <v>Abyei</v>
    <v>6173b5eb-ce20-e968-2a66-3b7ba351556c</v>
    <v>en-US</v>
    <v>Map</v>
  </rv>
  <rv s="3">
    <v>607</v>
  </rv>
  <rv s="3">
    <v>608</v>
  </rv>
  <rv s="0">
    <fb>0.314</fb>
    <v>28</v>
  </rv>
  <rv s="0">
    <fb>0.122440004348755</fb>
    <v>35</v>
  </rv>
  <rv s="0">
    <fb>2201250</fb>
    <v>9</v>
  </rv>
  <rv s="95">
    <v>#VALUE!</v>
    <v>en-US</v>
    <v>635b509c-70bc-d390-59d2-111df3a4c6bf</v>
    <v>536870912</v>
    <v>1</v>
    <v>1377</v>
    <v>1378</v>
    <v>South Sudan</v>
    <v>5</v>
    <v>6</v>
    <v>Map</v>
    <v>7</v>
    <v>1379</v>
    <v>SS</v>
    <v>8700</v>
    <v>8701</v>
    <v>8702</v>
    <v>8703</v>
    <v>8689</v>
    <v>8704</v>
    <v>8705</v>
    <v>8706</v>
    <v>SSP</v>
    <v>South Sudan, officially the Republic of South Sudan, is a landlocked country in East Africa. It is bordered on the north by Sudan; on the east by Ethiopia; on the south by the Democratic Republic of the Congo, Uganda and Kenya; and on the west ...</v>
    <v>8707</v>
    <v>8708</v>
    <v>8709</v>
    <v>222</v>
    <v>8710</v>
    <v>8711</v>
    <v>8712</v>
    <v>8713</v>
    <v>8689</v>
    <v>8718</v>
    <v>8719</v>
    <v>8720</v>
    <v>8721</v>
    <v>South Sudan</v>
    <v>South Sudan Oyee!</v>
    <v>448</v>
    <v>la République du Soudan du Sud</v>
    <v>8722</v>
    <v>8723</v>
    <v>3849</v>
    <v>7913</v>
    <v>8724</v>
    <v>385</v>
    <v>1472</v>
    <v>939</v>
    <v>1112</v>
    <v>8725</v>
    <v>8728</v>
    <v>8729</v>
    <v>8730</v>
    <v>8731</v>
    <v>South Sudan</v>
    <v>8732</v>
    <v>mdp/vdpid/276</v>
  </rv>
  <rv s="1">
    <v>536870912</v>
    <v>Madrid</v>
    <v>a497c067-c4c6-4bf4-9a5d-34fd30589bda</v>
    <v>en-US</v>
    <v>Map</v>
  </rv>
  <rv s="1">
    <v>536870912</v>
    <v>Community of Madrid</v>
    <v>854c08ed-f6d7-c812-1a3f-46928ae0597e</v>
    <v>en-US</v>
    <v>Map</v>
  </rv>
  <rv s="0">
    <fb>604.45510000000002</fb>
    <v>9</v>
  </rv>
  <rv s="1">
    <v>536870912</v>
    <v>Spain</v>
    <v>1baf9d59-f443-e9f4-6e49-de048a073e3f</v>
    <v>en-US</v>
    <v>Map</v>
  </rv>
  <rv s="2">
    <v>298</v>
    <v>7</v>
    <v>1380</v>
    <v>7</v>
    <v>0</v>
    <v>Image of Madrid</v>
  </rv>
  <rv s="1">
    <v>805306368</v>
    <v>José Luis Martínez-Almeida (Mayor)</v>
    <v>d059f89e-9389-5fff-d365-894d7aefd20e</v>
    <v>en-US</v>
    <v>Generic</v>
  </rv>
  <rv s="3">
    <v>609</v>
  </rv>
  <rv s="4">
    <v>https://www.bing.com/search?q=madrid+spain&amp;form=skydnc</v>
    <v>Learn more on Bing</v>
  </rv>
  <rv s="0">
    <fb>3332035</fb>
    <v>9</v>
  </rv>
  <rv s="24">
    <v>#VALUE!</v>
    <v>en-US</v>
    <v>a497c067-c4c6-4bf4-9a5d-34fd30589bda</v>
    <v>536870912</v>
    <v>1</v>
    <v>1381</v>
    <v>189</v>
    <v>Madrid</v>
    <v>5</v>
    <v>6</v>
    <v>Map</v>
    <v>7</v>
    <v>111</v>
    <v>8735</v>
    <v>8736</v>
    <v>8737</v>
    <v>Madrid is the capital and most populous city of Spain. The city has almost 3.4 million inhabitants and a metropolitan area population of approximately 7 million. It is the second-largest city in the European Union, and its monocentric ...</v>
    <v>8738</v>
    <v>38</v>
    <v>8740</v>
    <v>8741</v>
    <v>39</v>
    <v>Madrid</v>
    <v>8742</v>
    <v>Madrid</v>
    <v>mdp/vdpid/5669357583933112321</v>
  </rv>
  <rv s="0">
    <fb>0.52577247440306896</fb>
    <v>28</v>
  </rv>
  <rv s="0">
    <fb>505990</fb>
    <v>9</v>
  </rv>
  <rv s="0">
    <fb>196000</fb>
    <v>9</v>
  </rv>
  <rv s="0">
    <fb>7.9</fb>
    <v>29</v>
  </rv>
  <rv s="0">
    <fb>34</fb>
    <v>30</v>
  </rv>
  <rv s="0">
    <fb>244002.18</fb>
    <v>9</v>
  </rv>
  <rv s="0">
    <fb>110.96151904206</fb>
    <v>31</v>
  </rv>
  <rv s="0">
    <fb>6.9953624171701497E-3</fb>
    <v>28</v>
  </rv>
  <rv s="0">
    <fb>5355.9870055822103</fb>
    <v>9</v>
  </rv>
  <rv s="0">
    <fb>0.36936209528965797</fb>
    <v>28</v>
  </rv>
  <rv s="0">
    <fb>72.955546118337793</fb>
    <v>34</v>
  </rv>
  <rv s="0">
    <fb>1394116310768.6299</fb>
    <v>33</v>
  </rv>
  <rv s="0">
    <fb>1.0271029</fb>
    <v>28</v>
  </rv>
  <rv s="0">
    <fb>0.88853009999999999</fb>
    <v>28</v>
  </rv>
  <rv s="2">
    <v>299</v>
    <v>7</v>
    <v>1383</v>
    <v>7</v>
    <v>0</v>
    <v>Image of Spain</v>
  </rv>
  <rv s="0">
    <fb>2.5</fb>
    <v>34</v>
  </rv>
  <rv s="1">
    <v>805306368</v>
    <v>Felipe VI (Monarch)</v>
    <v>ec86fb82-ddbc-286a-d1a7-3644682c1efc</v>
    <v>en-US</v>
    <v>Generic</v>
  </rv>
  <rv s="1">
    <v>805306368</v>
    <v>Pedro Sánchez (Prime minister)</v>
    <v>9e0d6cf3-f466-7b6f-0a92-aa23020fc120</v>
    <v>en-US</v>
    <v>Generic</v>
  </rv>
  <rv s="3">
    <v>610</v>
  </rv>
  <rv s="4">
    <v>https://www.bing.com/search?q=spain&amp;form=skydnc</v>
    <v>Learn more on Bing</v>
  </rv>
  <rv s="0">
    <fb>83.334146341463395</fb>
    <v>34</v>
  </rv>
  <rv s="0">
    <fb>797285840000</fb>
    <v>33</v>
  </rv>
  <rv s="0">
    <fb>5.6</fb>
    <v>32</v>
  </rv>
  <rv s="0">
    <fb>0.24229018520000001</fb>
    <v>28</v>
  </rv>
  <rv s="0">
    <fb>3.8723000000000001</fb>
    <v>29</v>
  </rv>
  <rv s="0">
    <fb>47615034</fb>
    <v>9</v>
  </rv>
  <rv s="0">
    <fb>0.23399999999999999</fb>
    <v>28</v>
  </rv>
  <rv s="0">
    <fb>0.254</fb>
    <v>28</v>
  </rv>
  <rv s="0">
    <fb>0.17199999999999999</fb>
    <v>28</v>
  </rv>
  <rv s="0">
    <fb>0.57492000579834002</fb>
    <v>28</v>
  </rv>
  <rv s="1">
    <v>536870912</v>
    <v>Andalusia</v>
    <v>b009454b-b921-1477-fbf3-ea4c66d409b5</v>
    <v>en-US</v>
    <v>Map</v>
  </rv>
  <rv s="1">
    <v>536870912</v>
    <v>Catalonia</v>
    <v>54afd4ed-d6c4-c6c9-2f8d-10440795b196</v>
    <v>en-US</v>
    <v>Map</v>
  </rv>
  <rv s="1">
    <v>536870912</v>
    <v>Valencian Community</v>
    <v>d1a45f13-aca9-6854-cb23-92573a279216</v>
    <v>en-US</v>
    <v>Map</v>
  </rv>
  <rv s="1">
    <v>536870912</v>
    <v>Galicia</v>
    <v>70c91f08-f55c-f98a-047e-aa9228ed4253</v>
    <v>en-US</v>
    <v>Map</v>
  </rv>
  <rv s="1">
    <v>536870912</v>
    <v>Castile and León</v>
    <v>7fc8f34d-7f31-b8c6-34d4-545cb3920adf</v>
    <v>en-US</v>
    <v>Map</v>
  </rv>
  <rv s="1">
    <v>536870912</v>
    <v>Basque Country</v>
    <v>27cbb013-d521-0f66-7c87-67bad92e92f5</v>
    <v>en-US</v>
    <v>Map</v>
  </rv>
  <rv s="1">
    <v>536870912</v>
    <v>Canary Islands</v>
    <v>e5f4f633-d27e-9012-be27-a85d7ed21999</v>
    <v>en-US</v>
    <v>Map</v>
  </rv>
  <rv s="1">
    <v>536870912</v>
    <v>Castilla–La Mancha</v>
    <v>1e79c598-5619-e707-75d9-40410db3c0b2</v>
    <v>en-US</v>
    <v>Map</v>
  </rv>
  <rv s="1">
    <v>536870912</v>
    <v>Region of Murcia</v>
    <v>e697a468-5c9d-9a42-68ac-b04781a55abd</v>
    <v>en-US</v>
    <v>Map</v>
  </rv>
  <rv s="1">
    <v>536870912</v>
    <v>Aragon</v>
    <v>66482df7-7a8d-eb53-1b74-7702eb8f6ab7</v>
    <v>en-US</v>
    <v>Map</v>
  </rv>
  <rv s="1">
    <v>536870912</v>
    <v>Asturias</v>
    <v>6880b28a-27ed-46a3-3b3f-93553df34103</v>
    <v>en-US</v>
    <v>Map</v>
  </rv>
  <rv s="1">
    <v>536870912</v>
    <v>Extremadura</v>
    <v>60c245e4-f9c9-d637-1ff7-50148c20166f</v>
    <v>en-US</v>
    <v>Map</v>
  </rv>
  <rv s="1">
    <v>536870912</v>
    <v>Navarre</v>
    <v>bd2c46e0-0dec-2a95-cf06-e23728a2a0ed</v>
    <v>en-US</v>
    <v>Map</v>
  </rv>
  <rv s="1">
    <v>536870912</v>
    <v>Cantabria</v>
    <v>ff0ffbe3-172a-ecd8-17cd-6f2f89c9d0dd</v>
    <v>en-US</v>
    <v>Map</v>
  </rv>
  <rv s="1">
    <v>536870912</v>
    <v>La Rioja</v>
    <v>c27fd34e-d1ab-5145-cc6e-9d85b07f919e</v>
    <v>en-US</v>
    <v>Map</v>
  </rv>
  <rv s="1">
    <v>536870912</v>
    <v>Ceuta</v>
    <v>4575b2d9-4933-9d93-b84d-3080054b3dda</v>
    <v>en-US</v>
    <v>Map</v>
  </rv>
  <rv s="1">
    <v>536870912</v>
    <v>Melilla</v>
    <v>a67b3afb-47dd-d884-afd6-0794c4de12ba</v>
    <v>en-US</v>
    <v>Map</v>
  </rv>
  <rv s="3">
    <v>611</v>
  </rv>
  <rv s="0">
    <fb>0.14248211393678101</fb>
    <v>28</v>
  </rv>
  <rv s="0">
    <fb>0.13958999633789099</fb>
    <v>35</v>
  </rv>
  <rv s="0">
    <fb>37927409</fb>
    <v>9</v>
  </rv>
  <rv s="9">
    <v>#VALUE!</v>
    <v>en-US</v>
    <v>1baf9d59-f443-e9f4-6e49-de048a073e3f</v>
    <v>536870912</v>
    <v>1</v>
    <v>1386</v>
    <v>55</v>
    <v>Spain</v>
    <v>5</v>
    <v>6</v>
    <v>Map</v>
    <v>7</v>
    <v>625</v>
    <v>ES</v>
    <v>8744</v>
    <v>8745</v>
    <v>8746</v>
    <v>8747</v>
    <v>8748</v>
    <v>8734</v>
    <v>8749</v>
    <v>8750</v>
    <v>8751</v>
    <v>EUR</v>
    <v>Spain, officially the Kingdom of Spain, is a country in Southwestern Europe with territories in North Africa. Featuring the southernmost point of continental Europe, it is the largest country in Southern Europe and the fourth-most populous ...</v>
    <v>8752</v>
    <v>8082</v>
    <v>8753</v>
    <v>8754</v>
    <v>2616</v>
    <v>8755</v>
    <v>8756</v>
    <v>8757</v>
    <v>8758</v>
    <v>8759</v>
    <v>8734</v>
    <v>8762</v>
    <v>8763</v>
    <v>8764</v>
    <v>8765</v>
    <v>2621</v>
    <v>8766</v>
    <v>Spain</v>
    <v>Marcha Real</v>
    <v>2185</v>
    <v>Reino de España</v>
    <v>8767</v>
    <v>8768</v>
    <v>8769</v>
    <v>8770</v>
    <v>8771</v>
    <v>3139</v>
    <v>2585</v>
    <v>3218</v>
    <v>589</v>
    <v>8772</v>
    <v>8773</v>
    <v>8791</v>
    <v>8792</v>
    <v>308</v>
    <v>6399</v>
    <v>8793</v>
    <v>Spain</v>
    <v>8794</v>
    <v>mdp/vdpid/217</v>
  </rv>
  <rv s="1">
    <v>536870912</v>
    <v>Colombo</v>
    <v>08e9be7d-e270-ec32-540a-0cfd91c3f88d</v>
    <v>en-US</v>
    <v>Map</v>
  </rv>
  <rv s="1">
    <v>536870912</v>
    <v>Western Province, Sri Lanka</v>
    <v>8536d10f-1c1b-59f6-c1a8-f3dc7911905a</v>
    <v>en-US</v>
    <v>Map</v>
  </rv>
  <rv s="1">
    <v>536870912</v>
    <v>Colombo District</v>
    <v>86095d6f-f6aa-4dd2-112d-96cb5652624e</v>
    <v>en-US</v>
    <v>Map</v>
  </rv>
  <rv s="0">
    <fb>37.31</fb>
    <v>9</v>
  </rv>
  <rv s="1">
    <v>536870912</v>
    <v>Sri Lanka</v>
    <v>6bac8e76-6fd3-64fc-b260-bff13b0eebfc</v>
    <v>en-US</v>
    <v>Map</v>
  </rv>
  <rv s="2">
    <v>300</v>
    <v>7</v>
    <v>1388</v>
    <v>7</v>
    <v>0</v>
    <v>Image of Colombo</v>
  </rv>
  <rv s="0">
    <fb>6.9166666666666998</fb>
    <v>0</v>
  </rv>
  <rv s="1">
    <v>805306368</v>
    <v>Rosy Senanayake (Mayor)</v>
    <v>88e1dc05-7f38-5949-3316-b93f7863af01</v>
    <v>en-US</v>
    <v>Generic</v>
  </rv>
  <rv s="3">
    <v>612</v>
  </rv>
  <rv s="4">
    <v>https://www.bing.com/search?q=colombo+sri+lanka&amp;form=skydnc</v>
    <v>Learn more on Bing</v>
  </rv>
  <rv s="0">
    <fb>79.833333333333002</fb>
    <v>0</v>
  </rv>
  <rv s="0">
    <fb>752993</fb>
    <v>9</v>
  </rv>
  <rv s="3">
    <v>613</v>
  </rv>
  <rv s="5">
    <v>#VALUE!</v>
    <v>en-US</v>
    <v>08e9be7d-e270-ec32-540a-0cfd91c3f88d</v>
    <v>536870912</v>
    <v>1</v>
    <v>1389</v>
    <v>3</v>
    <v>Colombo</v>
    <v>5</v>
    <v>6</v>
    <v>Map</v>
    <v>7</v>
    <v>39</v>
    <v>8797</v>
    <v>8798</v>
    <v>8799</v>
    <v>8800</v>
    <v>Colombo is the executive and judicial capital and largest city of Sri Lanka by population. The Colombo metropolitan area is estimated to have a population of 5.6 million, and 752,993 within the municipal limits. It is the financial centre of the ...</v>
    <v>8801</v>
    <v>8802</v>
    <v>8804</v>
    <v>8805</v>
    <v>8806</v>
    <v>Colombo</v>
    <v>8807</v>
    <v>8808</v>
    <v>Colombo</v>
    <v>mdp/vdpid/7486434407729856514</v>
  </rv>
  <rv s="0">
    <fb>0.43693190878647697</fb>
    <v>28</v>
  </rv>
  <rv s="0">
    <fb>15.831</fb>
    <v>29</v>
  </rv>
  <rv s="0">
    <fb>94</fb>
    <v>30</v>
  </rv>
  <rv s="0">
    <fb>23362.456999999999</fb>
    <v>9</v>
  </rv>
  <rv s="0">
    <fb>155.528883036152</fb>
    <v>31</v>
  </rv>
  <rv s="0">
    <fb>3.5283935823180901E-2</fb>
    <v>28</v>
  </rv>
  <rv s="0">
    <fb>531.09057657137396</fb>
    <v>9</v>
  </rv>
  <rv s="0">
    <fb>2.1989999999999998</fb>
    <v>29</v>
  </rv>
  <rv s="0">
    <fb>0.32903841529959299</fb>
    <v>28</v>
  </rv>
  <rv s="0">
    <fb>50.545573977658002</fb>
    <v>34</v>
  </rv>
  <rv s="0">
    <fb>84008783756.067993</fb>
    <v>33</v>
  </rv>
  <rv s="0">
    <fb>1.0016202000000001</fb>
    <v>28</v>
  </rv>
  <rv s="0">
    <fb>0.19630240000000002</fb>
    <v>28</v>
  </rv>
  <rv s="2">
    <v>301</v>
    <v>7</v>
    <v>1391</v>
    <v>7</v>
    <v>0</v>
    <v>Image of Sri Lanka</v>
  </rv>
  <rv s="0">
    <fb>6.4</fb>
    <v>34</v>
  </rv>
  <rv s="1">
    <v>805306368</v>
    <v>Anura Kumara Dissanayake (President)</v>
    <v>674eef95-79f6-8ab9-51e9-2909b9847026</v>
    <v>en-US</v>
    <v>Generic</v>
  </rv>
  <rv s="1">
    <v>805306368</v>
    <v>Harini Amarasuriya (Prime minister)</v>
    <v>85c06532-6b20-f0b4-35df-0bd16779bb38</v>
    <v>en-US</v>
    <v>Generic</v>
  </rv>
  <rv s="1">
    <v>805306368</v>
    <v>Murdu Fernando (Chief justice)</v>
    <v>f9618b02-5fac-497b-ff76-3ae2c7963a3e</v>
    <v>en-US</v>
    <v>Generic</v>
  </rv>
  <rv s="3">
    <v>614</v>
  </rv>
  <rv s="4">
    <v>https://www.bing.com/search?q=sri+lanka&amp;form=skydnc</v>
    <v>Learn more on Bing</v>
  </rv>
  <rv s="0">
    <fb>76.811999999999998</fb>
    <v>34</v>
  </rv>
  <rv s="0">
    <fb>15720540000</fb>
    <v>33</v>
  </rv>
  <rv s="3">
    <v>615</v>
  </rv>
  <rv s="0">
    <fb>0.38427354920000001</fb>
    <v>28</v>
  </rv>
  <rv s="0">
    <fb>1.0041</fb>
    <v>29</v>
  </rv>
  <rv s="0">
    <fb>22181000</fb>
    <v>9</v>
  </rv>
  <rv s="0">
    <fb>0.20300000000000001</fb>
    <v>28</v>
  </rv>
  <rv s="0">
    <fb>0.539150009155273</fb>
    <v>28</v>
  </rv>
  <rv s="1">
    <v>536870912</v>
    <v>Central Province, Sri Lanka</v>
    <v>d403ecf7-d76f-da00-66c1-d8f055ef87ff</v>
    <v>en-US</v>
    <v>Map</v>
  </rv>
  <rv s="1">
    <v>536870912</v>
    <v>North Central Province, Sri Lanka</v>
    <v>cb8b14cb-c6b2-f486-2082-32579759c3c8</v>
    <v>en-US</v>
    <v>Map</v>
  </rv>
  <rv s="1">
    <v>536870912</v>
    <v>Northern Province, Sri Lanka</v>
    <v>3e13b253-8902-4cf0-d294-f3cf5c79b6db</v>
    <v>en-US</v>
    <v>Map</v>
  </rv>
  <rv s="1">
    <v>536870912</v>
    <v>Eastern Province, Sri Lanka</v>
    <v>1405da12-dcc7-7d28-b50a-0059a538c131</v>
    <v>en-US</v>
    <v>Map</v>
  </rv>
  <rv s="1">
    <v>536870912</v>
    <v>North Western Province, Sri Lanka</v>
    <v>efdbee34-0b18-1c07-4b39-7b59b02407cd</v>
    <v>en-US</v>
    <v>Map</v>
  </rv>
  <rv s="1">
    <v>536870912</v>
    <v>Southern Province, Sri Lanka</v>
    <v>a153edc0-b9b6-4ba4-4765-e1015a2ab757</v>
    <v>en-US</v>
    <v>Map</v>
  </rv>
  <rv s="1">
    <v>536870912</v>
    <v>Uva Province</v>
    <v>03f8641e-95f4-b408-ebea-43aead5bacc4</v>
    <v>en-US</v>
    <v>Map</v>
  </rv>
  <rv s="1">
    <v>536870912</v>
    <v>Sabaragamuwa Province</v>
    <v>7af54893-39f2-93ca-5279-fc34ca428e4b</v>
    <v>en-US</v>
    <v>Map</v>
  </rv>
  <rv s="3">
    <v>616</v>
  </rv>
  <rv s="0">
    <fb>0.118500072966585</fb>
    <v>28</v>
  </rv>
  <rv s="0">
    <fb>0.55200000000000005</fb>
    <v>28</v>
  </rv>
  <rv s="0">
    <fb>4.1979999542236301E-2</fb>
    <v>35</v>
  </rv>
  <rv s="0">
    <fb>4052088</fb>
    <v>9</v>
  </rv>
  <rv s="96">
    <v>#VALUE!</v>
    <v>en-US</v>
    <v>6bac8e76-6fd3-64fc-b260-bff13b0eebfc</v>
    <v>536870912</v>
    <v>1</v>
    <v>1394</v>
    <v>1395</v>
    <v>Sri Lanka</v>
    <v>5</v>
    <v>6</v>
    <v>Map</v>
    <v>7</v>
    <v>1396</v>
    <v>LK</v>
    <v>8810</v>
    <v>212</v>
    <v>8811</v>
    <v>8812</v>
    <v>8796</v>
    <v>8813</v>
    <v>8814</v>
    <v>8815</v>
    <v>LKR</v>
    <v>Sri Lanka, historically known as Ceylon, and officially the Democratic Socialist Republic of Sri Lanka, is an island country in South Asia. It lies in the Indian Ocean, southwest of the Bay of Bengal, separated from the Indian peninsula by the ...</v>
    <v>8816</v>
    <v>8817</v>
    <v>8818</v>
    <v>8819</v>
    <v>2462</v>
    <v>8820</v>
    <v>8821</v>
    <v>8822</v>
    <v>8823</v>
    <v>8824</v>
    <v>8796</v>
    <v>8828</v>
    <v>8829</v>
    <v>8830</v>
    <v>8831</v>
    <v>1157</v>
    <v>1947</v>
    <v>Sri Lanka</v>
    <v>Sri Lanka Matha</v>
    <v>8832</v>
    <v>ශ්‍රී ලංකා ප්‍රජාතාන්ත්‍රික සමාජවාදී ජනරජය</v>
    <v>8833</v>
    <v>8834</v>
    <v>8835</v>
    <v>8836</v>
    <v>5204</v>
    <v>2826</v>
    <v>1417</v>
    <v>1473</v>
    <v>2265</v>
    <v>3008</v>
    <v>8837</v>
    <v>8846</v>
    <v>8847</v>
    <v>8808</v>
    <v>8848</v>
    <v>8849</v>
    <v>Sri Lanka</v>
    <v>8850</v>
    <v>mdp/vdpid/42</v>
  </rv>
  <rv s="1">
    <v>536870912</v>
    <v>Kingstown</v>
    <v>2e97a2fb-2576-d1d0-65cf-3744d16db95e</v>
    <v>en-US</v>
    <v>Map</v>
  </rv>
  <rv s="1">
    <v>536870912</v>
    <v>Saint George Parish</v>
    <v>c6bdaa43-6734-2526-7bf7-95c7d7054c3f</v>
    <v>en-US</v>
    <v>Map</v>
  </rv>
  <rv s="1">
    <v>536870912</v>
    <v>Saint Vincent and the Grenadines</v>
    <v>bb1a39ef-80f1-254c-7978-7fceaa2c82a4</v>
    <v>en-US</v>
    <v>Map</v>
  </rv>
  <rv s="2">
    <v>302</v>
    <v>7</v>
    <v>1397</v>
    <v>7</v>
    <v>0</v>
    <v>Image of Kingstown</v>
  </rv>
  <rv s="0">
    <fb>13.166666666667</fb>
    <v>0</v>
  </rv>
  <rv s="4">
    <v>https://www.bing.com/search?q=kingstown&amp;form=skydnc</v>
    <v>Learn more on Bing</v>
  </rv>
  <rv s="0">
    <fb>-61.233333333333</fb>
    <v>0</v>
  </rv>
  <rv s="0">
    <fb>12909</fb>
    <v>9</v>
  </rv>
  <rv s="42">
    <v>#VALUE!</v>
    <v>en-US</v>
    <v>2e97a2fb-2576-d1d0-65cf-3744d16db95e</v>
    <v>536870912</v>
    <v>1</v>
    <v>1398</v>
    <v>452</v>
    <v>Kingstown</v>
    <v>5</v>
    <v>6</v>
    <v>Map</v>
    <v>7</v>
    <v>1399</v>
    <v>8853</v>
    <v>8854</v>
    <v>Kingstown is the capital city of Saint Vincent and the Grenadines. The city has the main port and the biggest commercial center of the islands. In the 2005 census, it had a population of 25,148 inhabitants, being the city founded in 1722 by the ...</v>
    <v>8855</v>
    <v>8856</v>
    <v>8857</v>
    <v>8858</v>
    <v>Kingstown</v>
    <v>8859</v>
    <v>Kingstown</v>
    <v>mdp/vdpid/5592431275316084737</v>
  </rv>
  <rv s="0">
    <fb>0.256410256410256</fb>
    <v>28</v>
  </rv>
  <rv s="0">
    <fb>389</fb>
    <v>9</v>
  </rv>
  <rv s="0">
    <fb>14.24</fb>
    <v>29</v>
  </rv>
  <rv s="0">
    <fb>1784</fb>
    <v>30</v>
  </rv>
  <rv s="0">
    <fb>220.02</fb>
    <v>9</v>
  </rv>
  <rv s="0">
    <fb>109.66567361800701</fb>
    <v>31</v>
  </rv>
  <rv s="0">
    <fb>2.3241448536792299E-2</fb>
    <v>28</v>
  </rv>
  <rv s="0">
    <fb>1.891</fb>
    <v>29</v>
  </rv>
  <rv s="0">
    <fb>0.69230769230769196</fb>
    <v>28</v>
  </rv>
  <rv s="0">
    <fb>825385185.18518496</fb>
    <v>33</v>
  </rv>
  <rv s="0">
    <fb>1.1340437000000001</fb>
    <v>28</v>
  </rv>
  <rv s="0">
    <fb>0.2366992</fb>
    <v>28</v>
  </rv>
  <rv s="2">
    <v>303</v>
    <v>7</v>
    <v>1401</v>
    <v>7</v>
    <v>0</v>
    <v>Image of Saint Vincent and the Grenadines</v>
  </rv>
  <rv s="0">
    <fb>14.8</fb>
    <v>34</v>
  </rv>
  <rv s="1">
    <v>805306368</v>
    <v>Ralph Gonsalves (Prime minister)</v>
    <v>61e831b4-4a79-5e33-78c1-cd0cfdc6de05</v>
    <v>en-US</v>
    <v>Generic</v>
  </rv>
  <rv s="3">
    <v>617</v>
  </rv>
  <rv s="4">
    <v>https://www.bing.com/search?q=saint+vincent+and+the+grenadines&amp;form=skydnc</v>
    <v>Learn more on Bing</v>
  </rv>
  <rv s="0">
    <fb>72.415000000000006</fb>
    <v>34</v>
  </rv>
  <rv s="0">
    <fb>68</fb>
    <v>34</v>
  </rv>
  <rv s="0">
    <fb>0.21445461069999999</fb>
    <v>28</v>
  </rv>
  <rv s="0">
    <fb>0.65869999999999995</fb>
    <v>29</v>
  </rv>
  <rv s="0">
    <fb>103948</fb>
    <v>9</v>
  </rv>
  <rv s="0">
    <fb>0.65867996215820301</fb>
    <v>28</v>
  </rv>
  <rv s="1">
    <v>536870912</v>
    <v>Charlotte Parish, Saint Vincent and the Grenadines</v>
    <v>1d95d992-7305-266e-61e5-7d1ed2025f3a</v>
    <v>en-US</v>
    <v>Map</v>
  </rv>
  <rv s="1">
    <v>536870912</v>
    <v>Grenadines Parish</v>
    <v>6a809794-2550-0e6f-4382-68d3cfa1b6bb</v>
    <v>en-US</v>
    <v>Map</v>
  </rv>
  <rv s="1">
    <v>536870912</v>
    <v>Saint Andrew Parish, Saint Vincent and the Grenadines</v>
    <v>2e08bb39-bf84-420a-1ef9-3683bd1c1f98</v>
    <v>en-US</v>
    <v>Map</v>
  </rv>
  <rv s="1">
    <v>536870912</v>
    <v>Saint David Parish, Saint Vincent and the Grenadines</v>
    <v>f9c9adeb-11f4-15af-9775-142177adcbc7</v>
    <v>en-US</v>
    <v>Map</v>
  </rv>
  <rv s="1">
    <v>536870912</v>
    <v>Saint George Parish, Saint Vincent and the Grenadines</v>
    <v>c6bdaa43-6734-2526-7bf7-95c7d7054c3f</v>
    <v>en-US</v>
    <v>Map</v>
  </rv>
  <rv s="1">
    <v>536870912</v>
    <v>Saint Patrick Parish, Saint Vincent and the Grenadines</v>
    <v>4d2fc162-19c5-7adf-fa07-b4ae2879001e</v>
    <v>en-US</v>
    <v>Map</v>
  </rv>
  <rv s="3">
    <v>618</v>
  </rv>
  <rv s="0">
    <fb>0.25357663824057503</fb>
    <v>28</v>
  </rv>
  <rv s="0">
    <fb>0.18881000518798799</fb>
    <v>35</v>
  </rv>
  <rv s="0">
    <fb>58185</fb>
    <v>9</v>
  </rv>
  <rv s="97">
    <v>#VALUE!</v>
    <v>en-US</v>
    <v>bb1a39ef-80f1-254c-7978-7fceaa2c82a4</v>
    <v>536870912</v>
    <v>1</v>
    <v>1404</v>
    <v>1405</v>
    <v>Saint Vincent and the Grenadines</v>
    <v>5</v>
    <v>6</v>
    <v>Map</v>
    <v>7</v>
    <v>1406</v>
    <v>VC</v>
    <v>8861</v>
    <v>8862</v>
    <v>8863</v>
    <v>8864</v>
    <v>8852</v>
    <v>8865</v>
    <v>8866</v>
    <v>8867</v>
    <v>XCD</v>
    <v>Saint Vincent and the Grenadines, sometimes known simply as Saint Vincent or SVG, is an island country in the eastern Caribbean. It is located in the southeast Windward Islands of the Lesser Antilles, which lie in the West Indies, at the ...</v>
    <v>8868</v>
    <v>8869</v>
    <v>434</v>
    <v>8870</v>
    <v>8871</v>
    <v>8872</v>
    <v>8873</v>
    <v>8874</v>
    <v>8852</v>
    <v>8876</v>
    <v>8877</v>
    <v>8878</v>
    <v>8879</v>
    <v>5419</v>
    <v>Saint Vincent and the Grenadines</v>
    <v>Saint Vincent, Land so Beautiful</v>
    <v>448</v>
    <v>Saint Vincent and the Grenadines</v>
    <v>8880</v>
    <v>8881</v>
    <v>8882</v>
    <v>8883</v>
    <v>8890</v>
    <v>8891</v>
    <v>462</v>
    <v>8155</v>
    <v>8892</v>
    <v>Saint Vincent and the Grenadines</v>
    <v>8893</v>
    <v>mdp/vdpid/248</v>
  </rv>
  <rv s="1">
    <v>536870912</v>
    <v>Ramallah</v>
    <v>86a7d23c-fc2f-218b-7b55-32e1d101ed92</v>
    <v>en-US</v>
    <v>Map</v>
  </rv>
  <rv s="0">
    <fb>16.3</fb>
    <v>9</v>
  </rv>
  <rv s="1">
    <v>536870912</v>
    <v>Palestine</v>
    <v>e05b0b5c-512c-d6c0-73ef-16d00572aab3</v>
    <v>en-US</v>
    <v>Map</v>
  </rv>
  <rv s="2">
    <v>304</v>
    <v>7</v>
    <v>1407</v>
    <v>7</v>
    <v>0</v>
    <v>Image of Ramallah</v>
  </rv>
  <rv s="0">
    <fb>31.896944444443999</fb>
    <v>0</v>
  </rv>
  <rv s="4">
    <v>https://www.bing.com/search?q=ramallah&amp;form=skydnc</v>
    <v>Learn more on Bing</v>
  </rv>
  <rv s="0">
    <fb>35.201666666667002</fb>
    <v>0</v>
  </rv>
  <rv s="0">
    <fb>43880</fb>
    <v>9</v>
  </rv>
  <rv s="19">
    <v>#VALUE!</v>
    <v>en-US</v>
    <v>86a7d23c-fc2f-218b-7b55-32e1d101ed92</v>
    <v>536870912</v>
    <v>1</v>
    <v>1408</v>
    <v>135</v>
    <v>Ramallah</v>
    <v>5</v>
    <v>6</v>
    <v>Map</v>
    <v>7</v>
    <v>169</v>
    <v>8896</v>
    <v>8897</v>
    <v>This page is subject to the extended confirmed restriction related to the Arab-Israeli conflict. Ramallah is a Palestinian city in the central West Bank, that serves as the de facto administrative capital of the State of Palestine. It is ...</v>
    <v>8898</v>
    <v>8899</v>
    <v>8900</v>
    <v>8901</v>
    <v>Ramallah</v>
    <v>8902</v>
    <v>2730</v>
    <v>Ramallah</v>
    <v>mdp/vdpid/7269253094465077250</v>
  </rv>
  <rv s="1">
    <v>536870912</v>
    <v>Khartoum</v>
    <v>59f52946-010c-a98d-aefe-452144e072d3</v>
    <v>en-US</v>
    <v>Map</v>
  </rv>
  <rv s="1">
    <v>536870912</v>
    <v>Khartoum State</v>
    <v>3a85ff35-7411-37fa-1d61-38242540dd00</v>
    <v>en-US</v>
    <v>Map</v>
  </rv>
  <rv s="0">
    <fb>30000</fb>
    <v>9</v>
  </rv>
  <rv s="1">
    <v>536870912</v>
    <v>Sudan</v>
    <v>5c1f4179-4d6f-54f8-2f6b-931c62006900</v>
    <v>en-US</v>
    <v>Map</v>
  </rv>
  <rv s="2">
    <v>305</v>
    <v>7</v>
    <v>1409</v>
    <v>7</v>
    <v>0</v>
    <v>Image of Khartoum</v>
  </rv>
  <rv s="0">
    <fb>15.60308</fb>
    <v>0</v>
  </rv>
  <rv s="4">
    <v>https://www.bing.com/search?q=khartoum+sudan&amp;form=skydnc</v>
    <v>Learn more on Bing</v>
  </rv>
  <rv s="0">
    <fb>32.526539999999997</fb>
    <v>0</v>
  </rv>
  <rv s="0">
    <fb>5345000</fb>
    <v>9</v>
  </rv>
  <rv s="17">
    <v>#VALUE!</v>
    <v>en-US</v>
    <v>59f52946-010c-a98d-aefe-452144e072d3</v>
    <v>536870912</v>
    <v>1</v>
    <v>1410</v>
    <v>110</v>
    <v>Khartoum</v>
    <v>5</v>
    <v>6</v>
    <v>Map</v>
    <v>7</v>
    <v>442</v>
    <v>8905</v>
    <v>8906</v>
    <v>8907</v>
    <v>Khartoum or Khartum is the capital city of Sudan as well as Khartoum State. With a population of 6.3 million people, Khartoum's metropolitan area is the largest in Sudan. Khartoum is located at the confluence of the White Nile – flowing north ...</v>
    <v>8908</v>
    <v>8909</v>
    <v>8910</v>
    <v>8911</v>
    <v>Khartoum</v>
    <v>8912</v>
    <v>2730</v>
    <v>Khartoum</v>
    <v>mdp/vdpid/7321400637793501185</v>
  </rv>
  <rv s="0">
    <fb>0.286978787878788</fb>
    <v>28</v>
  </rv>
  <rv s="0">
    <fb>1886068</fb>
    <v>9</v>
  </rv>
  <rv s="0">
    <fb>124000</fb>
    <v>9</v>
  </rv>
  <rv s="0">
    <fb>32.177</fb>
    <v>29</v>
  </rv>
  <rv s="0">
    <fb>249</fb>
    <v>30</v>
  </rv>
  <rv s="0">
    <fb>19999.817999999999</fb>
    <v>9</v>
  </rv>
  <rv s="0">
    <fb>1344.19276243483</fb>
    <v>31</v>
  </rv>
  <rv s="0">
    <fb>0.509940515002971</fb>
    <v>28</v>
  </rv>
  <rv s="0">
    <fb>190.220886811296</fb>
    <v>9</v>
  </rv>
  <rv s="0">
    <fb>4.407</fb>
    <v>29</v>
  </rv>
  <rv s="0">
    <fb>8.0849915824915811E-2</fb>
    <v>28</v>
  </rv>
  <rv s="0">
    <fb>31.726526589842599</fb>
    <v>34</v>
  </rv>
  <rv s="0">
    <fb>18902284475.6054</fb>
    <v>33</v>
  </rv>
  <rv s="0">
    <fb>0.76816059999999997</fb>
    <v>28</v>
  </rv>
  <rv s="0">
    <fb>0.16919010000000001</fb>
    <v>28</v>
  </rv>
  <rv s="2">
    <v>306</v>
    <v>7</v>
    <v>1412</v>
    <v>7</v>
    <v>0</v>
    <v>Image of Sudan</v>
  </rv>
  <rv s="0">
    <fb>42.1</fb>
    <v>34</v>
  </rv>
  <rv s="1">
    <v>805306368</v>
    <v>Abdel Fattah al-Burhan (Chairman)</v>
    <v>bd9bd685-e4b2-198f-ba16-cdde9abdd37d</v>
    <v>en-US</v>
    <v>Generic</v>
  </rv>
  <rv s="1">
    <v>805306368</v>
    <v>Osman Hussein (Prime minister)</v>
    <v>a53c0225-2f7c-6d90-1d78-f1d4198ef129</v>
    <v>en-US</v>
    <v>Generic</v>
  </rv>
  <rv s="3">
    <v>619</v>
  </rv>
  <rv s="4">
    <v>https://www.bing.com/search?q=sudan&amp;form=skydnc</v>
    <v>Learn more on Bing</v>
  </rv>
  <rv s="0">
    <fb>65.094999999999999</fb>
    <v>34</v>
  </rv>
  <rv s="0">
    <fb>295</fb>
    <v>34</v>
  </rv>
  <rv s="3">
    <v>620</v>
  </rv>
  <rv s="0">
    <fb>0.63225543480000002</fb>
    <v>28</v>
  </rv>
  <rv s="0">
    <fb>0.26179999999999998</fb>
    <v>29</v>
  </rv>
  <rv s="0">
    <fb>46874204</fb>
    <v>9</v>
  </rv>
  <rv s="0">
    <fb>0.27800000000000002</fb>
    <v>28</v>
  </rv>
  <rv s="0">
    <fb>0.48438999176025399</fb>
    <v>28</v>
  </rv>
  <rv s="1">
    <v>536870912</v>
    <v>Gezira State</v>
    <v>afba3453-d8a9-bee2-ce50-738dc3efeae5</v>
    <v>en-US</v>
    <v>Map</v>
  </rv>
  <rv s="1">
    <v>536870912</v>
    <v>Al Qadarif State</v>
    <v>4add3b25-7ed1-90d0-883c-0bc8fbcbba66</v>
    <v>en-US</v>
    <v>Map</v>
  </rv>
  <rv s="1">
    <v>536870912</v>
    <v>Kassala State</v>
    <v>acee2095-d3df-31af-2370-c65c59894109</v>
    <v>en-US</v>
    <v>Map</v>
  </rv>
  <rv s="1">
    <v>536870912</v>
    <v>North Darfur</v>
    <v>5de975c7-a31d-3cf5-facc-346d9c147d91</v>
    <v>en-US</v>
    <v>Map</v>
  </rv>
  <rv s="1">
    <v>536870912</v>
    <v>South Darfur</v>
    <v>40d472d1-efdd-55ec-8761-2f250ba74984</v>
    <v>en-US</v>
    <v>Map</v>
  </rv>
  <rv s="1">
    <v>536870912</v>
    <v>West Darfur</v>
    <v>3cd48cbd-1118-280c-5a44-f4f2b832b932</v>
    <v>en-US</v>
    <v>Map</v>
  </rv>
  <rv s="1">
    <v>536870912</v>
    <v>White Nile State</v>
    <v>2dd5a86b-393d-1567-accd-85e3aea175f0</v>
    <v>en-US</v>
    <v>Map</v>
  </rv>
  <rv s="1">
    <v>536870912</v>
    <v>Blue Nile State</v>
    <v>a9f3d3b5-dc66-c756-388f-f2219ac9bda8</v>
    <v>en-US</v>
    <v>Map</v>
  </rv>
  <rv s="1">
    <v>536870912</v>
    <v>Sennar State</v>
    <v>d58be2c4-2ea9-ccdd-8b35-42a97e1fc116</v>
    <v>en-US</v>
    <v>Map</v>
  </rv>
  <rv s="1">
    <v>536870912</v>
    <v>Red Sea State</v>
    <v>c6555d33-cbb6-2590-b978-7530200195a7</v>
    <v>en-US</v>
    <v>Map</v>
  </rv>
  <rv s="1">
    <v>536870912</v>
    <v>South Kordofan</v>
    <v>381eb22a-5814-513f-6202-d348c29eeba0</v>
    <v>en-US</v>
    <v>Map</v>
  </rv>
  <rv s="1">
    <v>536870912</v>
    <v>North Kordofan</v>
    <v>723c87fe-1c66-f75f-454f-67bbfbba2e00</v>
    <v>en-US</v>
    <v>Map</v>
  </rv>
  <rv s="1">
    <v>536870912</v>
    <v>Northern State</v>
    <v>e1a93dbe-37ee-634e-e65e-c1c136886535</v>
    <v>en-US</v>
    <v>Map</v>
  </rv>
  <rv s="1">
    <v>536870912</v>
    <v>River Nile State</v>
    <v>f911d407-aec1-0e36-54f5-84d2aabc9035</v>
    <v>en-US</v>
    <v>Map</v>
  </rv>
  <rv s="3">
    <v>621</v>
  </rv>
  <rv s="0">
    <fb>7.9614507925651001E-2</fb>
    <v>28</v>
  </rv>
  <rv s="3">
    <v>622</v>
  </rv>
  <rv s="0">
    <fb>0.45399999999999996</fb>
    <v>28</v>
  </rv>
  <rv s="0">
    <fb>0.16534999847412099</fb>
    <v>35</v>
  </rv>
  <rv s="0">
    <fb>14957233</fb>
    <v>9</v>
  </rv>
  <rv s="8">
    <v>#VALUE!</v>
    <v>en-US</v>
    <v>5c1f4179-4d6f-54f8-2f6b-931c62006900</v>
    <v>536870912</v>
    <v>1</v>
    <v>1415</v>
    <v>46</v>
    <v>Sudan</v>
    <v>5</v>
    <v>6</v>
    <v>Map</v>
    <v>7</v>
    <v>1416</v>
    <v>SD</v>
    <v>8914</v>
    <v>8915</v>
    <v>8916</v>
    <v>8917</v>
    <v>8918</v>
    <v>8904</v>
    <v>8919</v>
    <v>8920</v>
    <v>8921</v>
    <v>SDG</v>
    <v>Sudan, officially the Republic of the Sudan, is a country in Northeast Africa. It borders the Central African Republic to the southwest, Chad to the west, Libya to the northwest, Egypt to the north, the Red Sea to the east, Eritrea and Ethiopia ...</v>
    <v>8922</v>
    <v>8923</v>
    <v>8924</v>
    <v>8925</v>
    <v>235</v>
    <v>8926</v>
    <v>8927</v>
    <v>8928</v>
    <v>8929</v>
    <v>8930</v>
    <v>8904</v>
    <v>8933</v>
    <v>8934</v>
    <v>8935</v>
    <v>8936</v>
    <v>5199</v>
    <v>Sudan</v>
    <v>Nahnu Jund Allah Jund Al-watan</v>
    <v>8937</v>
    <v>جمهورية السودان</v>
    <v>8938</v>
    <v>8939</v>
    <v>8940</v>
    <v>1816</v>
    <v>8941</v>
    <v>1164</v>
    <v>1167</v>
    <v>6844</v>
    <v>3331</v>
    <v>653</v>
    <v>8942</v>
    <v>8957</v>
    <v>8958</v>
    <v>8959</v>
    <v>8960</v>
    <v>8961</v>
    <v>Sudan</v>
    <v>8962</v>
    <v>mdp/vdpid/219</v>
  </rv>
  <rv s="1">
    <v>536870912</v>
    <v>Paramaribo</v>
    <v>d392199f-dbc1-75cd-df8d-31b43078b465</v>
    <v>en-US</v>
    <v>Map</v>
  </rv>
  <rv s="1">
    <v>536870912</v>
    <v>Paramaribo District</v>
    <v>44905a44-fa1d-0626-8c52-2b0d63b7f4af</v>
    <v>en-US</v>
    <v>Map</v>
  </rv>
  <rv s="0">
    <fb>182</fb>
    <v>9</v>
  </rv>
  <rv s="1">
    <v>536870912</v>
    <v>Suriname</v>
    <v>2b6c0454-97c2-15b7-3325-18f9ad0e4097</v>
    <v>en-US</v>
    <v>Map</v>
  </rv>
  <rv s="2">
    <v>307</v>
    <v>7</v>
    <v>1417</v>
    <v>7</v>
    <v>0</v>
    <v>Image of Paramaribo</v>
  </rv>
  <rv s="0">
    <fb>5.8666666666667</fb>
    <v>0</v>
  </rv>
  <rv s="4">
    <v>https://www.bing.com/search?q=paramaribo&amp;form=skydnc</v>
    <v>Learn more on Bing</v>
  </rv>
  <rv s="0">
    <fb>-55.166666666666998</fb>
    <v>0</v>
  </rv>
  <rv s="0">
    <fb>240924</fb>
    <v>9</v>
  </rv>
  <rv s="13">
    <v>#VALUE!</v>
    <v>en-US</v>
    <v>d392199f-dbc1-75cd-df8d-31b43078b465</v>
    <v>536870912</v>
    <v>1</v>
    <v>1418</v>
    <v>72</v>
    <v>Paramaribo</v>
    <v>5</v>
    <v>6</v>
    <v>Map</v>
    <v>7</v>
    <v>571</v>
    <v>8965</v>
    <v>8965</v>
    <v>8966</v>
    <v>8967</v>
    <v>Paramaribo is the capital and largest city of Suriname, located on the banks of the Suriname River in the Paramaribo District. Paramaribo has a population of roughly 241,000 people, almost half of Suriname's population. The historic inner city ...</v>
    <v>8968</v>
    <v>8969</v>
    <v>8970</v>
    <v>8971</v>
    <v>Paramaribo</v>
    <v>8972</v>
    <v>1498</v>
    <v>Paramaribo</v>
    <v>mdp/vdpid/5613025378974040065</v>
  </rv>
  <rv s="0">
    <fb>5.57692307692308E-3</fb>
    <v>28</v>
  </rv>
  <rv s="0">
    <fb>163270</fb>
    <v>9</v>
  </rv>
  <rv s="0">
    <fb>18.542000000000002</fb>
    <v>29</v>
  </rv>
  <rv s="0">
    <fb>597</fb>
    <v>30</v>
  </rv>
  <rv s="0">
    <fb>1738.1579999999999</fb>
    <v>9</v>
  </rv>
  <rv s="0">
    <fb>294.66477270235401</fb>
    <v>31</v>
  </rv>
  <rv s="0">
    <fb>0.21996943017330398</fb>
    <v>28</v>
  </rv>
  <rv s="0">
    <fb>3596.7777209442702</fb>
    <v>9</v>
  </rv>
  <rv s="0">
    <fb>2.4180000000000001</fb>
    <v>29</v>
  </rv>
  <rv s="0">
    <fb>0.98257693559695491</fb>
    <v>28</v>
  </rv>
  <rv s="0">
    <fb>76.253495819506995</fb>
    <v>34</v>
  </rv>
  <rv s="0">
    <fb>1.29</fb>
    <v>32</v>
  </rv>
  <rv s="0">
    <fb>3985250737.46313</fb>
    <v>33</v>
  </rv>
  <rv s="0">
    <fb>1.0884212</fb>
    <v>28</v>
  </rv>
  <rv s="0">
    <fb>0.12561459999999999</fb>
    <v>28</v>
  </rv>
  <rv s="2">
    <v>308</v>
    <v>7</v>
    <v>1420</v>
    <v>7</v>
    <v>0</v>
    <v>Image of Suriname</v>
  </rv>
  <rv s="0">
    <fb>16.899999999999999</fb>
    <v>34</v>
  </rv>
  <rv s="1">
    <v>805306368</v>
    <v>Chan Santokhi (President)</v>
    <v>5d62685f-ff04-149a-cf4f-3629cab45760</v>
    <v>en-US</v>
    <v>Generic</v>
  </rv>
  <rv s="1">
    <v>805306368</v>
    <v>Ronnie Brunswijk (Vice president)</v>
    <v>e183fa0b-40c3-79d7-9d15-64897dd6becd</v>
    <v>en-US</v>
    <v>Generic</v>
  </rv>
  <rv s="3">
    <v>623</v>
  </rv>
  <rv s="4">
    <v>https://www.bing.com/search?q=suriname&amp;form=skydnc</v>
    <v>Learn more on Bing</v>
  </rv>
  <rv s="0">
    <fb>71.569999999999993</fb>
    <v>34</v>
  </rv>
  <rv s="0">
    <fb>120</fb>
    <v>34</v>
  </rv>
  <rv s="3">
    <v>624</v>
  </rv>
  <rv s="0">
    <fb>0.10147909820000001</fb>
    <v>28</v>
  </rv>
  <rv s="0">
    <fb>1.2101</fb>
    <v>29</v>
  </rv>
  <rv s="0">
    <fb>618040</fb>
    <v>9</v>
  </rv>
  <rv s="0">
    <fb>0.60199999999999998</fb>
    <v>28</v>
  </rv>
  <rv s="0">
    <fb>0.51136001586914093</fb>
    <v>28</v>
  </rv>
  <rv s="1">
    <v>536870912</v>
    <v>Brokopondo District</v>
    <v>547e9e23-af8f-f3ef-122c-0b3c4ff74349</v>
    <v>en-US</v>
    <v>Map</v>
  </rv>
  <rv s="1">
    <v>536870912</v>
    <v>Commewijne District</v>
    <v>e4db8192-7125-1727-900e-8619cf318fa8</v>
    <v>en-US</v>
    <v>Map</v>
  </rv>
  <rv s="1">
    <v>536870912</v>
    <v>Coronie District</v>
    <v>a8ff70de-e223-1b83-c007-2595b37cb475</v>
    <v>en-US</v>
    <v>Map</v>
  </rv>
  <rv s="1">
    <v>536870912</v>
    <v>Marowijne District</v>
    <v>3a9c304c-f47e-70ce-5deb-780b611bd43b</v>
    <v>en-US</v>
    <v>Map</v>
  </rv>
  <rv s="1">
    <v>536870912</v>
    <v>Nickerie District</v>
    <v>3e20a7e2-31ea-aafd-35cb-f21db558b9cf</v>
    <v>en-US</v>
    <v>Map</v>
  </rv>
  <rv s="1">
    <v>536870912</v>
    <v>Para District</v>
    <v>26051a83-e72c-6d68-c19b-2476f83178fc</v>
    <v>en-US</v>
    <v>Map</v>
  </rv>
  <rv s="1">
    <v>536870912</v>
    <v>Saramacca District</v>
    <v>6a72d7c3-2245-2001-d879-5ef2f8cefed7</v>
    <v>en-US</v>
    <v>Map</v>
  </rv>
  <rv s="1">
    <v>536870912</v>
    <v>Sipaliwini District</v>
    <v>3d3fff11-9009-6c65-a304-2012c44dc8e4</v>
    <v>en-US</v>
    <v>Map</v>
  </rv>
  <rv s="1">
    <v>536870912</v>
    <v>Wanica District</v>
    <v>800339d2-171f-9160-3a7e-54ad61f6f33e</v>
    <v>en-US</v>
    <v>Map</v>
  </rv>
  <rv s="3">
    <v>625</v>
  </rv>
  <rv s="0">
    <fb>0.19547450565900001</fb>
    <v>28</v>
  </rv>
  <rv s="0">
    <fb>7.3340001106262195E-2</fb>
    <v>35</v>
  </rv>
  <rv s="0">
    <fb>384258</fb>
    <v>9</v>
  </rv>
  <rv s="98">
    <v>#VALUE!</v>
    <v>en-US</v>
    <v>2b6c0454-97c2-15b7-3325-18f9ad0e4097</v>
    <v>536870912</v>
    <v>1</v>
    <v>1423</v>
    <v>1424</v>
    <v>Suriname</v>
    <v>5</v>
    <v>6</v>
    <v>Map</v>
    <v>7</v>
    <v>1425</v>
    <v>SR</v>
    <v>8974</v>
    <v>8975</v>
    <v>1138</v>
    <v>8976</v>
    <v>8977</v>
    <v>8964</v>
    <v>8978</v>
    <v>8979</v>
    <v>8980</v>
    <v>SRD</v>
    <v>Suriname, officially the Republic of Suriname, is a country in northern South America, sometimes considered part of the Caribbean and the West Indies. It is a developing country with a medium level of human development; its economy is heavily ...</v>
    <v>8981</v>
    <v>8982</v>
    <v>8983</v>
    <v>8984</v>
    <v>8985</v>
    <v>8986</v>
    <v>8987</v>
    <v>8988</v>
    <v>8989</v>
    <v>8990</v>
    <v>8964</v>
    <v>8993</v>
    <v>8994</v>
    <v>8995</v>
    <v>8996</v>
    <v>Suriname</v>
    <v>God zij met ons Suriname</v>
    <v>8997</v>
    <v>Suriname</v>
    <v>8998</v>
    <v>8999</v>
    <v>9000</v>
    <v>2344</v>
    <v>4308</v>
    <v>9001</v>
    <v>1226</v>
    <v>5437</v>
    <v>388</v>
    <v>9002</v>
    <v>9012</v>
    <v>9013</v>
    <v>1498</v>
    <v>1285</v>
    <v>9014</v>
    <v>Suriname</v>
    <v>9015</v>
    <v>mdp/vdpid/181</v>
  </rv>
  <rv s="1">
    <v>536870912</v>
    <v>Stockholm</v>
    <v>9daa4a8d-0e69-da3a-672e-16d4743a665b</v>
    <v>en-US</v>
    <v>Map</v>
  </rv>
  <rv s="1">
    <v>536870912</v>
    <v>Stockholm County</v>
    <v>41fffb7d-bbe9-8d1b-286b-f0fdeb3ab886</v>
    <v>en-US</v>
    <v>Map</v>
  </rv>
  <rv s="0">
    <fb>187.16</fb>
    <v>9</v>
  </rv>
  <rv s="1">
    <v>536870912</v>
    <v>Kalmar Union</v>
    <v>723b5437-f021-ebd7-3a7a-2fcc8a5bab2d</v>
    <v>en-US</v>
    <v>Map</v>
  </rv>
  <rv s="2">
    <v>309</v>
    <v>7</v>
    <v>1426</v>
    <v>7</v>
    <v>0</v>
    <v>Image of Stockholm</v>
  </rv>
  <rv s="1">
    <v>805306368</v>
    <v>Karin Wanngård (Mayor)</v>
    <v>ff45a3f2-13a5-6f7f-5794-0b7c2a0d7877</v>
    <v>en-US</v>
    <v>Generic</v>
  </rv>
  <rv s="3">
    <v>626</v>
  </rv>
  <rv s="4">
    <v>https://www.bing.com/search?q=stockholm+sweden&amp;form=skydnc</v>
    <v>Learn more on Bing</v>
  </rv>
  <rv s="0">
    <fb>978770</fb>
    <v>9</v>
  </rv>
  <rv s="7">
    <v>#VALUE!</v>
    <v>en-US</v>
    <v>9daa4a8d-0e69-da3a-672e-16d4743a665b</v>
    <v>536870912</v>
    <v>1</v>
    <v>1427</v>
    <v>38</v>
    <v>Stockholm</v>
    <v>5</v>
    <v>6</v>
    <v>Map</v>
    <v>7</v>
    <v>216</v>
    <v>9018</v>
    <v>9019</v>
    <v>9020</v>
    <v>Stockholm is the capital and most populous city of Sweden, as well as the largest urban area in the Nordic countries. Approximately 1 million people live in the municipality, with 1.6 million in the urban area, and 2.5 million in the ...</v>
    <v>9021</v>
    <v>40</v>
    <v>9023</v>
    <v>9024</v>
    <v>41</v>
    <v>Stockholm</v>
    <v>9025</v>
    <v>308</v>
    <v>Stockholm</v>
    <v>mdp/vdpid/7005763932988112897</v>
  </rv>
  <rv s="1">
    <v>536870912</v>
    <v>Bern</v>
    <v>15dda629-8f09-9c82-b064-7a7e8e84c804</v>
    <v>en-US</v>
    <v>Map</v>
  </rv>
  <rv s="1">
    <v>536870912</v>
    <v>Canton of Bern</v>
    <v>2a03e077-5092-0e03-223b-4aa6b24c7525</v>
    <v>en-US</v>
    <v>Map</v>
  </rv>
  <rv s="1">
    <v>536870912</v>
    <v>Bern-Mittelland</v>
    <v>0e93e92f-5282-8919-fb62-1d7f8c0b15f5</v>
    <v>en-US</v>
    <v>Map</v>
  </rv>
  <rv s="0">
    <fb>51.62</fb>
    <v>9</v>
  </rv>
  <rv s="1">
    <v>536870912</v>
    <v>Switzerland</v>
    <v>9683d03a-5adc-78fa-f34f-548eea3c1d64</v>
    <v>en-US</v>
    <v>Map</v>
  </rv>
  <rv s="2">
    <v>310</v>
    <v>7</v>
    <v>1428</v>
    <v>7</v>
    <v>0</v>
    <v>Image of Bern</v>
  </rv>
  <rv s="1">
    <v>805306368</v>
    <v>Marieke Kruit (Mayor)</v>
    <v>f13a59e2-3f67-3290-30fc-363072b546ff</v>
    <v>en-US</v>
    <v>Generic</v>
  </rv>
  <rv s="1">
    <v>805306368</v>
    <v>Social Democratic Party of Switzerland (Mayor)</v>
    <v>07669c39-adf6-0060-41c1-1253c53cab39</v>
    <v>en-US</v>
    <v>Generic</v>
  </rv>
  <rv s="3">
    <v>627</v>
  </rv>
  <rv s="4">
    <v>https://www.bing.com/search?q=bern&amp;form=skydnc</v>
    <v>Learn more on Bing</v>
  </rv>
  <rv s="0">
    <fb>133883</fb>
    <v>9</v>
  </rv>
  <rv s="5">
    <v>#VALUE!</v>
    <v>en-US</v>
    <v>15dda629-8f09-9c82-b064-7a7e8e84c804</v>
    <v>536870912</v>
    <v>1</v>
    <v>1429</v>
    <v>3</v>
    <v>Bern</v>
    <v>5</v>
    <v>6</v>
    <v>Map</v>
    <v>7</v>
    <v>442</v>
    <v>9028</v>
    <v>9029</v>
    <v>9030</v>
    <v>9031</v>
    <v>Bern, or Berne, is the de facto capital of Switzerland, referred to as the "federal city". With a population of about 146,000, Bern is the fifth-most populous city in Switzerland, behind Zürich, Geneva, Basel and Lausanne. The Bern ...</v>
    <v>9032</v>
    <v>42</v>
    <v>9035</v>
    <v>9036</v>
    <v>43</v>
    <v>Bern</v>
    <v>9037</v>
    <v>308</v>
    <v>Bern</v>
    <v>mdp/vdpid/7015704281399427073</v>
  </rv>
  <rv s="1">
    <v>536870912</v>
    <v>Damascus</v>
    <v>c59c22f4-d509-942f-a2f4-b31fa809a1b5</v>
    <v>en-US</v>
    <v>Map</v>
  </rv>
  <rv s="1">
    <v>536870912</v>
    <v>Damascus Governorate</v>
    <v>abc37172-80e3-0b38-0b56-28a17ec5f75e</v>
    <v>en-US</v>
    <v>Map</v>
  </rv>
  <rv s="0">
    <fb>105</fb>
    <v>9</v>
  </rv>
  <rv s="1">
    <v>536870912</v>
    <v>Syria</v>
    <v>0365d9b4-dcc9-76b1-38fe-00d02cbcd68f</v>
    <v>en-US</v>
    <v>Map</v>
  </rv>
  <rv s="2">
    <v>311</v>
    <v>7</v>
    <v>1430</v>
    <v>7</v>
    <v>0</v>
    <v>Image of Damascus</v>
  </rv>
  <rv s="0">
    <fb>33.513055555556001</fb>
    <v>0</v>
  </rv>
  <rv s="1">
    <v>805306368</v>
    <v>Mohammad Tariq Kreishati (Governor)</v>
    <v>4c4c84d2-c625-d2d9-8811-fde8b9e8f7c6</v>
    <v>en-US</v>
    <v>Generic</v>
  </rv>
  <rv s="3">
    <v>628</v>
  </rv>
  <rv s="4">
    <v>https://www.bing.com/search?q=damascus&amp;form=skydnc</v>
    <v>Learn more on Bing</v>
  </rv>
  <rv s="0">
    <fb>36.291944444443999</fb>
    <v>0</v>
  </rv>
  <rv s="0">
    <fb>2584771</fb>
    <v>9</v>
  </rv>
  <rv s="24">
    <v>#VALUE!</v>
    <v>en-US</v>
    <v>c59c22f4-d509-942f-a2f4-b31fa809a1b5</v>
    <v>536870912</v>
    <v>1</v>
    <v>1431</v>
    <v>189</v>
    <v>Damascus</v>
    <v>5</v>
    <v>6</v>
    <v>Map</v>
    <v>7</v>
    <v>111</v>
    <v>9040</v>
    <v>9041</v>
    <v>9042</v>
    <v>Damascus is the capital of Syria, the oldest capital in the world and, according to some, the fourth holiest city in Islam. Known colloquially in Syria as aš-Šām and dubbed, poetically, the "City of Jasmine", Damascus is a major cultural center ...</v>
    <v>9043</v>
    <v>9044</v>
    <v>9046</v>
    <v>9047</v>
    <v>9048</v>
    <v>Damascus</v>
    <v>9049</v>
    <v>Damascus</v>
    <v>mdp/vdpid/7269000459120017409</v>
  </rv>
  <rv s="0">
    <fb>0.75810052823612695</fb>
    <v>28</v>
  </rv>
  <rv s="0">
    <fb>185180</fb>
    <v>9</v>
  </rv>
  <rv s="0">
    <fb>239000</fb>
    <v>9</v>
  </rv>
  <rv s="0">
    <fb>23.684999999999999</fb>
    <v>29</v>
  </rv>
  <rv s="0">
    <fb>963</fb>
    <v>30</v>
  </rv>
  <rv s="0">
    <fb>28829.954000000002</fb>
    <v>9</v>
  </rv>
  <rv s="0">
    <fb>143.199979473582</fb>
    <v>31</v>
  </rv>
  <rv s="0">
    <fb>0.36702295336413898</fb>
    <v>28</v>
  </rv>
  <rv s="0">
    <fb>974.31713913344902</fb>
    <v>9</v>
  </rv>
  <rv s="0">
    <fb>2.8079999999999998</fb>
    <v>29</v>
  </rv>
  <rv s="0">
    <fb>2.67385503458041E-2</fb>
    <v>28</v>
  </rv>
  <rv s="0">
    <fb>97.791781432638501</fb>
    <v>34</v>
  </rv>
  <rv s="0">
    <fb>40405006007.208603</fb>
    <v>33</v>
  </rv>
  <rv s="0">
    <fb>0.81663549999999996</fb>
    <v>28</v>
  </rv>
  <rv s="0">
    <fb>0.40051150000000002</fb>
    <v>28</v>
  </rv>
  <rv s="2">
    <v>312</v>
    <v>7</v>
    <v>1433</v>
    <v>7</v>
    <v>0</v>
    <v>Image of Syria</v>
  </rv>
  <rv s="1">
    <v>805306368</v>
    <v>Ahmed al-Sharaa (President)</v>
    <v>70143a6b-e0b9-1512-af74-a288e240938a</v>
    <v>en-US</v>
    <v>Generic</v>
  </rv>
  <rv s="1">
    <v>805306368</v>
    <v>Mohammed al-Bashir (Prime minister)</v>
    <v>ce38a11c-c34c-2b9a-e0f5-d604eac38c19</v>
    <v>en-US</v>
    <v>Generic</v>
  </rv>
  <rv s="3">
    <v>629</v>
  </rv>
  <rv s="4">
    <v>https://www.bing.com/search?q=syria&amp;form=skydnc</v>
    <v>Learn more on Bing</v>
  </rv>
  <rv s="0">
    <fb>71.778999999999996</fb>
    <v>34</v>
  </rv>
  <rv s="0">
    <fb>0.53691278149999999</fb>
    <v>28</v>
  </rv>
  <rv s="0">
    <fb>1.22</fb>
    <v>29</v>
  </rv>
  <rv s="0">
    <fb>22125249</fb>
    <v>9</v>
  </rv>
  <rv s="0">
    <fb>0.44113998413085903</fb>
    <v>28</v>
  </rv>
  <rv s="1">
    <v>536870912</v>
    <v>Rif Dimashq Governorate</v>
    <v>0bf8e513-8046-66b0-58f0-27ebba28355f</v>
    <v>en-US</v>
    <v>Map</v>
  </rv>
  <rv s="1">
    <v>536870912</v>
    <v>Quneitra Governorate</v>
    <v>a65262f8-969c-4091-bb38-ad81d3151c80</v>
    <v>en-US</v>
    <v>Map</v>
  </rv>
  <rv s="1">
    <v>536870912</v>
    <v>Daraa Governorate</v>
    <v>971ab33c-32f7-607a-f6df-68f8f4ab093e</v>
    <v>en-US</v>
    <v>Map</v>
  </rv>
  <rv s="1">
    <v>536870912</v>
    <v>Suwayda Governorate</v>
    <v>df94cb8c-564c-4586-aa29-316404232f68</v>
    <v>en-US</v>
    <v>Map</v>
  </rv>
  <rv s="1">
    <v>536870912</v>
    <v>Homs Governorate</v>
    <v>f4bdeeb9-0ed5-9c38-ed69-96466a4d740a</v>
    <v>en-US</v>
    <v>Map</v>
  </rv>
  <rv s="1">
    <v>536870912</v>
    <v>Tartus Governorate</v>
    <v>b9351e7f-4232-2252-165d-5aac7be40f57</v>
    <v>en-US</v>
    <v>Map</v>
  </rv>
  <rv s="1">
    <v>536870912</v>
    <v>Latakia Governorate</v>
    <v>31841ca1-6c95-6f01-0ab5-6889d4c3d21c</v>
    <v>en-US</v>
    <v>Map</v>
  </rv>
  <rv s="1">
    <v>536870912</v>
    <v>Hama Governorate</v>
    <v>b8dbf16b-64c2-e098-8f3a-009959ed70b6</v>
    <v>en-US</v>
    <v>Map</v>
  </rv>
  <rv s="1">
    <v>536870912</v>
    <v>Idlib Governorate</v>
    <v>519423b9-bc4b-c2ba-752c-72b56bc07188</v>
    <v>en-US</v>
    <v>Map</v>
  </rv>
  <rv s="1">
    <v>536870912</v>
    <v>Aleppo Governorate</v>
    <v>85ca5ff2-1809-0be9-0086-d75d0526a2a2</v>
    <v>en-US</v>
    <v>Map</v>
  </rv>
  <rv s="1">
    <v>536870912</v>
    <v>Raqqa Governorate</v>
    <v>0b7a175f-cb0c-4f12-a872-0119ee237677</v>
    <v>en-US</v>
    <v>Map</v>
  </rv>
  <rv s="1">
    <v>536870912</v>
    <v>Deir ez-Zor Governorate</v>
    <v>73ead33c-8d7c-a2e3-d46b-d38cc25dcbc9</v>
    <v>en-US</v>
    <v>Map</v>
  </rv>
  <rv s="1">
    <v>536870912</v>
    <v>Al-Hasakah Governorate</v>
    <v>5a14681e-86ef-4e87-8814-e97b2331491b</v>
    <v>en-US</v>
    <v>Map</v>
  </rv>
  <rv s="3">
    <v>630</v>
  </rv>
  <rv s="0">
    <fb>0.14194682792272501</fb>
    <v>28</v>
  </rv>
  <rv s="0">
    <fb>8.3699998855590804E-2</fb>
    <v>35</v>
  </rv>
  <rv s="0">
    <fb>9358019</fb>
    <v>9</v>
  </rv>
  <rv s="8">
    <v>#VALUE!</v>
    <v>en-US</v>
    <v>0365d9b4-dcc9-76b1-38fe-00d02cbcd68f</v>
    <v>536870912</v>
    <v>1</v>
    <v>1436</v>
    <v>46</v>
    <v>Syria</v>
    <v>5</v>
    <v>6</v>
    <v>Map</v>
    <v>7</v>
    <v>1437</v>
    <v>SY</v>
    <v>9051</v>
    <v>9052</v>
    <v>9053</v>
    <v>9054</v>
    <v>9055</v>
    <v>9039</v>
    <v>9056</v>
    <v>9057</v>
    <v>9058</v>
    <v>SYP</v>
    <v>Syria, officially the Syrian Arab Republic, is a country in West Asia located in the Eastern Mediterranean and the Levant. It borders the Mediterranean Sea to the west, Turkey to the north, Iraq to the east and southeast, Jordan to the south, ...</v>
    <v>9059</v>
    <v>9060</v>
    <v>9061</v>
    <v>9062</v>
    <v>3200</v>
    <v>9063</v>
    <v>9064</v>
    <v>9065</v>
    <v>9066</v>
    <v>6253</v>
    <v>9039</v>
    <v>9069</v>
    <v>9070</v>
    <v>9071</v>
    <v>1601</v>
    <v>1511</v>
    <v>Syria</v>
    <v>Ḥumāt ad-Diyār</v>
    <v>5321</v>
    <v>الجمهورية العربية السورية</v>
    <v>9072</v>
    <v>9073</v>
    <v>9074</v>
    <v>935</v>
    <v>3738</v>
    <v>5827</v>
    <v>1167</v>
    <v>3851</v>
    <v>3740</v>
    <v>514</v>
    <v>9075</v>
    <v>9089</v>
    <v>9090</v>
    <v>2730</v>
    <v>4308</v>
    <v>9091</v>
    <v>Syria</v>
    <v>9092</v>
    <v>mdp/vdpid/222</v>
  </rv>
  <rv s="1">
    <v>536870912</v>
    <v>Dushanbe</v>
    <v>216d473a-2c50-bcc0-fe78-4415b30cbc79</v>
    <v>en-US</v>
    <v>Map</v>
  </rv>
  <rv s="0">
    <fb>124.6</fb>
    <v>9</v>
  </rv>
  <rv s="1">
    <v>536870912</v>
    <v>Tajikistan</v>
    <v>51f28292-bea6-a5bd-4119-fc439f15243a</v>
    <v>en-US</v>
    <v>Map</v>
  </rv>
  <rv s="2">
    <v>313</v>
    <v>7</v>
    <v>1439</v>
    <v>7</v>
    <v>0</v>
    <v>Image of Dushanbe</v>
  </rv>
  <rv s="1">
    <v>805306368</v>
    <v>Rustam Emomali (Mayor)</v>
    <v>86079001-7cfc-1b1c-f7b7-c16bd2f5d78d</v>
    <v>en-US</v>
    <v>Generic</v>
  </rv>
  <rv s="3">
    <v>631</v>
  </rv>
  <rv s="4">
    <v>https://www.bing.com/search?q=dushanbe&amp;form=skydnc</v>
    <v>Learn more on Bing</v>
  </rv>
  <rv s="3">
    <v>632</v>
  </rv>
  <rv s="0">
    <fb>1201800</fb>
    <v>9</v>
  </rv>
  <rv s="50">
    <v>#VALUE!</v>
    <v>en-US</v>
    <v>216d473a-2c50-bcc0-fe78-4415b30cbc79</v>
    <v>536870912</v>
    <v>1</v>
    <v>1440</v>
    <v>590</v>
    <v>Dushanbe</v>
    <v>5</v>
    <v>6</v>
    <v>Map</v>
    <v>7</v>
    <v>61</v>
    <v>TJ-DU</v>
    <v>9095</v>
    <v>9096</v>
    <v>Dushanbe is the capital and largest city of Tajikistan. As of March 2024 Dushanbe had a population of 1,564,700 and that population was largely Tajik. Until 1929, the city was known in Russian as Dyushambe, and from 1929 to 1961 as Stalinabad, ...</v>
    <v>9097</v>
    <v>9099</v>
    <v>9100</v>
    <v>Dushanbe</v>
    <v>9101</v>
    <v>9102</v>
    <v>Dushanbe</v>
    <v>mdp/vdpid/7390524697261113345</v>
  </rv>
  <rv s="0">
    <fb>0.34137906189206702</fb>
    <v>28</v>
  </rv>
  <rv s="0">
    <fb>143100</fb>
    <v>9</v>
  </rv>
  <rv s="0">
    <fb>17000</fb>
    <v>9</v>
  </rv>
  <rv s="0">
    <fb>30.760999999999999</fb>
    <v>29</v>
  </rv>
  <rv s="0">
    <fb>992</fb>
    <v>30</v>
  </rv>
  <rv s="0">
    <fb>5309.8159999999998</fb>
    <v>9</v>
  </rv>
  <rv s="0">
    <fb>148.56753447087999</fb>
    <v>31</v>
  </rv>
  <rv s="0">
    <fb>6.0045808232215399E-2</fb>
    <v>28</v>
  </rv>
  <rv s="0">
    <fb>1499.4850859092901</fb>
    <v>9</v>
  </rv>
  <rv s="0">
    <fb>3.585</fb>
    <v>29</v>
  </rv>
  <rv s="0">
    <fb>2.9713955897145601E-2</fb>
    <v>28</v>
  </rv>
  <rv s="0">
    <fb>45.9841418625521</fb>
    <v>34</v>
  </rv>
  <rv s="0">
    <fb>8116626794.2583704</fb>
    <v>33</v>
  </rv>
  <rv s="0">
    <fb>1.0085743999999999</fb>
    <v>28</v>
  </rv>
  <rv s="0">
    <fb>0.3125656</fb>
    <v>28</v>
  </rv>
  <rv s="2">
    <v>314</v>
    <v>7</v>
    <v>1442</v>
    <v>7</v>
    <v>0</v>
    <v>Image of Tajikistan</v>
  </rv>
  <rv s="0">
    <fb>30.4</fb>
    <v>34</v>
  </rv>
  <rv s="1">
    <v>805306368</v>
    <v>Emomali Rahmon (President)</v>
    <v>b7d56bfe-09a1-236c-06fb-e37a67d7b283</v>
    <v>en-US</v>
    <v>Generic</v>
  </rv>
  <rv s="1">
    <v>805306368</v>
    <v>Kokhir Rasulzoda (Prime minister)</v>
    <v>e81862d5-90b7-4ef8-aa86-21cbab79b013</v>
    <v>en-US</v>
    <v>Generic</v>
  </rv>
  <rv s="3">
    <v>633</v>
  </rv>
  <rv s="4">
    <v>https://www.bing.com/search?q=tajikistan&amp;form=skydnc</v>
    <v>Learn more on Bing</v>
  </rv>
  <rv s="0">
    <fb>70.879000000000005</fb>
    <v>34</v>
  </rv>
  <rv s="0">
    <fb>0.63062999939999997</fb>
    <v>28</v>
  </rv>
  <rv s="0">
    <fb>1.7002999999999999</fb>
    <v>29</v>
  </rv>
  <rv s="0">
    <fb>9952787</fb>
    <v>9</v>
  </rv>
  <rv s="0">
    <fb>0.41700000000000004</fb>
    <v>28</v>
  </rv>
  <rv s="0">
    <fb>0.42020999908447298</fb>
    <v>28</v>
  </rv>
  <rv s="1">
    <v>536870912</v>
    <v>Districts under Central Government Jurisdiction</v>
    <v>564e4cf4-bf1b-feb0-e1dc-38b09893d12b</v>
    <v>en-US</v>
    <v>Map</v>
  </rv>
  <rv s="1">
    <v>536870912</v>
    <v>Sughd Region</v>
    <v>fdbef49a-a624-b418-31c0-8f98f7af29c9</v>
    <v>en-US</v>
    <v>Map</v>
  </rv>
  <rv s="1">
    <v>536870912</v>
    <v>Khatlon Region</v>
    <v>aa2b17b7-2ed2-b63d-1d1c-598393216e3f</v>
    <v>en-US</v>
    <v>Map</v>
  </rv>
  <rv s="1">
    <v>536870912</v>
    <v>Gorno-Badakhshan</v>
    <v>694eb43a-b479-27c3-1eb4-15001a05953a</v>
    <v>en-US</v>
    <v>Map</v>
  </rv>
  <rv s="3">
    <v>634</v>
  </rv>
  <rv s="0">
    <fb>9.8210237867462288E-2</fb>
    <v>28</v>
  </rv>
  <rv s="0">
    <fb>0.67299999999999993</fb>
    <v>28</v>
  </rv>
  <rv s="0">
    <fb>0.110170001983643</fb>
    <v>35</v>
  </rv>
  <rv s="0">
    <fb>2545477</fb>
    <v>9</v>
  </rv>
  <rv s="8">
    <v>#VALUE!</v>
    <v>en-US</v>
    <v>51f28292-bea6-a5bd-4119-fc439f15243a</v>
    <v>536870912</v>
    <v>1</v>
    <v>1445</v>
    <v>46</v>
    <v>Tajikistan</v>
    <v>5</v>
    <v>6</v>
    <v>Map</v>
    <v>7</v>
    <v>1446</v>
    <v>TJ</v>
    <v>9104</v>
    <v>9105</v>
    <v>9106</v>
    <v>9107</v>
    <v>9108</v>
    <v>9094</v>
    <v>9109</v>
    <v>9110</v>
    <v>9111</v>
    <v>TJS</v>
    <v>Tajikistan, officially the Republic of Tajikistan, is a landlocked country in Central Asia. Dushanbe is the capital and most populous city. Tajikistan is bordered by Afghanistan to the south, Uzbekistan to the west, Kyrgyzstan to the north, and ...</v>
    <v>9112</v>
    <v>9113</v>
    <v>9114</v>
    <v>9115</v>
    <v>377</v>
    <v>9116</v>
    <v>9117</v>
    <v>9118</v>
    <v>9119</v>
    <v>9120</v>
    <v>9094</v>
    <v>9123</v>
    <v>9124</v>
    <v>9125</v>
    <v>7775</v>
    <v>5762</v>
    <v>Tajikistan</v>
    <v>Surudi Milli</v>
    <v>9101</v>
    <v>Ҷумҳурии Тоҷикистон</v>
    <v>9126</v>
    <v>9127</v>
    <v>9128</v>
    <v>2771</v>
    <v>4140</v>
    <v>9129</v>
    <v>3400</v>
    <v>652</v>
    <v>177</v>
    <v>4141</v>
    <v>9130</v>
    <v>9135</v>
    <v>9136</v>
    <v>5679</v>
    <v>9137</v>
    <v>9138</v>
    <v>Tajikistan</v>
    <v>9139</v>
    <v>mdp/vdpid/228</v>
  </rv>
  <rv s="1">
    <v>536870912</v>
    <v>Dodoma</v>
    <v>a336fd71-199e-7557-a105-dd368f3c8210</v>
    <v>en-US</v>
    <v>Map</v>
  </rv>
  <rv s="1">
    <v>536870912</v>
    <v>Dodoma Region</v>
    <v>a0c69226-4585-d219-ca0a-5afbe5f11768</v>
    <v>en-US</v>
    <v>Map</v>
  </rv>
  <rv s="0">
    <fb>2576</fb>
    <v>9</v>
  </rv>
  <rv s="1">
    <v>536870912</v>
    <v>Tanzania</v>
    <v>2cfae8b0-3beb-e190-7019-29edde94e3e0</v>
    <v>en-US</v>
    <v>Map</v>
  </rv>
  <rv s="2">
    <v>315</v>
    <v>7</v>
    <v>1447</v>
    <v>7</v>
    <v>0</v>
    <v>Image of Dodoma</v>
  </rv>
  <rv s="0">
    <fb>-6.1835000000000004</fb>
    <v>0</v>
  </rv>
  <rv s="1">
    <v>805306368</v>
    <v>Davis G. Mwamfupe (Mayor)</v>
    <v>ce3d08f0-472f-a987-f025-4c5a8fcb3aed</v>
    <v>en-US</v>
    <v>Generic</v>
  </rv>
  <rv s="3">
    <v>635</v>
  </rv>
  <rv s="4">
    <v>https://www.bing.com/search?q=dodoma&amp;form=skydnc</v>
    <v>Learn more on Bing</v>
  </rv>
  <rv s="0">
    <fb>35.746000000000002</fb>
    <v>0</v>
  </rv>
  <rv s="0">
    <fb>213636</fb>
    <v>9</v>
  </rv>
  <rv s="24">
    <v>#VALUE!</v>
    <v>en-US</v>
    <v>a336fd71-199e-7557-a105-dd368f3c8210</v>
    <v>536870912</v>
    <v>1</v>
    <v>1448</v>
    <v>189</v>
    <v>Dodoma</v>
    <v>5</v>
    <v>6</v>
    <v>Map</v>
    <v>7</v>
    <v>8</v>
    <v>9142</v>
    <v>9143</v>
    <v>9144</v>
    <v>Dodoma, officially Dodoma City, is the capital of Tanzania and is the administrative capital of both Dodoma Municipal Council and the entire Dodoma Region, with a population of 765,179. In 1974, the Tanzanian government announced that Tanzania's ...</v>
    <v>9145</v>
    <v>9146</v>
    <v>9148</v>
    <v>9149</v>
    <v>9150</v>
    <v>Dodoma</v>
    <v>9151</v>
    <v>Dodoma</v>
    <v>mdp/vdpid/8120161100093194241</v>
  </rv>
  <rv s="0">
    <fb>0.44761797245427898</fb>
    <v>28</v>
  </rv>
  <rv s="0">
    <fb>947303</fb>
    <v>9</v>
  </rv>
  <rv s="0">
    <fb>28000</fb>
    <v>9</v>
  </rv>
  <rv s="0">
    <fb>36.700000000000003</fb>
    <v>29</v>
  </rv>
  <rv s="0">
    <fb>255</fb>
    <v>30</v>
  </rv>
  <rv s="0">
    <fb>11972.754999999999</fb>
    <v>9</v>
  </rv>
  <rv s="0">
    <fb>187.430158933386</fb>
    <v>31</v>
  </rv>
  <rv s="0">
    <fb>3.4642805799902601E-2</fb>
    <v>28</v>
  </rv>
  <rv s="0">
    <fb>103.68331576521599</fb>
    <v>9</v>
  </rv>
  <rv s="0">
    <fb>4.8920000000000003</fb>
    <v>29</v>
  </rv>
  <rv s="0">
    <fb>0.51578234364416309</fb>
    <v>28</v>
  </rv>
  <rv s="0">
    <fb>14.380616951892099</fb>
    <v>34</v>
  </rv>
  <rv s="0">
    <fb>63177068174.549004</fb>
    <v>33</v>
  </rv>
  <rv s="0">
    <fb>0.94168689999999999</fb>
    <v>28</v>
  </rv>
  <rv s="0">
    <fb>4.0101600000000001E-2</fb>
    <v>28</v>
  </rv>
  <rv s="2">
    <v>316</v>
    <v>7</v>
    <v>1450</v>
    <v>7</v>
    <v>0</v>
    <v>Image of Tanzania</v>
  </rv>
  <rv s="1">
    <v>536870912</v>
    <v>Dar es Salaam</v>
    <v>b834f4ed-c3b3-2ad3-425b-36a4be604716</v>
    <v>en-US</v>
    <v>Map</v>
  </rv>
  <rv s="1">
    <v>805306368</v>
    <v>Samia Suluhu Hassan (President)</v>
    <v>6b384cc1-95e5-4433-9157-873daa3a373c</v>
    <v>en-US</v>
    <v>Generic</v>
  </rv>
  <rv s="1">
    <v>805306368</v>
    <v>Philip Mpango (Vice president)</v>
    <v>3cd9b87d-60cb-9a08-c0e2-b328e97d93ad</v>
    <v>en-US</v>
    <v>Generic</v>
  </rv>
  <rv s="1">
    <v>805306368</v>
    <v>Kassim Majaliwa (Prime minister)</v>
    <v>ca4e832b-6872-4827-887f-7804fb55aa9b</v>
    <v>en-US</v>
    <v>Generic</v>
  </rv>
  <rv s="1">
    <v>805306368</v>
    <v>Tulia Ackson (Speaker)</v>
    <v>6333f6f0-12c8-b433-ca13-05fbc1df9f4c</v>
    <v>en-US</v>
    <v>Generic</v>
  </rv>
  <rv s="1">
    <v>805306368</v>
    <v>Ibrahim Hamis Juma (Chief justice)</v>
    <v>a4375b50-a1f2-adb4-fcac-330d97ab622d</v>
    <v>en-US</v>
    <v>Generic</v>
  </rv>
  <rv s="3">
    <v>636</v>
  </rv>
  <rv s="4">
    <v>https://www.bing.com/search?q=tanzania&amp;form=skydnc</v>
    <v>Learn more on Bing</v>
  </rv>
  <rv s="0">
    <fb>65.015000000000001</fb>
    <v>34</v>
  </rv>
  <rv s="0">
    <fb>398100000</fb>
    <v>33</v>
  </rv>
  <rv s="0">
    <fb>524</fb>
    <v>34</v>
  </rv>
  <rv s="0">
    <fb>0.09</fb>
    <v>32</v>
  </rv>
  <rv s="0">
    <fb>0.26149116560000002</fb>
    <v>28</v>
  </rv>
  <rv s="0">
    <fb>1.4E-2</fb>
    <v>29</v>
  </rv>
  <rv s="0">
    <fb>65497748</fb>
    <v>9</v>
  </rv>
  <rv s="0">
    <fb>0.33100000000000002</fb>
    <v>28</v>
  </rv>
  <rv s="0">
    <fb>0.48100000000000004</fb>
    <v>28</v>
  </rv>
  <rv s="0">
    <fb>0.83412002563476606</fb>
    <v>28</v>
  </rv>
  <rv s="1">
    <v>536870912</v>
    <v>Mwanza Region</v>
    <v>ec2e6314-6cef-8a10-b982-2fbaaf1a017e</v>
    <v>en-US</v>
    <v>Map</v>
  </rv>
  <rv s="1">
    <v>536870912</v>
    <v>Shinyanga Region</v>
    <v>f2b7fd6a-99f7-2f79-c7aa-6e1397cbc1a8</v>
    <v>en-US</v>
    <v>Map</v>
  </rv>
  <rv s="1">
    <v>536870912</v>
    <v>Mbeya Region</v>
    <v>2d39fadc-63bd-f295-bda7-9b1e11d4a090</v>
    <v>en-US</v>
    <v>Map</v>
  </rv>
  <rv s="1">
    <v>536870912</v>
    <v>Kagera Region</v>
    <v>f6b40bb1-6ddd-835d-a3f6-42f3a77dba9c</v>
    <v>en-US</v>
    <v>Map</v>
  </rv>
  <rv s="1">
    <v>536870912</v>
    <v>Morogoro Region</v>
    <v>fc248d0b-dc71-3a6a-253c-d84620965fd9</v>
    <v>en-US</v>
    <v>Map</v>
  </rv>
  <rv s="1">
    <v>536870912</v>
    <v>Tabora Region</v>
    <v>f1191b0b-d64f-70ed-fdd9-8ee299abc6a4</v>
    <v>en-US</v>
    <v>Map</v>
  </rv>
  <rv s="1">
    <v>536870912</v>
    <v>Kigoma Region</v>
    <v>772391a8-053e-b6f7-1829-83eb4d7f39ce</v>
    <v>en-US</v>
    <v>Map</v>
  </rv>
  <rv s="1">
    <v>536870912</v>
    <v>Tanga Region</v>
    <v>1fef9e91-2513-1195-7f2f-6059265d3666</v>
    <v>en-US</v>
    <v>Map</v>
  </rv>
  <rv s="1">
    <v>536870912</v>
    <v>Iringa Region</v>
    <v>82e4024e-18b6-a78f-da02-b2a5037bf8c0</v>
    <v>en-US</v>
    <v>Map</v>
  </rv>
  <rv s="1">
    <v>536870912</v>
    <v>Kilimanjaro Region</v>
    <v>168bcb72-e533-737f-4a74-1df855f5ddda</v>
    <v>en-US</v>
    <v>Map</v>
  </rv>
  <rv s="1">
    <v>536870912</v>
    <v>Mara Region</v>
    <v>0d6d1da3-377f-d527-b2de-99c8d3bd3d90</v>
    <v>en-US</v>
    <v>Map</v>
  </rv>
  <rv s="1">
    <v>536870912</v>
    <v>Arusha Region</v>
    <v>b5140e27-5025-b787-5e88-bfafdcc9257b</v>
    <v>en-US</v>
    <v>Map</v>
  </rv>
  <rv s="1">
    <v>536870912</v>
    <v>Mtwara Region</v>
    <v>b7cec449-e82a-b80a-0b74-347ee94b38a2</v>
    <v>en-US</v>
    <v>Map</v>
  </rv>
  <rv s="1">
    <v>536870912</v>
    <v>Rukwa Region</v>
    <v>376fec36-dc3b-6fb1-658b-e802572a5489</v>
    <v>en-US</v>
    <v>Map</v>
  </rv>
  <rv s="1">
    <v>536870912</v>
    <v>Ruvuma Region</v>
    <v>65c1ab97-2a74-df72-b6ed-472d8fcce87f</v>
    <v>en-US</v>
    <v>Map</v>
  </rv>
  <rv s="1">
    <v>536870912</v>
    <v>Singida Region</v>
    <v>a041d593-5d01-635f-a887-cad871c68414</v>
    <v>en-US</v>
    <v>Map</v>
  </rv>
  <rv s="1">
    <v>536870912</v>
    <v>Manyara Region</v>
    <v>93ad7d87-c70f-8ef4-11fb-f8cff9072ef8</v>
    <v>en-US</v>
    <v>Map</v>
  </rv>
  <rv s="1">
    <v>536870912</v>
    <v>Pwani Region</v>
    <v>26dceea1-a7ec-d06e-1077-5ea05d2de430</v>
    <v>en-US</v>
    <v>Map</v>
  </rv>
  <rv s="1">
    <v>536870912</v>
    <v>Lindi Region</v>
    <v>299d4016-ec73-670e-97f8-e0fad8e478d9</v>
    <v>en-US</v>
    <v>Map</v>
  </rv>
  <rv s="1">
    <v>536870912</v>
    <v>Mjini Magharibi Region</v>
    <v>dcb0c0e8-876e-a8b3-ac55-94367b8f989e</v>
    <v>en-US</v>
    <v>Map</v>
  </rv>
  <rv s="1">
    <v>536870912</v>
    <v>Pemba North Region</v>
    <v>e83560b5-5570-c857-9222-f6275b015547</v>
    <v>en-US</v>
    <v>Map</v>
  </rv>
  <rv s="1">
    <v>536870912</v>
    <v>Pemba South Region</v>
    <v>3338a3f5-8675-a33d-e4b9-fb8690efad5b</v>
    <v>en-US</v>
    <v>Map</v>
  </rv>
  <rv s="1">
    <v>536870912</v>
    <v>Unguja North Region</v>
    <v>4e562235-0f03-e397-29a8-082cdc878cb4</v>
    <v>en-US</v>
    <v>Map</v>
  </rv>
  <rv s="1">
    <v>536870912</v>
    <v>Unguja South Region</v>
    <v>76dc29ae-c776-8ec0-bac8-13ca3679abaf</v>
    <v>en-US</v>
    <v>Map</v>
  </rv>
  <rv s="1">
    <v>536870912</v>
    <v>Shinyanga</v>
    <v>1f0b07cc-f91b-58a2-a210-059f7748447c</v>
    <v>en-US</v>
    <v>Map</v>
  </rv>
  <rv s="1">
    <v>536870912</v>
    <v>Mtwara</v>
    <v>c11015b5-6645-4786-92fb-4a43c02a085e</v>
    <v>en-US</v>
    <v>Map</v>
  </rv>
  <rv s="1">
    <v>536870912</v>
    <v>Kigoma</v>
    <v>2f16d18e-900a-fc65-8d7f-087532557891</v>
    <v>en-US</v>
    <v>Map</v>
  </rv>
  <rv s="1">
    <v>536870912</v>
    <v>Mbeya</v>
    <v>6752258a-0d25-b0ae-749d-2d4a9f23777b</v>
    <v>en-US</v>
    <v>Map</v>
  </rv>
  <rv s="1">
    <v>536870912</v>
    <v>Tabora</v>
    <v>672b4ec3-4660-4c01-5c78-8fd2c9110708</v>
    <v>en-US</v>
    <v>Map</v>
  </rv>
  <rv s="1">
    <v>536870912</v>
    <v>Mount Kilimanjaro</v>
    <v>f779243d-3398-eb70-55dc-f1f1a7322a0a</v>
    <v>en-US</v>
    <v>Map</v>
  </rv>
  <rv s="1">
    <v>536870912</v>
    <v>Morogoro</v>
    <v>bf80e9e4-63bb-8ca1-9944-a54ad2d47a07</v>
    <v>en-US</v>
    <v>Map</v>
  </rv>
  <rv s="1">
    <v>536870912</v>
    <v>Iringa</v>
    <v>b1ffddc1-5953-3662-b42e-6b3b38ab3211</v>
    <v>en-US</v>
    <v>Map</v>
  </rv>
  <rv s="1">
    <v>536870912</v>
    <v>Lindi</v>
    <v>cbba6bd3-1586-9e1f-f97f-69ef9c0d3413</v>
    <v>en-US</v>
    <v>Map</v>
  </rv>
  <rv s="1">
    <v>536870912</v>
    <v>Mwanza</v>
    <v>de8238d2-9d8a-335d-9806-653fdc5628b9</v>
    <v>en-US</v>
    <v>Map</v>
  </rv>
  <rv s="3">
    <v>637</v>
  </rv>
  <rv s="0">
    <fb>0.11493954613651799</fb>
    <v>28</v>
  </rv>
  <rv s="0">
    <fb>0.43799999999999994</fb>
    <v>28</v>
  </rv>
  <rv s="0">
    <fb>1.9800000190734902E-2</fb>
    <v>35</v>
  </rv>
  <rv s="0">
    <fb>20011885</fb>
    <v>9</v>
  </rv>
  <rv s="9">
    <v>#VALUE!</v>
    <v>en-US</v>
    <v>2cfae8b0-3beb-e190-7019-29edde94e3e0</v>
    <v>536870912</v>
    <v>1</v>
    <v>1453</v>
    <v>55</v>
    <v>Tanzania</v>
    <v>5</v>
    <v>6</v>
    <v>Map</v>
    <v>7</v>
    <v>1454</v>
    <v>TZ</v>
    <v>9153</v>
    <v>9154</v>
    <v>9155</v>
    <v>9156</v>
    <v>9157</v>
    <v>9141</v>
    <v>9158</v>
    <v>9159</v>
    <v>9160</v>
    <v>TZS</v>
    <v>Tanzania, officially the United Republic of Tanzania, is a country in East Africa within the African Great Lakes region. It is bordered by Uganda to the northwest; Kenya to the northeast; the Indian Ocean to the east; Mozambique and Malawi to ...</v>
    <v>9161</v>
    <v>9162</v>
    <v>9163</v>
    <v>9164</v>
    <v>2256</v>
    <v>9165</v>
    <v>9166</v>
    <v>9167</v>
    <v>9168</v>
    <v>5108</v>
    <v>9169</v>
    <v>9175</v>
    <v>9176</v>
    <v>9177</v>
    <v>9178</v>
    <v>9179</v>
    <v>9180</v>
    <v>Tanzania</v>
    <v>Mungu ibariki Afrika</v>
    <v>5013</v>
    <v>République unie de Tanzanie</v>
    <v>9181</v>
    <v>9182</v>
    <v>9183</v>
    <v>382</v>
    <v>9184</v>
    <v>9185</v>
    <v>1417</v>
    <v>1753</v>
    <v>4508</v>
    <v>1112</v>
    <v>9186</v>
    <v>9221</v>
    <v>9222</v>
    <v>3346</v>
    <v>9223</v>
    <v>9224</v>
    <v>Tanzania</v>
    <v>9225</v>
    <v>mdp/vdpid/239</v>
  </rv>
  <rv s="1">
    <v>536870912</v>
    <v>Bangkok</v>
    <v>651e796f-a780-c032-4e9c-23e5f5fe5854</v>
    <v>en-US</v>
    <v>Map</v>
  </rv>
  <rv s="0">
    <fb>1568.7370000000001</fb>
    <v>9</v>
  </rv>
  <rv s="1">
    <v>536870912</v>
    <v>Thailand</v>
    <v>588bd4b9-e440-b7eb-2cab-2a54c0458548</v>
    <v>en-US</v>
    <v>Map</v>
  </rv>
  <rv s="2">
    <v>317</v>
    <v>7</v>
    <v>1455</v>
    <v>7</v>
    <v>0</v>
    <v>Image of Bangkok</v>
  </rv>
  <rv s="1">
    <v>805306368</v>
    <v>Chadchart Sittipunt (Governor)</v>
    <v>9b3be4b3-dbc7-ce88-9c4a-e62414c3a14b</v>
    <v>en-US</v>
    <v>Generic</v>
  </rv>
  <rv s="3">
    <v>638</v>
  </rv>
  <rv s="4">
    <v>https://www.bing.com/search?q=bangkok+thailand&amp;form=skydnc</v>
    <v>Learn more on Bing</v>
  </rv>
  <rv s="0">
    <fb>5676648</fb>
    <v>9</v>
  </rv>
  <rv s="99">
    <v>#VALUE!</v>
    <v>en-US</v>
    <v>651e796f-a780-c032-4e9c-23e5f5fe5854</v>
    <v>536870912</v>
    <v>1</v>
    <v>1457</v>
    <v>350</v>
    <v>Bangkok</v>
    <v>5</v>
    <v>6</v>
    <v>Map</v>
    <v>7</v>
    <v>442</v>
    <v>TH-10</v>
    <v>9228</v>
    <v>Thailand</v>
    <v>9229</v>
    <v>Bangkok, officially known in Thai as Krung Thep Maha Nakhon and colloquially as Krung Thep, is the capital and most populous city of Thailand. The city occupies 1,568.7 square kilometres in the Chao Phraya River delta in central Thailand and has ...</v>
    <v>9230</v>
    <v>9232</v>
    <v>9233</v>
    <v>Bangkok</v>
    <v>9234</v>
    <v>Bangkok</v>
    <v>mdp/vdpid/7862880221702127623</v>
  </rv>
  <rv s="0">
    <fb>0.43277417839456594</fb>
    <v>28</v>
  </rv>
  <rv s="0">
    <fb>513119.5</fb>
    <v>9</v>
  </rv>
  <rv s="0">
    <fb>455000</fb>
    <v>9</v>
  </rv>
  <rv s="0">
    <fb>10.343999999999999</fb>
    <v>29</v>
  </rv>
  <rv s="0">
    <fb>66</fb>
    <v>30</v>
  </rv>
  <rv s="0">
    <fb>283763.46100000001</fb>
    <v>9</v>
  </rv>
  <rv s="0">
    <fb>113.265649996346</fb>
    <v>31</v>
  </rv>
  <rv s="0">
    <fb>7.0672860131430508E-3</fb>
    <v>28</v>
  </rv>
  <rv s="0">
    <fb>2538.79638035364</fb>
    <v>9</v>
  </rv>
  <rv s="0">
    <fb>1.5249999999999999</fb>
    <v>29</v>
  </rv>
  <rv s="0">
    <fb>0.32157607312728798</fb>
    <v>28</v>
  </rv>
  <rv s="0">
    <fb>79.839022650550007</fb>
    <v>34</v>
  </rv>
  <rv s="0">
    <fb>543649976165.63</fb>
    <v>33</v>
  </rv>
  <rv s="0">
    <fb>0.99774360000000006</fb>
    <v>28</v>
  </rv>
  <rv s="0">
    <fb>0.49286810000000003</fb>
    <v>28</v>
  </rv>
  <rv s="2">
    <v>318</v>
    <v>7</v>
    <v>1459</v>
    <v>7</v>
    <v>0</v>
    <v>Image of Thailand</v>
  </rv>
  <rv s="1">
    <v>805306368</v>
    <v>Vajiralongkorn (Monarch)</v>
    <v>838f8fba-7ce1-3cb6-caf3-eadcdd6d67c4</v>
    <v>en-US</v>
    <v>Generic</v>
  </rv>
  <rv s="1">
    <v>805306368</v>
    <v>Paetongtarn Shinawatra (Prime minister)</v>
    <v>7c878d55-b66f-2d85-2ab2-d860b0bd0e36</v>
    <v>en-US</v>
    <v>Generic</v>
  </rv>
  <rv s="3">
    <v>639</v>
  </rv>
  <rv s="4">
    <v>https://www.bing.com/search?q=thailand&amp;form=skydnc</v>
    <v>Learn more on Bing</v>
  </rv>
  <rv s="0">
    <fb>76.930999999999997</fb>
    <v>34</v>
  </rv>
  <rv s="0">
    <fb>569228320000</fb>
    <v>33</v>
  </rv>
  <rv s="3">
    <v>640</v>
  </rv>
  <rv s="0">
    <fb>0.11765354909999999</fb>
    <v>28</v>
  </rv>
  <rv s="0">
    <fb>0.80500000000000005</fb>
    <v>29</v>
  </rv>
  <rv s="0">
    <fb>71697030</fb>
    <v>9</v>
  </rv>
  <rv s="0">
    <fb>0.28100000000000003</fb>
    <v>28</v>
  </rv>
  <rv s="0">
    <fb>0.67325996398925791</fb>
    <v>28</v>
  </rv>
  <rv s="1">
    <v>536870912</v>
    <v>Chiang Mai province</v>
    <v>ec21839a-048d-d7f2-68f9-73688da0c93d</v>
    <v>en-US</v>
    <v>Map</v>
  </rv>
  <rv s="1">
    <v>536870912</v>
    <v>Chiang Rai province</v>
    <v>773cf086-b01f-6641-3201-e1cb9355ccf9</v>
    <v>en-US</v>
    <v>Map</v>
  </rv>
  <rv s="1">
    <v>536870912</v>
    <v>Lampang province</v>
    <v>ea3b275a-ae62-b46c-be21-4f66c21cf992</v>
    <v>en-US</v>
    <v>Map</v>
  </rv>
  <rv s="1">
    <v>536870912</v>
    <v>Lamphun province</v>
    <v>d37b9cb6-896b-23c8-17ae-5cd391241ada</v>
    <v>en-US</v>
    <v>Map</v>
  </rv>
  <rv s="1">
    <v>536870912</v>
    <v>Mae Hong Son province</v>
    <v>220094e8-a250-8e9a-0ae9-19272c634f8b</v>
    <v>en-US</v>
    <v>Map</v>
  </rv>
  <rv s="1">
    <v>536870912</v>
    <v>Nan province</v>
    <v>c2231910-8e0c-3f11-ee64-9812ca91010f</v>
    <v>en-US</v>
    <v>Map</v>
  </rv>
  <rv s="1">
    <v>536870912</v>
    <v>Phayao province</v>
    <v>58fbb830-cd58-6852-5600-332a50023b7d</v>
    <v>en-US</v>
    <v>Map</v>
  </rv>
  <rv s="1">
    <v>536870912</v>
    <v>Phrae province</v>
    <v>1c56ac66-0095-e89e-3205-89e7e4a9078c</v>
    <v>en-US</v>
    <v>Map</v>
  </rv>
  <rv s="1">
    <v>536870912</v>
    <v>Uttaradit province</v>
    <v>7afa7c5a-244d-03f0-7fc4-689f94788bdb</v>
    <v>en-US</v>
    <v>Map</v>
  </rv>
  <rv s="1">
    <v>536870912</v>
    <v>Kanchanaburi province</v>
    <v>78829daf-4fa5-5c2d-9f10-4da1ebbb7b07</v>
    <v>en-US</v>
    <v>Map</v>
  </rv>
  <rv s="1">
    <v>536870912</v>
    <v>Phetchaburi province</v>
    <v>24d7d851-f000-498e-4b14-950395383091</v>
    <v>en-US</v>
    <v>Map</v>
  </rv>
  <rv s="1">
    <v>536870912</v>
    <v>Prachuap Khiri Khan province</v>
    <v>f02632b4-4ca3-476d-b8ca-6d6eeca727b5</v>
    <v>en-US</v>
    <v>Map</v>
  </rv>
  <rv s="1">
    <v>536870912</v>
    <v>Ratchaburi province</v>
    <v>9106e633-4925-4a04-b58f-0ed8024ae947</v>
    <v>en-US</v>
    <v>Map</v>
  </rv>
  <rv s="1">
    <v>536870912</v>
    <v>Tak province</v>
    <v>243b2c7d-8668-e11f-6500-7bf8544652a1</v>
    <v>en-US</v>
    <v>Map</v>
  </rv>
  <rv s="1">
    <v>536870912</v>
    <v>Amnat Charoen province</v>
    <v>a3e2255c-2d4c-6a39-ee14-acb4b82794da</v>
    <v>en-US</v>
    <v>Map</v>
  </rv>
  <rv s="1">
    <v>536870912</v>
    <v>Buriram province</v>
    <v>286bf73d-595c-88a0-198d-d63ade1a7db0</v>
    <v>en-US</v>
    <v>Map</v>
  </rv>
  <rv s="1">
    <v>536870912</v>
    <v>Chaiyaphum province</v>
    <v>95db73b8-fa30-ad09-16f1-ce5277ecdcc7</v>
    <v>en-US</v>
    <v>Map</v>
  </rv>
  <rv s="1">
    <v>536870912</v>
    <v>Kalasin province</v>
    <v>a8164165-4567-027a-d2ff-7bb056e870e8</v>
    <v>en-US</v>
    <v>Map</v>
  </rv>
  <rv s="1">
    <v>536870912</v>
    <v>Khon Kaen province</v>
    <v>e2d66065-6e59-a164-1343-8f12f640920b</v>
    <v>en-US</v>
    <v>Map</v>
  </rv>
  <rv s="1">
    <v>536870912</v>
    <v>Loei province</v>
    <v>e58d9875-c305-ee1f-05ef-1fdf818e52db</v>
    <v>en-US</v>
    <v>Map</v>
  </rv>
  <rv s="1">
    <v>536870912</v>
    <v>Maha Sarakham province</v>
    <v>ed8e7a88-5ca7-1c3c-095f-53c3c392ca36</v>
    <v>en-US</v>
    <v>Map</v>
  </rv>
  <rv s="1">
    <v>536870912</v>
    <v>Mukdahan province</v>
    <v>183e95bf-ae60-ffc8-cd43-8bd722ea5cad</v>
    <v>en-US</v>
    <v>Map</v>
  </rv>
  <rv s="1">
    <v>536870912</v>
    <v>Nakhon Phanom province</v>
    <v>b431d58e-d6c9-cf67-b191-473f5b3d1e8d</v>
    <v>en-US</v>
    <v>Map</v>
  </rv>
  <rv s="1">
    <v>536870912</v>
    <v>Nakhon Ratchasima province</v>
    <v>7ce7803a-8dd0-1cde-8139-69ebef62dfa9</v>
    <v>en-US</v>
    <v>Map</v>
  </rv>
  <rv s="1">
    <v>536870912</v>
    <v>Nong Bua Lamphu province</v>
    <v>f506fb74-64c3-e442-eb93-23f39d769940</v>
    <v>en-US</v>
    <v>Map</v>
  </rv>
  <rv s="1">
    <v>536870912</v>
    <v>Nong Khai province</v>
    <v>8c153c99-d1d5-8939-8e38-a4771dab046e</v>
    <v>en-US</v>
    <v>Map</v>
  </rv>
  <rv s="1">
    <v>536870912</v>
    <v>Roi Et province</v>
    <v>85d9a1b9-72b1-8c2d-c8ae-a1a4ebeabff1</v>
    <v>en-US</v>
    <v>Map</v>
  </rv>
  <rv s="1">
    <v>536870912</v>
    <v>Sakon Nakhon province</v>
    <v>643c56ea-b791-7a7b-1715-4fb369e4828b</v>
    <v>en-US</v>
    <v>Map</v>
  </rv>
  <rv s="1">
    <v>536870912</v>
    <v>Sisaket province</v>
    <v>efff8ff8-a9e2-ff41-f162-5fe167bc2f68</v>
    <v>en-US</v>
    <v>Map</v>
  </rv>
  <rv s="1">
    <v>536870912</v>
    <v>Surin province</v>
    <v>bcfc86b1-45fe-cae6-e72b-124be7c0ec4c</v>
    <v>en-US</v>
    <v>Map</v>
  </rv>
  <rv s="1">
    <v>536870912</v>
    <v>Ubon Ratchathani province</v>
    <v>9799346e-1d7b-454c-1596-f7cfec285b4f</v>
    <v>en-US</v>
    <v>Map</v>
  </rv>
  <rv s="1">
    <v>536870912</v>
    <v>Udon Thani province</v>
    <v>f98afd3c-06df-6455-f66f-2905e60856a2</v>
    <v>en-US</v>
    <v>Map</v>
  </rv>
  <rv s="1">
    <v>536870912</v>
    <v>Yasothon province</v>
    <v>b691e27e-bdb8-cf25-87ee-76541e6804e2</v>
    <v>en-US</v>
    <v>Map</v>
  </rv>
  <rv s="1">
    <v>536870912</v>
    <v>Bueng Kan province</v>
    <v>a4160bb6-525a-4048-8b1c-f189304eeb89</v>
    <v>en-US</v>
    <v>Map</v>
  </rv>
  <rv s="1">
    <v>536870912</v>
    <v>Ang Thong province</v>
    <v>3b530508-becc-3215-2c96-0b9e1b51f154</v>
    <v>en-US</v>
    <v>Map</v>
  </rv>
  <rv s="1">
    <v>536870912</v>
    <v>Phra Nakhon Si Ayutthaya province</v>
    <v>578e9ec0-ecf1-f532-a8a1-18a5e9597ac1</v>
    <v>en-US</v>
    <v>Map</v>
  </rv>
  <rv s="1">
    <v>536870912</v>
    <v>Chai Nat province</v>
    <v>2ce7514f-a8ea-6fa8-4dd1-da4225bd72b8</v>
    <v>en-US</v>
    <v>Map</v>
  </rv>
  <rv s="1">
    <v>536870912</v>
    <v>Kamphaeng Phet province</v>
    <v>b90a4bac-0833-3612-3e23-e8e94bc63851</v>
    <v>en-US</v>
    <v>Map</v>
  </rv>
  <rv s="1">
    <v>536870912</v>
    <v>Lopburi province</v>
    <v>ceae64d6-76e9-5c56-fff7-00643272f340</v>
    <v>en-US</v>
    <v>Map</v>
  </rv>
  <rv s="1">
    <v>536870912</v>
    <v>Nakhon Nayok province</v>
    <v>c79375e7-7f58-a4e5-8d37-2d475d0b3ade</v>
    <v>en-US</v>
    <v>Map</v>
  </rv>
  <rv s="1">
    <v>536870912</v>
    <v>Nakhon Pathom province</v>
    <v>e0d61a62-637b-f7a9-232d-82400c4c113b</v>
    <v>en-US</v>
    <v>Map</v>
  </rv>
  <rv s="1">
    <v>536870912</v>
    <v>Nakhon Sawan province</v>
    <v>8d29908e-40c6-7b33-244d-14818fc17c76</v>
    <v>en-US</v>
    <v>Map</v>
  </rv>
  <rv s="1">
    <v>536870912</v>
    <v>Nonthaburi province</v>
    <v>38a59c88-5429-4d6c-b137-db4bef343bae</v>
    <v>en-US</v>
    <v>Map</v>
  </rv>
  <rv s="1">
    <v>536870912</v>
    <v>Pathum Thani province</v>
    <v>a4631966-30fd-7622-899c-11205340b931</v>
    <v>en-US</v>
    <v>Map</v>
  </rv>
  <rv s="1">
    <v>536870912</v>
    <v>Phetchabun province</v>
    <v>96583f01-5ecf-e761-123a-bbd7a098a0af</v>
    <v>en-US</v>
    <v>Map</v>
  </rv>
  <rv s="1">
    <v>536870912</v>
    <v>Phichit province</v>
    <v>1df4e6ac-5ca1-5d05-bdf2-8f2a41a56be6</v>
    <v>en-US</v>
    <v>Map</v>
  </rv>
  <rv s="1">
    <v>536870912</v>
    <v>Phitsanulok province</v>
    <v>99f5afe8-6528-aa85-8e99-e1d4b74eecb9</v>
    <v>en-US</v>
    <v>Map</v>
  </rv>
  <rv s="1">
    <v>536870912</v>
    <v>Sukhothai province</v>
    <v>0a6402e0-1579-efc4-94ee-731b92d86d30</v>
    <v>en-US</v>
    <v>Map</v>
  </rv>
  <rv s="1">
    <v>536870912</v>
    <v>Samut Prakan province</v>
    <v>4fca47ef-6db5-529c-d8cc-7233dae78274</v>
    <v>en-US</v>
    <v>Map</v>
  </rv>
  <rv s="1">
    <v>536870912</v>
    <v>Samut Sakhon province</v>
    <v>e980786c-cdbc-c326-bccd-3ef129d64795</v>
    <v>en-US</v>
    <v>Map</v>
  </rv>
  <rv s="1">
    <v>536870912</v>
    <v>Samut Songkhram province</v>
    <v>6981b8c3-86e5-2eb3-b5b0-dca3df5b623d</v>
    <v>en-US</v>
    <v>Map</v>
  </rv>
  <rv s="1">
    <v>536870912</v>
    <v>Saraburi province</v>
    <v>fc7f8d5c-4c87-0cc6-10a0-48e2cb2cbf12</v>
    <v>en-US</v>
    <v>Map</v>
  </rv>
  <rv s="1">
    <v>536870912</v>
    <v>Sing Buri province</v>
    <v>6130b71a-93d5-381b-8994-6c662c98368f</v>
    <v>en-US</v>
    <v>Map</v>
  </rv>
  <rv s="1">
    <v>536870912</v>
    <v>Suphan Buri province</v>
    <v>128d66e6-6c6c-7b30-fcd2-4a52c17fba2f</v>
    <v>en-US</v>
    <v>Map</v>
  </rv>
  <rv s="1">
    <v>536870912</v>
    <v>Uthai Thani province</v>
    <v>b43cdfd9-80ff-1611-dc6e-e1252fbdc043</v>
    <v>en-US</v>
    <v>Map</v>
  </rv>
  <rv s="1">
    <v>536870912</v>
    <v>Chachoengsao province</v>
    <v>65d6edef-7834-54a9-e3dd-9960101fd398</v>
    <v>en-US</v>
    <v>Map</v>
  </rv>
  <rv s="1">
    <v>536870912</v>
    <v>Chanthaburi province</v>
    <v>7e320113-f3bc-a68a-e3e2-32a306211183</v>
    <v>en-US</v>
    <v>Map</v>
  </rv>
  <rv s="1">
    <v>536870912</v>
    <v>Chonburi province</v>
    <v>51facd2e-84fc-996e-b57b-f36d2fd58e2f</v>
    <v>en-US</v>
    <v>Map</v>
  </rv>
  <rv s="1">
    <v>536870912</v>
    <v>Prachinburi province</v>
    <v>014a3f63-d8f1-79a4-bc41-df01b86d6dc0</v>
    <v>en-US</v>
    <v>Map</v>
  </rv>
  <rv s="1">
    <v>536870912</v>
    <v>Rayong province</v>
    <v>e967d008-0fd5-839d-5f76-1239ea9a3d78</v>
    <v>en-US</v>
    <v>Map</v>
  </rv>
  <rv s="1">
    <v>536870912</v>
    <v>Sa Kaeo province</v>
    <v>8822c0d1-49f1-ef37-2d74-4236bdae7db2</v>
    <v>en-US</v>
    <v>Map</v>
  </rv>
  <rv s="1">
    <v>536870912</v>
    <v>Trat province</v>
    <v>9a550417-ad10-bbc6-94db-81ea617698ac</v>
    <v>en-US</v>
    <v>Map</v>
  </rv>
  <rv s="1">
    <v>536870912</v>
    <v>Chumphon province</v>
    <v>f41d048f-3362-a5c8-e21b-0a64c129467e</v>
    <v>en-US</v>
    <v>Map</v>
  </rv>
  <rv s="1">
    <v>536870912</v>
    <v>Krabi province</v>
    <v>4cd9acbf-b437-bb27-ea9a-d3d74997c2ad</v>
    <v>en-US</v>
    <v>Map</v>
  </rv>
  <rv s="1">
    <v>536870912</v>
    <v>Nakhon Si Thammarat province</v>
    <v>bd31e26b-e9fb-5bfb-a24d-f97a2010852d</v>
    <v>en-US</v>
    <v>Map</v>
  </rv>
  <rv s="1">
    <v>536870912</v>
    <v>Narathiwat province</v>
    <v>920b263b-f271-938d-3446-028731fe8698</v>
    <v>en-US</v>
    <v>Map</v>
  </rv>
  <rv s="1">
    <v>536870912</v>
    <v>Pattani province</v>
    <v>19227138-e1ac-2ebe-45af-dec9111e9931</v>
    <v>en-US</v>
    <v>Map</v>
  </rv>
  <rv s="1">
    <v>536870912</v>
    <v>Phang Nga province</v>
    <v>e6a34126-0490-3447-3fb6-fdd8bf0b7afe</v>
    <v>en-US</v>
    <v>Map</v>
  </rv>
  <rv s="1">
    <v>536870912</v>
    <v>Phatthalung province</v>
    <v>b443801d-894b-7e2b-fe41-182a7f70dabd</v>
    <v>en-US</v>
    <v>Map</v>
  </rv>
  <rv s="1">
    <v>536870912</v>
    <v>Ranong province</v>
    <v>fbdf6111-bf54-12d4-c6d1-95590b109932</v>
    <v>en-US</v>
    <v>Map</v>
  </rv>
  <rv s="1">
    <v>536870912</v>
    <v>Satun province</v>
    <v>514729e9-3ba9-13c3-90e2-2b9fc1e5562f</v>
    <v>en-US</v>
    <v>Map</v>
  </rv>
  <rv s="1">
    <v>536870912</v>
    <v>Songkhla province</v>
    <v>0e2aa654-5226-84b6-807e-5786195cb93c</v>
    <v>en-US</v>
    <v>Map</v>
  </rv>
  <rv s="1">
    <v>536870912</v>
    <v>Surat Thani province</v>
    <v>e9f26cf5-c566-940d-61f7-5ce884ac07f3</v>
    <v>en-US</v>
    <v>Map</v>
  </rv>
  <rv s="1">
    <v>536870912</v>
    <v>Trang province</v>
    <v>674457b4-7466-8dd8-d488-e2285a57a9a8</v>
    <v>en-US</v>
    <v>Map</v>
  </rv>
  <rv s="1">
    <v>536870912</v>
    <v>Yala province</v>
    <v>e1a596b2-50dd-aa13-03aa-db9fe1a505e3</v>
    <v>en-US</v>
    <v>Map</v>
  </rv>
  <rv s="3">
    <v>641</v>
  </rv>
  <rv s="0">
    <fb>0.14927746956191601</fb>
    <v>28</v>
  </rv>
  <rv s="3">
    <v>642</v>
  </rv>
  <rv s="0">
    <fb>0.29499999999999998</fb>
    <v>28</v>
  </rv>
  <rv s="0">
    <fb>7.5400000810623199E-3</fb>
    <v>35</v>
  </rv>
  <rv s="0">
    <fb>35294600</fb>
    <v>9</v>
  </rv>
  <rv s="9">
    <v>#VALUE!</v>
    <v>en-US</v>
    <v>588bd4b9-e440-b7eb-2cab-2a54c0458548</v>
    <v>536870912</v>
    <v>1</v>
    <v>1462</v>
    <v>55</v>
    <v>Thailand</v>
    <v>5</v>
    <v>6</v>
    <v>Map</v>
    <v>7</v>
    <v>1463</v>
    <v>TH</v>
    <v>9236</v>
    <v>9237</v>
    <v>9238</v>
    <v>9239</v>
    <v>9240</v>
    <v>9227</v>
    <v>9241</v>
    <v>9242</v>
    <v>9243</v>
    <v>THB</v>
    <v>Thailand, officially the Kingdom of Thailand and historically known as Siam, is a country in Southeast Asia on the Indochinese Peninsula. With a population of almost 66 million, it spans 513,115 square kilometres. Thailand is bordered to the ...</v>
    <v>9244</v>
    <v>9245</v>
    <v>9246</v>
    <v>9247</v>
    <v>377</v>
    <v>9248</v>
    <v>9249</v>
    <v>9250</v>
    <v>9251</v>
    <v>160</v>
    <v>9227</v>
    <v>9254</v>
    <v>9255</v>
    <v>9256</v>
    <v>9257</v>
    <v>3132</v>
    <v>4842</v>
    <v>Thailand</v>
    <v>Thai National Anthem</v>
    <v>9258</v>
    <v>ราชอาณาจักรไทย</v>
    <v>9259</v>
    <v>9260</v>
    <v>9261</v>
    <v>2261</v>
    <v>9262</v>
    <v>5827</v>
    <v>3400</v>
    <v>5266</v>
    <v>1474</v>
    <v>1289</v>
    <v>9263</v>
    <v>9339</v>
    <v>9340</v>
    <v>9341</v>
    <v>9342</v>
    <v>9343</v>
    <v>Thailand</v>
    <v>9344</v>
    <v>mdp/vdpid/227</v>
  </rv>
  <rv s="1">
    <v>536870912</v>
    <v>Dili</v>
    <v>091444b0-479a-a19a-167f-0a3384d30665</v>
    <v>en-US</v>
    <v>Map</v>
  </rv>
  <rv s="1">
    <v>536870912</v>
    <v>Dili Municipality</v>
    <v>f6ca6375-7f20-815a-abda-c5868c79347b</v>
    <v>en-US</v>
    <v>Map</v>
  </rv>
  <rv s="0">
    <fb>178.62</fb>
    <v>9</v>
  </rv>
  <rv s="1">
    <v>536870912</v>
    <v>Timor-Leste</v>
    <v>1e2467c7-89e1-4456-ac96-dc08b31d61cb</v>
    <v>en-US</v>
    <v>Map</v>
  </rv>
  <rv s="2">
    <v>319</v>
    <v>7</v>
    <v>1464</v>
    <v>7</v>
    <v>0</v>
    <v>Image of Dili</v>
  </rv>
  <rv s="0">
    <fb>-8.5536111111111097</fb>
    <v>0</v>
  </rv>
  <rv s="4">
    <v>https://www.bing.com/search?q=dili&amp;form=skydnc</v>
    <v>Learn more on Bing</v>
  </rv>
  <rv s="0">
    <fb>125.57833333333301</fb>
    <v>0</v>
  </rv>
  <rv s="0">
    <fb>277488</fb>
    <v>9</v>
  </rv>
  <rv s="17">
    <v>#VALUE!</v>
    <v>en-US</v>
    <v>091444b0-479a-a19a-167f-0a3384d30665</v>
    <v>536870912</v>
    <v>1</v>
    <v>1465</v>
    <v>110</v>
    <v>Dili</v>
    <v>5</v>
    <v>6</v>
    <v>Map</v>
    <v>7</v>
    <v>111</v>
    <v>9347</v>
    <v>9348</v>
    <v>9349</v>
    <v>Dili is the capital and largest city of Timor-Leste. It lies on the northern coast of the island of Timor, in a small area of flat land hemmed in by mountains. The climate is tropical, with distinct wet and dry seasons. The city has served as ...</v>
    <v>9350</v>
    <v>9351</v>
    <v>9352</v>
    <v>9353</v>
    <v>Dili</v>
    <v>9354</v>
    <v>7257</v>
    <v>Dili</v>
    <v>mdp/vdpid/8697727615215075329</v>
  </rv>
  <rv s="0">
    <fb>0.25554808338937501</fb>
    <v>28</v>
  </rv>
  <rv s="0">
    <fb>14918.72</fb>
    <v>9</v>
  </rv>
  <rv s="0">
    <fb>29.423999999999999</fb>
    <v>29</v>
  </rv>
  <rv s="0">
    <fb>670</fb>
    <v>30</v>
  </rv>
  <rv s="0">
    <fb>145.376008652092</fb>
    <v>31</v>
  </rv>
  <rv s="0">
    <fb>2.6364720101589301E-2</fb>
    <v>28</v>
  </rv>
  <rv s="0">
    <fb>4.0229999999999997</fb>
    <v>29</v>
  </rv>
  <rv s="0">
    <fb>0.45379958829385897</fb>
    <v>28</v>
  </rv>
  <rv s="0">
    <fb>1673540300</fb>
    <v>33</v>
  </rv>
  <rv s="0">
    <fb>1.1530781000000001</fb>
    <v>28</v>
  </rv>
  <rv s="0">
    <fb>0.17753730000000001</fb>
    <v>28</v>
  </rv>
  <rv s="2">
    <v>320</v>
    <v>7</v>
    <v>1467</v>
    <v>7</v>
    <v>0</v>
    <v>Image of Timor-Leste</v>
  </rv>
  <rv s="0">
    <fb>39.299999999999997</fb>
    <v>34</v>
  </rv>
  <rv s="1">
    <v>805306368</v>
    <v>José Ramos-Horta (President)</v>
    <v>7f9615e0-855d-52e1-e079-107a315ef2aa</v>
    <v>en-US</v>
    <v>Generic</v>
  </rv>
  <rv s="1">
    <v>805306368</v>
    <v>Xanana Gusmão (Prime minister)</v>
    <v>5b7816ed-f9bf-7a0b-b990-20288324b315</v>
    <v>en-US</v>
    <v>Generic</v>
  </rv>
  <rv s="3">
    <v>643</v>
  </rv>
  <rv s="4">
    <v>https://www.bing.com/search?q=east+timor&amp;form=skydnc</v>
    <v>Learn more on Bing</v>
  </rv>
  <rv s="0">
    <fb>69.260000000000005</fb>
    <v>34</v>
  </rv>
  <rv s="0">
    <fb>142</fb>
    <v>34</v>
  </rv>
  <rv s="3">
    <v>644</v>
  </rv>
  <rv s="0">
    <fb>0.10233649859999999</fb>
    <v>28</v>
  </rv>
  <rv s="0">
    <fb>0.72240000000000004</fb>
    <v>29</v>
  </rv>
  <rv s="0">
    <fb>1341296</fb>
    <v>9</v>
  </rv>
  <rv s="0">
    <fb>0.24</fb>
    <v>28</v>
  </rv>
  <rv s="0">
    <fb>0.673379974365234</fb>
    <v>28</v>
  </rv>
  <rv s="1">
    <v>536870912</v>
    <v>Aileu Municipality</v>
    <v>9c4583af-1a89-a4c5-814c-21635a995a94</v>
    <v>en-US</v>
    <v>Map</v>
  </rv>
  <rv s="1">
    <v>536870912</v>
    <v>Ainaro Municipality</v>
    <v>df5b27e8-c65b-bb02-e4f7-013eeca69b24</v>
    <v>en-US</v>
    <v>Map</v>
  </rv>
  <rv s="1">
    <v>536870912</v>
    <v>Baucau Municipality</v>
    <v>4db4304e-e420-7ec8-6b9d-c7b04bdbade5</v>
    <v>en-US</v>
    <v>Map</v>
  </rv>
  <rv s="1">
    <v>536870912</v>
    <v>Bobonaro Municipality</v>
    <v>0a656135-5998-6039-4dca-fb58d12e8860</v>
    <v>en-US</v>
    <v>Map</v>
  </rv>
  <rv s="1">
    <v>536870912</v>
    <v>Cova Lima Municipality</v>
    <v>06e64c99-b309-b50f-cb51-b646e3240d66</v>
    <v>en-US</v>
    <v>Map</v>
  </rv>
  <rv s="1">
    <v>536870912</v>
    <v>Ermera Municipality</v>
    <v>4f515045-01d2-6bdf-aae5-e50ae8ed3ba7</v>
    <v>en-US</v>
    <v>Map</v>
  </rv>
  <rv s="1">
    <v>536870912</v>
    <v>Lautém Municipality</v>
    <v>8fddb5c5-3393-fb2a-fbe5-9ac53e292e85</v>
    <v>en-US</v>
    <v>Map</v>
  </rv>
  <rv s="1">
    <v>536870912</v>
    <v>Manatuto Municipality</v>
    <v>2c9e0904-0bf7-4aa1-bdd9-22f4a37cdee8</v>
    <v>en-US</v>
    <v>Map</v>
  </rv>
  <rv s="1">
    <v>536870912</v>
    <v>Manufahi Municipality</v>
    <v>31ba9fe2-888c-7e01-7c5b-705f6e05fb06</v>
    <v>en-US</v>
    <v>Map</v>
  </rv>
  <rv s="1">
    <v>536870912</v>
    <v>Oecusse</v>
    <v>8567c33e-5a92-f79b-7d1e-bf7174552c26</v>
    <v>en-US</v>
    <v>Map</v>
  </rv>
  <rv s="1">
    <v>536870912</v>
    <v>Viqueque Municipality</v>
    <v>ed4fc7ed-4cb8-3b30-2d03-536692477d95</v>
    <v>en-US</v>
    <v>Map</v>
  </rv>
  <rv s="1">
    <v>536870912</v>
    <v>Atauro</v>
    <v>326bc9f9-8a38-ddb8-b158-abf99b45bce0</v>
    <v>en-US</v>
    <v>Map</v>
  </rv>
  <rv s="3">
    <v>645</v>
  </rv>
  <rv s="0">
    <fb>0.25047025389617</fb>
    <v>28</v>
  </rv>
  <rv s="0">
    <fb>0.17300000000000001</fb>
    <v>28</v>
  </rv>
  <rv s="0">
    <fb>4.5479998588562005E-2</fb>
    <v>35</v>
  </rv>
  <rv s="0">
    <fb>400182</fb>
    <v>9</v>
  </rv>
  <rv s="25">
    <v>#VALUE!</v>
    <v>en-US</v>
    <v>1e2467c7-89e1-4456-ac96-dc08b31d61cb</v>
    <v>536870912</v>
    <v>1</v>
    <v>1470</v>
    <v>196</v>
    <v>Timor-Leste</v>
    <v>5</v>
    <v>6</v>
    <v>Map</v>
    <v>7</v>
    <v>1471</v>
    <v>TL</v>
    <v>9356</v>
    <v>9357</v>
    <v>1138</v>
    <v>9358</v>
    <v>9359</v>
    <v>9346</v>
    <v>1728</v>
    <v>9360</v>
    <v>9361</v>
    <v>USD</v>
    <v>Timor-Leste, also known as East Timor, officially the Democratic Republic of Timor-Leste, is a country in Southeast Asia. It comprises the eastern half of the island of Timor, the coastal exclave of Oecusse in the island's northwest, and the ...</v>
    <v>9362</v>
    <v>9363</v>
    <v>434</v>
    <v>490</v>
    <v>9364</v>
    <v>9365</v>
    <v>9366</v>
    <v>9367</v>
    <v>9368</v>
    <v>9346</v>
    <v>9371</v>
    <v>9372</v>
    <v>9373</v>
    <v>9374</v>
    <v>1033</v>
    <v>Timor-Leste</v>
    <v>Pátria</v>
    <v>9375</v>
    <v>Timor-Leste</v>
    <v>9376</v>
    <v>9377</v>
    <v>9378</v>
    <v>2128</v>
    <v>9379</v>
    <v>3399</v>
    <v>243</v>
    <v>244</v>
    <v>5824</v>
    <v>3612</v>
    <v>9380</v>
    <v>9393</v>
    <v>9394</v>
    <v>7257</v>
    <v>9395</v>
    <v>9396</v>
    <v>Timor-Leste</v>
    <v>9397</v>
    <v>mdp/vdpid/7299303</v>
  </rv>
  <rv s="1">
    <v>536870912</v>
    <v>Lomé</v>
    <v>26666ccd-d6ab-05f9-2335-0f2d1cc7e573</v>
    <v>en-US</v>
    <v>Map</v>
  </rv>
  <rv s="1">
    <v>536870912</v>
    <v>Maritime</v>
    <v>6ffb70ad-e9c4-43ee-52d4-6bea8d5acae2</v>
    <v>en-US</v>
    <v>Map</v>
  </rv>
  <rv s="0">
    <fb>99.14</fb>
    <v>9</v>
  </rv>
  <rv s="1">
    <v>536870912</v>
    <v>Togo</v>
    <v>4b57b145-0846-48a3-d055-cd393d2b9d1d</v>
    <v>en-US</v>
    <v>Map</v>
  </rv>
  <rv s="2">
    <v>321</v>
    <v>7</v>
    <v>1473</v>
    <v>7</v>
    <v>0</v>
    <v>Image of Lomé</v>
  </rv>
  <rv s="0">
    <fb>6.1319444444444002</fb>
    <v>0</v>
  </rv>
  <rv s="1">
    <v>805306368</v>
    <v>Aouissi Lodé (Mayor)</v>
    <v>1922eb4d-937d-87c5-0245-a4bab044a873</v>
    <v>en-US</v>
    <v>Generic</v>
  </rv>
  <rv s="3">
    <v>646</v>
  </rv>
  <rv s="4">
    <v>https://www.bing.com/search?q=lom%c3%a9&amp;form=skydnc</v>
    <v>Learn more on Bing</v>
  </rv>
  <rv s="0">
    <fb>1.2227777777777999</fb>
    <v>0</v>
  </rv>
  <rv s="0">
    <fb>2188376</fb>
    <v>9</v>
  </rv>
  <rv s="24">
    <v>#VALUE!</v>
    <v>en-US</v>
    <v>26666ccd-d6ab-05f9-2335-0f2d1cc7e573</v>
    <v>536870912</v>
    <v>1</v>
    <v>1474</v>
    <v>189</v>
    <v>Lomé</v>
    <v>5</v>
    <v>6</v>
    <v>Map</v>
    <v>7</v>
    <v>61</v>
    <v>9400</v>
    <v>9401</v>
    <v>9402</v>
    <v>Lomé is the capital and largest city of Togo. It has an urban population of 837,437 while there were 2,188,376 permanent residents in its metropolitan area as of the 2022 census. Located on the Gulf of Guinea at the southwest corner of the ...</v>
    <v>9403</v>
    <v>9404</v>
    <v>9406</v>
    <v>9407</v>
    <v>9408</v>
    <v>Lomé</v>
    <v>9409</v>
    <v>Lomé</v>
    <v>mdp/vdpid/7297358257817911297</v>
  </rv>
  <rv s="0">
    <fb>0.70233498804927397</fb>
    <v>28</v>
  </rv>
  <rv s="0">
    <fb>56785</fb>
    <v>9</v>
  </rv>
  <rv s="0">
    <fb>33.113</fb>
    <v>29</v>
  </rv>
  <rv s="0">
    <fb>228</fb>
    <v>30</v>
  </rv>
  <rv s="0">
    <fb>2999.6060000000002</fb>
    <v>9</v>
  </rv>
  <rv s="0">
    <fb>113.296929295441</fb>
    <v>31</v>
  </rv>
  <rv s="0">
    <fb>6.7465277007744094E-3</fb>
    <v>28</v>
  </rv>
  <rv s="0">
    <fb>154.665237320778</fb>
    <v>9</v>
  </rv>
  <rv s="0">
    <fb>4.32</fb>
    <v>29</v>
  </rv>
  <rv s="0">
    <fb>3.0924801792285697E-2</fb>
    <v>28</v>
  </rv>
  <rv s="0">
    <fb>17.8006330312163</fb>
    <v>34</v>
  </rv>
  <rv s="0">
    <fb>5459979416.6690798</fb>
    <v>33</v>
  </rv>
  <rv s="0">
    <fb>1.2376463</fb>
    <v>28</v>
  </rv>
  <rv s="0">
    <fb>0.14523929999999999</fb>
    <v>28</v>
  </rv>
  <rv s="2">
    <v>322</v>
    <v>7</v>
    <v>1476</v>
    <v>7</v>
    <v>0</v>
    <v>Image of Togo</v>
  </rv>
  <rv s="0">
    <fb>47.4</fb>
    <v>34</v>
  </rv>
  <rv s="1">
    <v>805306368</v>
    <v>Faure Gnassingbé (President)</v>
    <v>2c5b7703-8c00-8fe7-a48c-8768061e69e1</v>
    <v>en-US</v>
    <v>Generic</v>
  </rv>
  <rv s="1">
    <v>805306368</v>
    <v>Victoire Tomegah Dogbé (Prime minister)</v>
    <v>808705e6-d4ce-9cfc-9420-76655972aefd</v>
    <v>en-US</v>
    <v>Generic</v>
  </rv>
  <rv s="3">
    <v>647</v>
  </rv>
  <rv s="4">
    <v>https://www.bing.com/search?q=togo+africa&amp;form=skydnc</v>
    <v>Learn more on Bing</v>
  </rv>
  <rv s="0">
    <fb>60.76</fb>
    <v>34</v>
  </rv>
  <rv s="0">
    <fb>396</fb>
    <v>34</v>
  </rv>
  <rv s="0">
    <fb>0.34</fb>
    <v>32</v>
  </rv>
  <rv s="0">
    <fb>0.50964181450000001</fb>
    <v>28</v>
  </rv>
  <rv s="0">
    <fb>7.7399999999999997E-2</fb>
    <v>29</v>
  </rv>
  <rv s="0">
    <fb>8848699</fb>
    <v>9</v>
  </rv>
  <rv s="0">
    <fb>0.77592002868652299</fb>
    <v>28</v>
  </rv>
  <rv s="1">
    <v>536870912</v>
    <v>Savanes Region, Togo</v>
    <v>2102e12c-a7f7-9075-078b-0b943244fbfd</v>
    <v>en-US</v>
    <v>Map</v>
  </rv>
  <rv s="1">
    <v>536870912</v>
    <v>Kara Region</v>
    <v>36915d15-20f0-ca0e-ae6e-f7c26ba8c9ee</v>
    <v>en-US</v>
    <v>Map</v>
  </rv>
  <rv s="1">
    <v>536870912</v>
    <v>Centrale Region, Togo</v>
    <v>2401957f-a5ee-c190-a97e-18e2d9993603</v>
    <v>en-US</v>
    <v>Map</v>
  </rv>
  <rv s="1">
    <v>536870912</v>
    <v>Maritime Region, Togo</v>
    <v>6ffb70ad-e9c4-43ee-52d4-6bea8d5acae2</v>
    <v>en-US</v>
    <v>Map</v>
  </rv>
  <rv s="1">
    <v>536870912</v>
    <v>Plateaux Region, Togo</v>
    <v>543752fa-bb49-3038-8b31-1f58f988707f</v>
    <v>en-US</v>
    <v>Map</v>
  </rv>
  <rv s="3">
    <v>648</v>
  </rv>
  <rv s="0">
    <fb>0.16875840866195699</fb>
    <v>28</v>
  </rv>
  <rv s="3">
    <v>649</v>
  </rv>
  <rv s="0">
    <fb>0.48200000000000004</fb>
    <v>28</v>
  </rv>
  <rv s="0">
    <fb>2.0380001068115199E-2</fb>
    <v>35</v>
  </rv>
  <rv s="0">
    <fb>3414638</fb>
    <v>9</v>
  </rv>
  <rv s="8">
    <v>#VALUE!</v>
    <v>en-US</v>
    <v>4b57b145-0846-48a3-d055-cd393d2b9d1d</v>
    <v>536870912</v>
    <v>1</v>
    <v>1479</v>
    <v>46</v>
    <v>Togo</v>
    <v>5</v>
    <v>6</v>
    <v>Map</v>
    <v>7</v>
    <v>1480</v>
    <v>TG</v>
    <v>9411</v>
    <v>9412</v>
    <v>2505</v>
    <v>9413</v>
    <v>9414</v>
    <v>9399</v>
    <v>9415</v>
    <v>9416</v>
    <v>9417</v>
    <v>XOF</v>
    <v>Togo, officially the Togolese Republic, is a country in West Africa. It is bordered by Ghana to the west, Benin to the east and Burkina Faso to the north. It is one of the least developed countries and extends south to the Gulf of Guinea, where ...</v>
    <v>9418</v>
    <v>9419</v>
    <v>9420</v>
    <v>9421</v>
    <v>377</v>
    <v>9422</v>
    <v>9423</v>
    <v>9424</v>
    <v>9425</v>
    <v>9426</v>
    <v>9399</v>
    <v>9429</v>
    <v>9430</v>
    <v>9431</v>
    <v>9432</v>
    <v>9433</v>
    <v>Togo</v>
    <v>Salut à toi, pays de nos aïeux</v>
    <v>1220</v>
    <v>Togo</v>
    <v>9434</v>
    <v>9435</v>
    <v>9436</v>
    <v>2771</v>
    <v>5017</v>
    <v>3915</v>
    <v>1662</v>
    <v>512</v>
    <v>6047</v>
    <v>1053</v>
    <v>9437</v>
    <v>9443</v>
    <v>9444</v>
    <v>9445</v>
    <v>9446</v>
    <v>9447</v>
    <v>Togo</v>
    <v>9448</v>
    <v>mdp/vdpid/232</v>
  </rv>
  <rv s="1">
    <v>536870912</v>
    <v>Nukuʻalofa</v>
    <v>4f0e3da8-80f2-711d-dc3e-4d3f0e1114f2</v>
    <v>en-US</v>
    <v>Map</v>
  </rv>
  <rv s="0">
    <fb>11.41</fb>
    <v>9</v>
  </rv>
  <rv s="1">
    <v>536870912</v>
    <v>Tonga</v>
    <v>0f1b09ca-15de-0e2b-5e2f-c70ad3beaad8</v>
    <v>en-US</v>
    <v>Map</v>
  </rv>
  <rv s="2">
    <v>323</v>
    <v>7</v>
    <v>1481</v>
    <v>7</v>
    <v>0</v>
    <v>Image of Nukuʻalofa</v>
  </rv>
  <rv s="0">
    <fb>-21.134722222221999</fb>
    <v>0</v>
  </rv>
  <rv s="4">
    <v>https://www.bing.com/search?q=nuku%ca%bbalofa&amp;form=skydnc</v>
    <v>Learn more on Bing</v>
  </rv>
  <rv s="0">
    <fb>-175.20833333332999</fb>
    <v>0</v>
  </rv>
  <rv s="0">
    <fb>23221</fb>
    <v>9</v>
  </rv>
  <rv s="100">
    <v>#VALUE!</v>
    <v>en-US</v>
    <v>4f0e3da8-80f2-711d-dc3e-4d3f0e1114f2</v>
    <v>536870912</v>
    <v>1</v>
    <v>1482</v>
    <v>1483</v>
    <v>Nukuʻalofa</v>
    <v>5</v>
    <v>6</v>
    <v>Map</v>
    <v>7</v>
    <v>372</v>
    <v>9451</v>
    <v>9452</v>
    <v>Nukuʻalofa is the capital and largest city of Tonga. It is located on the north coast of the island of Tongatapu, in the country's southernmost island group.</v>
    <v>9453</v>
    <v>9454</v>
    <v>9455</v>
    <v>9456</v>
    <v>Nukuʻalofa</v>
    <v>9457</v>
    <v>Nukuʻalofa</v>
    <v>mdp/vdpid/5789247704693473281</v>
  </rv>
  <rv s="0">
    <fb>0.45833333333333298</fb>
    <v>28</v>
  </rv>
  <rv s="0">
    <fb>748.50656300000003</fb>
    <v>9</v>
  </rv>
  <rv s="0">
    <fb>24.303000000000001</fb>
    <v>29</v>
  </rv>
  <rv s="0">
    <fb>676</fb>
    <v>30</v>
  </rv>
  <rv s="0">
    <fb>128.345</fb>
    <v>9</v>
  </rv>
  <rv s="0">
    <fb>121.09403518917</fb>
    <v>31</v>
  </rv>
  <rv s="0">
    <fb>7.4422454661750501E-2</fb>
    <v>28</v>
  </rv>
  <rv s="0">
    <fb>3.556</fb>
    <v>29</v>
  </rv>
  <rv s="0">
    <fb>0.125</fb>
    <v>28</v>
  </rv>
  <rv s="0">
    <fb>450353313.88458401</fb>
    <v>33</v>
  </rv>
  <rv s="0">
    <fb>1.1633897</fb>
    <v>28</v>
  </rv>
  <rv s="0">
    <fb>6.3546400000000003E-2</fb>
    <v>28</v>
  </rv>
  <rv s="2">
    <v>324</v>
    <v>7</v>
    <v>1485</v>
    <v>7</v>
    <v>0</v>
    <v>Image of Tonga</v>
  </rv>
  <rv s="0">
    <fb>13.4</fb>
    <v>34</v>
  </rv>
  <rv s="1">
    <v>805306368</v>
    <v>Tupou VI (Monarch)</v>
    <v>9c1beb1f-4b2e-c7d1-6666-a70ccf99bfed</v>
    <v>en-US</v>
    <v>Generic</v>
  </rv>
  <rv s="1">
    <v>805306368</v>
    <v>"ʻAisake Eke" (Prime minister)</v>
    <v>cbd32ccc-ecca-000a-f7fa-05d24f32ccc3</v>
    <v>en-US</v>
    <v>Generic</v>
  </rv>
  <rv s="3">
    <v>650</v>
  </rv>
  <rv s="4">
    <v>https://www.bing.com/search?q=tonga&amp;form=skydnc</v>
    <v>Learn more on Bing</v>
  </rv>
  <rv s="0">
    <fb>70.801000000000002</fb>
    <v>34</v>
  </rv>
  <rv s="3">
    <v>651</v>
  </rv>
  <rv s="0">
    <fb>0.10219300110000001</fb>
    <v>28</v>
  </rv>
  <rv s="0">
    <fb>0.52229999999999999</fb>
    <v>29</v>
  </rv>
  <rv s="0">
    <fb>106858</fb>
    <v>9</v>
  </rv>
  <rv s="0">
    <fb>0.59750000000000003</fb>
    <v>28</v>
  </rv>
  <rv s="0">
    <fb>0.222581732148491</fb>
    <v>28</v>
  </rv>
  <rv s="0">
    <fb>1.1169999837875399E-2</fb>
    <v>35</v>
  </rv>
  <rv s="0">
    <fb>24145</fb>
    <v>9</v>
  </rv>
  <rv s="101">
    <v>#VALUE!</v>
    <v>en-US</v>
    <v>0f1b09ca-15de-0e2b-5e2f-c70ad3beaad8</v>
    <v>536870912</v>
    <v>1</v>
    <v>1488</v>
    <v>1489</v>
    <v>Tonga</v>
    <v>5</v>
    <v>6</v>
    <v>Map</v>
    <v>7</v>
    <v>1490</v>
    <v>TO</v>
    <v>9459</v>
    <v>9460</v>
    <v>9461</v>
    <v>9462</v>
    <v>9450</v>
    <v>9463</v>
    <v>9464</v>
    <v>9465</v>
    <v>TOP</v>
    <v>Tonga, officially the Kingdom of Tonga, is an island country in Polynesia, part of Oceania. The country has 171 islands – of which 45 are inhabited. Its total surface area is about 750 km², scattered over 700,000 km² in the southern Pacific ...</v>
    <v>9466</v>
    <v>9467</v>
    <v>434</v>
    <v>9468</v>
    <v>9469</v>
    <v>9470</v>
    <v>9471</v>
    <v>9472</v>
    <v>9450</v>
    <v>9475</v>
    <v>9476</v>
    <v>9477</v>
    <v>7295</v>
    <v>Tonga</v>
    <v>Ko e fasi ʻo e tuʻi ʻo e ʻOtu Tonga</v>
    <v>9478</v>
    <v>Tonga</v>
    <v>9479</v>
    <v>9480</v>
    <v>9481</v>
    <v>3066</v>
    <v>3488</v>
    <v>8960</v>
    <v>651</v>
    <v>8051</v>
    <v>8551</v>
    <v>3491</v>
    <v>9482</v>
    <v>9483</v>
    <v>8025</v>
    <v>3790</v>
    <v>9484</v>
    <v>Tonga</v>
    <v>9485</v>
    <v>mdp/vdpid/231</v>
  </rv>
  <rv s="1">
    <v>536870912</v>
    <v>Port of Spain</v>
    <v>def6ee89-3ed6-d033-25e5-bcefbc6f466a</v>
    <v>en-US</v>
    <v>Map</v>
  </rv>
  <rv s="0">
    <fb>12</fb>
    <v>9</v>
  </rv>
  <rv s="1">
    <v>536870912</v>
    <v>Trinidad and Tobago</v>
    <v>e93b487a-784c-4464-d823-334cd05c5313</v>
    <v>en-US</v>
    <v>Map</v>
  </rv>
  <rv s="2">
    <v>325</v>
    <v>7</v>
    <v>1491</v>
    <v>7</v>
    <v>0</v>
    <v>Image of Port of Spain</v>
  </rv>
  <rv s="1">
    <v>805306368</v>
    <v>Chinua Alleyne (Mayor)</v>
    <v>9a00a26e-cc49-8275-c8bb-d425f14e85a1</v>
    <v>en-US</v>
    <v>Generic</v>
  </rv>
  <rv s="1">
    <v>805306368</v>
    <v>Abena Hartley (Deputy mayor)</v>
    <v>bc4ec3fb-3071-2738-8b84-b81c221901ed</v>
    <v>en-US</v>
    <v>Generic</v>
  </rv>
  <rv s="3">
    <v>652</v>
  </rv>
  <rv s="4">
    <v>https://www.bing.com/search?q=port+of+spain&amp;form=skydnc</v>
    <v>Learn more on Bing</v>
  </rv>
  <rv s="0">
    <fb>37074</fb>
    <v>9</v>
  </rv>
  <rv s="30">
    <v>#VALUE!</v>
    <v>en-US</v>
    <v>def6ee89-3ed6-d033-25e5-bcefbc6f466a</v>
    <v>536870912</v>
    <v>1</v>
    <v>1493</v>
    <v>294</v>
    <v>Port of Spain</v>
    <v>5</v>
    <v>6</v>
    <v>Map</v>
    <v>7</v>
    <v>39</v>
    <v>TT-POS</v>
    <v>9488</v>
    <v>9489</v>
    <v>Port of Spain, officially the City of Port of Spain, is the capital of Trinidad and Tobago and the third largest municipality, after Chaguanas and San Fernando. The city has a municipal population of 49,031, an urban population of 545,045 and a ...</v>
    <v>9490</v>
    <v>9493</v>
    <v>9494</v>
    <v>Port of Spain</v>
    <v>9495</v>
    <v>Port of Spain</v>
    <v>mdp/vdpid/5604760554531979265</v>
  </rv>
  <rv s="0">
    <fb>0.10526315789473699</fb>
    <v>28</v>
  </rv>
  <rv s="0">
    <fb>5128</fb>
    <v>9</v>
  </rv>
  <rv s="0">
    <fb>12.936999999999999</fb>
    <v>29</v>
  </rv>
  <rv s="0">
    <fb>1868</fb>
    <v>30</v>
  </rv>
  <rv s="0">
    <fb>43868.321000000004</fb>
    <v>9</v>
  </rv>
  <rv s="0">
    <fb>141.75327574751901</fb>
    <v>31</v>
  </rv>
  <rv s="0">
    <fb>1.0185693018882801E-2</fb>
    <v>28</v>
  </rv>
  <rv s="0">
    <fb>7092.9326116349603</fb>
    <v>9</v>
  </rv>
  <rv s="0">
    <fb>1.7250000000000001</fb>
    <v>29</v>
  </rv>
  <rv s="0">
    <fb>0.46023393002634699</fb>
    <v>28</v>
  </rv>
  <rv s="0">
    <fb>99.9195064232607</fb>
    <v>34</v>
  </rv>
  <rv s="0">
    <fb>24100202833.750401</fb>
    <v>33</v>
  </rv>
  <rv s="0">
    <fb>1.0621008000000001</fb>
    <v>28</v>
  </rv>
  <rv s="0">
    <fb>0.11950659999999999</fb>
    <v>28</v>
  </rv>
  <rv s="2">
    <v>326</v>
    <v>7</v>
    <v>1495</v>
    <v>7</v>
    <v>0</v>
    <v>Image of Trinidad and Tobago</v>
  </rv>
  <rv s="0">
    <fb>16.399999999999999</fb>
    <v>34</v>
  </rv>
  <rv s="1">
    <v>536870912</v>
    <v>Chaguanas</v>
    <v>b49fd44b-24a6-3c73-1650-1312ad4c17b0</v>
    <v>en-US</v>
    <v>Map</v>
  </rv>
  <rv s="1">
    <v>805306368</v>
    <v>Christine Kangaloo (President)</v>
    <v>e1e9588c-fd18-f031-8269-d8d738d8082b</v>
    <v>en-US</v>
    <v>Generic</v>
  </rv>
  <rv s="1">
    <v>805306368</v>
    <v>Keith Rowley (Prime minister)</v>
    <v>8b10666f-ed42-bf69-dab4-5be658eb0c84</v>
    <v>en-US</v>
    <v>Generic</v>
  </rv>
  <rv s="1">
    <v>805306368</v>
    <v>Bridgid Annisette-George (Speaker)</v>
    <v>bf0910d7-35ab-96ce-80c3-8510ccaa70e0</v>
    <v>en-US</v>
    <v>Generic</v>
  </rv>
  <rv s="1">
    <v>805306368</v>
    <v>Ivor Archie (Chief justice)</v>
    <v>d0fdf1a3-f53b-f8f7-cb65-4501bf820247</v>
    <v>en-US</v>
    <v>Generic</v>
  </rv>
  <rv s="3">
    <v>653</v>
  </rv>
  <rv s="4">
    <v>https://www.bing.com/search?q=trinidad+and+tobago&amp;form=skydnc</v>
    <v>Learn more on Bing</v>
  </rv>
  <rv s="0">
    <fb>73.38</fb>
    <v>34</v>
  </rv>
  <rv s="0">
    <fb>3889100000</fb>
    <v>33</v>
  </rv>
  <rv s="0">
    <fb>67</fb>
    <v>34</v>
  </rv>
  <rv s="0">
    <fb>2.25</fb>
    <v>32</v>
  </rv>
  <rv s="3">
    <v>654</v>
  </rv>
  <rv s="0">
    <fb>0.37332774149999998</fb>
    <v>28</v>
  </rv>
  <rv s="0">
    <fb>4.1675000000000004</fb>
    <v>29</v>
  </rv>
  <rv s="0">
    <fb>1531044</fb>
    <v>9</v>
  </rv>
  <rv s="0">
    <fb>0.45899999999999996</fb>
    <v>28</v>
  </rv>
  <rv s="0">
    <fb>0.59957000732421906</fb>
    <v>28</v>
  </rv>
  <rv s="1">
    <v>536870912</v>
    <v>San Fernando, Trinidad and Tobago</v>
    <v>b5e7a46e-e785-4faf-9a85-0071df1633c1</v>
    <v>en-US</v>
    <v>Map</v>
  </rv>
  <rv s="1">
    <v>536870912</v>
    <v>Arima</v>
    <v>6b7589e6-16b3-b32c-ae2f-47d32f2759f1</v>
    <v>en-US</v>
    <v>Map</v>
  </rv>
  <rv s="1">
    <v>536870912</v>
    <v>Point Fortin</v>
    <v>651596ee-704d-a002-dc56-343a69ec74fa</v>
    <v>en-US</v>
    <v>Map</v>
  </rv>
  <rv s="1">
    <v>536870912</v>
    <v>Couva–Tabaquite–Talparo</v>
    <v>dbbec70f-b622-6a24-7d8b-c320489f8522</v>
    <v>en-US</v>
    <v>Map</v>
  </rv>
  <rv s="1">
    <v>536870912</v>
    <v>Diego Martin</v>
    <v>e25e7c1e-1451-a7c0-c910-4caf66b5e63a</v>
    <v>en-US</v>
    <v>Map</v>
  </rv>
  <rv s="1">
    <v>536870912</v>
    <v>Penal–Debe</v>
    <v>b7d5bc2b-6de8-4638-e894-319df84be985</v>
    <v>en-US</v>
    <v>Map</v>
  </rv>
  <rv s="1">
    <v>536870912</v>
    <v>Princes Town</v>
    <v>9c340dff-7403-a984-2464-9c6a83c7ce69</v>
    <v>en-US</v>
    <v>Map</v>
  </rv>
  <rv s="1">
    <v>536870912</v>
    <v>Mayaro–Rio Claro</v>
    <v>ab8a7d39-91e4-4c64-91d5-43ac8a5f2ccf</v>
    <v>en-US</v>
    <v>Map</v>
  </rv>
  <rv s="1">
    <v>536870912</v>
    <v>San Juan–Laventille</v>
    <v>9b166e62-f7e9-9fc9-ca53-c1703777a99b</v>
    <v>en-US</v>
    <v>Map</v>
  </rv>
  <rv s="1">
    <v>536870912</v>
    <v>Sangre Grande</v>
    <v>00c830c4-0c46-b277-b0ec-fcce8b1d3e1f</v>
    <v>en-US</v>
    <v>Map</v>
  </rv>
  <rv s="1">
    <v>536870912</v>
    <v>Siparia</v>
    <v>a2adc50f-d23a-be28-8420-b692a6e49230</v>
    <v>en-US</v>
    <v>Map</v>
  </rv>
  <rv s="1">
    <v>536870912</v>
    <v>Tunapuna–Piarco</v>
    <v>11a29174-c3fa-be9f-1c2c-6bbdb7f2e414</v>
    <v>en-US</v>
    <v>Map</v>
  </rv>
  <rv s="3">
    <v>655</v>
  </rv>
  <rv s="0">
    <fb>0.19513730236184601</fb>
    <v>28</v>
  </rv>
  <rv s="0">
    <fb>0.40500000000000003</fb>
    <v>28</v>
  </rv>
  <rv s="0">
    <fb>2.6860001087188699E-2</fb>
    <v>35</v>
  </rv>
  <rv s="0">
    <fb>741944</fb>
    <v>9</v>
  </rv>
  <rv s="9">
    <v>#VALUE!</v>
    <v>en-US</v>
    <v>e93b487a-784c-4464-d823-334cd05c5313</v>
    <v>536870912</v>
    <v>1</v>
    <v>1498</v>
    <v>55</v>
    <v>Trinidad and Tobago</v>
    <v>5</v>
    <v>6</v>
    <v>Map</v>
    <v>7</v>
    <v>1499</v>
    <v>TT</v>
    <v>9497</v>
    <v>9498</v>
    <v>3462</v>
    <v>9499</v>
    <v>9500</v>
    <v>9487</v>
    <v>9501</v>
    <v>9502</v>
    <v>9503</v>
    <v>TTD</v>
    <v>Trinidad and Tobago, officially the Republic of Trinidad and Tobago, is the southernmost island country in the Caribbean. Comprising the main islands of Trinidad and Tobago, along with numerous smaller islands, it is located 11 kilometres ...</v>
    <v>9504</v>
    <v>9505</v>
    <v>9506</v>
    <v>9507</v>
    <v>6497</v>
    <v>9508</v>
    <v>9509</v>
    <v>9510</v>
    <v>9511</v>
    <v>9512</v>
    <v>9513</v>
    <v>9518</v>
    <v>9519</v>
    <v>9520</v>
    <v>9521</v>
    <v>9522</v>
    <v>9523</v>
    <v>Trinidad and Tobago</v>
    <v>Forged from the Love of Liberty</v>
    <v>9524</v>
    <v>Trinidad and Tobago</v>
    <v>9525</v>
    <v>9526</v>
    <v>9527</v>
    <v>1108</v>
    <v>509</v>
    <v>9528</v>
    <v>2585</v>
    <v>3006</v>
    <v>4296</v>
    <v>1289</v>
    <v>9529</v>
    <v>9542</v>
    <v>9543</v>
    <v>462</v>
    <v>9544</v>
    <v>9545</v>
    <v>Trinidad and Tobago</v>
    <v>9546</v>
    <v>mdp/vdpid/225</v>
  </rv>
  <rv s="1">
    <v>536870912</v>
    <v>Tunis</v>
    <v>e349670b-9768-7e22-1d6f-0710a82c29f4</v>
    <v>en-US</v>
    <v>Map</v>
  </rv>
  <rv s="1">
    <v>536870912</v>
    <v>Tunis Governorate</v>
    <v>6ad529f3-2581-1ab5-dffc-4ee82b3685bb</v>
    <v>en-US</v>
    <v>Map</v>
  </rv>
  <rv s="0">
    <fb>212.63</fb>
    <v>9</v>
  </rv>
  <rv s="1">
    <v>536870912</v>
    <v>Tunisia</v>
    <v>aa802665-9964-3c1f-29ff-48957a4ec8c3</v>
    <v>en-US</v>
    <v>Map</v>
  </rv>
  <rv s="2">
    <v>327</v>
    <v>7</v>
    <v>1501</v>
    <v>7</v>
    <v>0</v>
    <v>Image of Tunis</v>
  </rv>
  <rv s="0">
    <fb>36.800833333333003</fb>
    <v>0</v>
  </rv>
  <rv s="1">
    <v>805306368</v>
    <v>Souad Abderrahim (Mayor)</v>
    <v>d8a15a7b-d706-285a-dbb8-ff4abfdcd41a</v>
    <v>en-US</v>
    <v>Generic</v>
  </rv>
  <rv s="3">
    <v>656</v>
  </rv>
  <rv s="4">
    <v>https://www.bing.com/search?q=tunis&amp;form=skydnc</v>
    <v>Learn more on Bing</v>
  </rv>
  <rv s="0">
    <fb>10.18</fb>
    <v>0</v>
  </rv>
  <rv s="0">
    <fb>599368</fb>
    <v>9</v>
  </rv>
  <rv s="5">
    <v>#VALUE!</v>
    <v>en-US</v>
    <v>e349670b-9768-7e22-1d6f-0710a82c29f4</v>
    <v>536870912</v>
    <v>1</v>
    <v>1502</v>
    <v>3</v>
    <v>Tunis</v>
    <v>5</v>
    <v>6</v>
    <v>Map</v>
    <v>7</v>
    <v>111</v>
    <v>9549</v>
    <v>9549</v>
    <v>9550</v>
    <v>9551</v>
    <v>Tunis is the capital and largest city of Tunisia. The greater metropolitan area of Tunis, often referred to as "Grand Tunis", has about 2,700,000 inhabitants. As of 2020, it is the third-largest city in the Maghreb region and the ...</v>
    <v>9552</v>
    <v>9553</v>
    <v>9555</v>
    <v>9556</v>
    <v>9557</v>
    <v>Tunis</v>
    <v>9558</v>
    <v>141</v>
    <v>Tunis</v>
    <v>mdp/vdpid/7213585068533481473</v>
  </rv>
  <rv s="0">
    <fb>0.6483650875386201</fb>
    <v>28</v>
  </rv>
  <rv s="0">
    <fb>163610</fb>
    <v>9</v>
  </rv>
  <rv s="0">
    <fb>48000</fb>
    <v>9</v>
  </rv>
  <rv s="0">
    <fb>17.564</fb>
    <v>29</v>
  </rv>
  <rv s="0">
    <fb>216</fb>
    <v>30</v>
  </rv>
  <rv s="0">
    <fb>29937.387999999999</fb>
    <v>9</v>
  </rv>
  <rv s="0">
    <fb>155.325373517033</fb>
    <v>31</v>
  </rv>
  <rv s="0">
    <fb>6.7200753286380394E-2</fb>
    <v>28</v>
  </rv>
  <rv s="0">
    <fb>1454.6422866221101</fb>
    <v>9</v>
  </rv>
  <rv s="0">
    <fb>2.1970000000000001</fb>
    <v>29</v>
  </rv>
  <rv s="0">
    <fb>6.7662200770589598E-2</fb>
    <v>28</v>
  </rv>
  <rv s="0">
    <fb>88.870388104383395</fb>
    <v>34</v>
  </rv>
  <rv s="0">
    <fb>38797709923.664101</fb>
    <v>33</v>
  </rv>
  <rv s="0">
    <fb>1.1544597000000001</fb>
    <v>28</v>
  </rv>
  <rv s="0">
    <fb>0.3174652</fb>
    <v>28</v>
  </rv>
  <rv s="2">
    <v>328</v>
    <v>7</v>
    <v>1504</v>
    <v>7</v>
    <v>0</v>
    <v>Image of Tunisia</v>
  </rv>
  <rv s="0">
    <fb>14.6</fb>
    <v>34</v>
  </rv>
  <rv s="1">
    <v>805306368</v>
    <v>Kais Saied (President)</v>
    <v>ba3da614-cb0f-3f43-cce6-c6775ce6a666</v>
    <v>en-US</v>
    <v>Generic</v>
  </rv>
  <rv s="1">
    <v>805306368</v>
    <v>Kamel Madouri (Prime minister)</v>
    <v>0f569705-640d-7848-cd77-422ee68aa11d</v>
    <v>en-US</v>
    <v>Generic</v>
  </rv>
  <rv s="3">
    <v>657</v>
  </rv>
  <rv s="4">
    <v>https://www.bing.com/search?q=tunisia&amp;form=skydnc</v>
    <v>Learn more on Bing</v>
  </rv>
  <rv s="0">
    <fb>76.504999999999995</fb>
    <v>34</v>
  </rv>
  <rv s="0">
    <fb>8503230000</fb>
    <v>33</v>
  </rv>
  <rv s="0">
    <fb>0.39783110550000006</fb>
    <v>28</v>
  </rv>
  <rv s="0">
    <fb>1.3025</fb>
    <v>29</v>
  </rv>
  <rv s="0">
    <fb>12356117</fb>
    <v>9</v>
  </rv>
  <rv s="0">
    <fb>0.46124000549316402</fb>
    <v>28</v>
  </rv>
  <rv s="1">
    <v>536870912</v>
    <v>Ariana Governorate</v>
    <v>1647375a-fc3b-7140-173a-fbc4e2be75fd</v>
    <v>en-US</v>
    <v>Map</v>
  </rv>
  <rv s="1">
    <v>536870912</v>
    <v>Béja Governorate</v>
    <v>152c4129-fffc-41f6-65a9-9e63bcd66bcd</v>
    <v>en-US</v>
    <v>Map</v>
  </rv>
  <rv s="1">
    <v>536870912</v>
    <v>Ben Arous Governorate</v>
    <v>c40f7681-1f46-7f78-23e1-935c0b559f42</v>
    <v>en-US</v>
    <v>Map</v>
  </rv>
  <rv s="1">
    <v>536870912</v>
    <v>Bizerte Governorate</v>
    <v>e8a098db-6a32-f306-c7c7-e50b1fea36a3</v>
    <v>en-US</v>
    <v>Map</v>
  </rv>
  <rv s="1">
    <v>536870912</v>
    <v>Gabès Governorate</v>
    <v>335e7767-dcbc-0100-98af-4ae7bfd99055</v>
    <v>en-US</v>
    <v>Map</v>
  </rv>
  <rv s="1">
    <v>536870912</v>
    <v>Gafsa Governorate</v>
    <v>889afdeb-70c2-c3c8-9ff8-150832a3a1c1</v>
    <v>en-US</v>
    <v>Map</v>
  </rv>
  <rv s="1">
    <v>536870912</v>
    <v>Jendouba Governorate</v>
    <v>79638493-d161-9dc0-dbbe-307681c5864f</v>
    <v>en-US</v>
    <v>Map</v>
  </rv>
  <rv s="1">
    <v>536870912</v>
    <v>Kairouan Governorate</v>
    <v>b88e6b9a-8edc-0603-cab9-beb613d92292</v>
    <v>en-US</v>
    <v>Map</v>
  </rv>
  <rv s="1">
    <v>536870912</v>
    <v>Kasserine Governorate</v>
    <v>83ca5f25-6007-f2a0-168a-ed092694b416</v>
    <v>en-US</v>
    <v>Map</v>
  </rv>
  <rv s="1">
    <v>536870912</v>
    <v>Kebili Governorate</v>
    <v>333a762f-5fe7-2f99-d157-3bb11be20b60</v>
    <v>en-US</v>
    <v>Map</v>
  </rv>
  <rv s="1">
    <v>536870912</v>
    <v>Manouba Governorate</v>
    <v>f3cb4579-503e-7a5e-17aa-e5ed57cf798f</v>
    <v>en-US</v>
    <v>Map</v>
  </rv>
  <rv s="1">
    <v>536870912</v>
    <v>Kef Governorate</v>
    <v>becbeec4-31a1-13f6-b6b8-111cb805b7bd</v>
    <v>en-US</v>
    <v>Map</v>
  </rv>
  <rv s="1">
    <v>536870912</v>
    <v>Mahdia Governorate</v>
    <v>074d2807-abab-add4-8c57-3804b27b3291</v>
    <v>en-US</v>
    <v>Map</v>
  </rv>
  <rv s="1">
    <v>536870912</v>
    <v>Medenine Governorate</v>
    <v>37e55ec2-572d-9b64-2d56-4bb14b505a5a</v>
    <v>en-US</v>
    <v>Map</v>
  </rv>
  <rv s="1">
    <v>536870912</v>
    <v>Monastir Governorate</v>
    <v>f0b9899d-30bf-ab61-8f08-75f515416202</v>
    <v>en-US</v>
    <v>Map</v>
  </rv>
  <rv s="1">
    <v>536870912</v>
    <v>Nabeul Governorate</v>
    <v>1318ff1a-3cbf-3ad6-69d3-de1b8d6da3de</v>
    <v>en-US</v>
    <v>Map</v>
  </rv>
  <rv s="1">
    <v>536870912</v>
    <v>Sfax Governorate</v>
    <v>c538a140-fc86-4f02-d916-110aaf0827ec</v>
    <v>en-US</v>
    <v>Map</v>
  </rv>
  <rv s="1">
    <v>536870912</v>
    <v>Sidi Bouzid Governorate</v>
    <v>65a6a4d7-311c-3787-9b5f-0c129e9fd03e</v>
    <v>en-US</v>
    <v>Map</v>
  </rv>
  <rv s="1">
    <v>536870912</v>
    <v>Siliana Governorate</v>
    <v>c9de39bc-5149-2c57-cdb5-b8fe90e99d89</v>
    <v>en-US</v>
    <v>Map</v>
  </rv>
  <rv s="1">
    <v>536870912</v>
    <v>Sousse Governorate</v>
    <v>e159cd27-6614-2988-fb1e-e3012426d835</v>
    <v>en-US</v>
    <v>Map</v>
  </rv>
  <rv s="1">
    <v>536870912</v>
    <v>Tataouine Governorate</v>
    <v>117afbff-675e-97d7-df66-ed1c04ea6f74</v>
    <v>en-US</v>
    <v>Map</v>
  </rv>
  <rv s="1">
    <v>536870912</v>
    <v>Tozeur Governorate</v>
    <v>bfb66b82-c875-b6b7-bc6f-ab7b655f9f81</v>
    <v>en-US</v>
    <v>Map</v>
  </rv>
  <rv s="1">
    <v>536870912</v>
    <v>Zaghouan Governorate</v>
    <v>e747784c-7040-34f3-13f4-4c98d7d8c045</v>
    <v>en-US</v>
    <v>Map</v>
  </rv>
  <rv s="3">
    <v>658</v>
  </rv>
  <rv s="0">
    <fb>0.21127889655799803</fb>
    <v>28</v>
  </rv>
  <rv s="3">
    <v>659</v>
  </rv>
  <rv s="0">
    <fb>0.16021999359130898</fb>
    <v>35</v>
  </rv>
  <rv s="0">
    <fb>8099061</fb>
    <v>9</v>
  </rv>
  <rv s="9">
    <v>#VALUE!</v>
    <v>en-US</v>
    <v>aa802665-9964-3c1f-29ff-48957a4ec8c3</v>
    <v>536870912</v>
    <v>1</v>
    <v>1507</v>
    <v>55</v>
    <v>Tunisia</v>
    <v>5</v>
    <v>6</v>
    <v>Map</v>
    <v>7</v>
    <v>1508</v>
    <v>TN</v>
    <v>9560</v>
    <v>9561</v>
    <v>9562</v>
    <v>9563</v>
    <v>9564</v>
    <v>9548</v>
    <v>9565</v>
    <v>9566</v>
    <v>9567</v>
    <v>TND</v>
    <v>Tunisia, officially the Republic of Tunisia, is a country in the Maghreb region of North Africa. It is bordered by Algeria to the west and southwest, Libya to the southeast, and the Mediterranean Sea to the north and east. Tunisia also shares ...</v>
    <v>9568</v>
    <v>9569</v>
    <v>9570</v>
    <v>9571</v>
    <v>6028</v>
    <v>9572</v>
    <v>9573</v>
    <v>9574</v>
    <v>9575</v>
    <v>9576</v>
    <v>9548</v>
    <v>9579</v>
    <v>9580</v>
    <v>9581</v>
    <v>9582</v>
    <v>8045</v>
    <v>720</v>
    <v>Tunisia</v>
    <v>Humat al-Hima</v>
    <v>3133</v>
    <v>Republic of Tunisia</v>
    <v>9583</v>
    <v>9584</v>
    <v>9585</v>
    <v>3398</v>
    <v>8312</v>
    <v>6266</v>
    <v>1167</v>
    <v>6844</v>
    <v>1418</v>
    <v>178</v>
    <v>9586</v>
    <v>9610</v>
    <v>9611</v>
    <v>9612</v>
    <v>3640</v>
    <v>9613</v>
    <v>Tunisia</v>
    <v>9614</v>
    <v>mdp/vdpid/234</v>
  </rv>
  <rv s="1">
    <v>536870912</v>
    <v>Ankara</v>
    <v>85c37289-d0cf-bf9c-89e0-a375b7d3c4e7</v>
    <v>en-US</v>
    <v>Map</v>
  </rv>
  <rv s="1">
    <v>536870912</v>
    <v>Ankara Province</v>
    <v>4d2d62dd-3675-5693-ab16-c5f56814d654</v>
    <v>en-US</v>
    <v>Map</v>
  </rv>
  <rv s="0">
    <fb>25632</fb>
    <v>9</v>
  </rv>
  <rv s="2">
    <v>329</v>
    <v>7</v>
    <v>1509</v>
    <v>7</v>
    <v>0</v>
    <v>Image of Ankara</v>
  </rv>
  <rv s="0">
    <fb>39.935760000000002</fb>
    <v>0</v>
  </rv>
  <rv s="1">
    <v>805306368</v>
    <v>Mansur Yavaş (Mayor)</v>
    <v>5fab4bf3-7c91-22a9-287e-1e75e4fa51fb</v>
    <v>en-US</v>
    <v>Generic</v>
  </rv>
  <rv s="1">
    <v>805306368</v>
    <v>Vasip Şahin (Governor)</v>
    <v>e172167c-9421-df13-82df-f5a8f0cf3544</v>
    <v>en-US</v>
    <v>Generic</v>
  </rv>
  <rv s="3">
    <v>660</v>
  </rv>
  <rv s="4">
    <v>https://www.bing.com/search?q=ankara&amp;form=skydnc</v>
    <v>Learn more on Bing</v>
  </rv>
  <rv s="0">
    <fb>32.83869</fb>
    <v>0</v>
  </rv>
  <rv s="0">
    <fb>5747325</fb>
    <v>9</v>
  </rv>
  <rv s="24">
    <v>#VALUE!</v>
    <v>en-US</v>
    <v>85c37289-d0cf-bf9c-89e0-a375b7d3c4e7</v>
    <v>536870912</v>
    <v>1</v>
    <v>1510</v>
    <v>189</v>
    <v>Ankara</v>
    <v>5</v>
    <v>6</v>
    <v>Map</v>
    <v>7</v>
    <v>216</v>
    <v>9617</v>
    <v>9618</v>
    <v>4564</v>
    <v>Ankara, historically known as Ancyra and Angora, is the capital of Turkey. Located in the central part of Anatolia, the city has a population of 5.1 million in its urban center and 5.8 million in Ankara Province, making it Türkiye's ...</v>
    <v>9619</v>
    <v>9620</v>
    <v>9623</v>
    <v>9624</v>
    <v>9625</v>
    <v>Ankara</v>
    <v>9626</v>
    <v>Ankara</v>
    <v>mdp/vdpid/7246232342287613962</v>
  </rv>
  <rv s="1">
    <v>536870912</v>
    <v>Ashgabat</v>
    <v>fbec6970-3135-751a-385e-114550e7bce9</v>
    <v>en-US</v>
    <v>Map</v>
  </rv>
  <rv s="0">
    <fb>765</fb>
    <v>9</v>
  </rv>
  <rv s="1">
    <v>536870912</v>
    <v>Turkmenistan</v>
    <v>664b94e6-8775-89e5-15d6-25a9db3a3dc0</v>
    <v>en-US</v>
    <v>Map</v>
  </rv>
  <rv s="2">
    <v>330</v>
    <v>7</v>
    <v>1511</v>
    <v>7</v>
    <v>0</v>
    <v>Image of Ashgabat</v>
  </rv>
  <rv s="1">
    <v>805306368</v>
    <v>Rahym Nurgeldiyewic Gandymow (Mayor)</v>
    <v>9b2c4d3a-5c9b-21d5-c1f9-db8164a57bbe</v>
    <v>en-US</v>
    <v>Generic</v>
  </rv>
  <rv s="3">
    <v>661</v>
  </rv>
  <rv s="4">
    <v>https://www.bing.com/search?q=ashgabat&amp;form=skydnc</v>
    <v>Learn more on Bing</v>
  </rv>
  <rv s="3">
    <v>662</v>
  </rv>
  <rv s="0">
    <fb>1030063</fb>
    <v>9</v>
  </rv>
  <rv s="18">
    <v>#VALUE!</v>
    <v>en-US</v>
    <v>fbec6970-3135-751a-385e-114550e7bce9</v>
    <v>536870912</v>
    <v>1</v>
    <v>1513</v>
    <v>124</v>
    <v>Ashgabat</v>
    <v>5</v>
    <v>6</v>
    <v>Map</v>
    <v>7</v>
    <v>61</v>
    <v>TM-S</v>
    <v>9629</v>
    <v>9630</v>
    <v>Ashgabat is the capital and largest city of Turkmenistan. It lies between the Karakum Desert and the Kopetdag mountain range in Central Asia, approximately 50 km away from the Iran-Turkmenistan border. The city has a population of 1,030,063.</v>
    <v>9631</v>
    <v>9633</v>
    <v>9634</v>
    <v>Ashgabat</v>
    <v>9635</v>
    <v>9636</v>
    <v>5679</v>
    <v>Ashgabat</v>
    <v>mdp/vdpid/7363631675097481217</v>
  </rv>
  <rv s="0">
    <fb>0.72006469048581712</fb>
    <v>28</v>
  </rv>
  <rv s="0">
    <fb>491210</fb>
    <v>9</v>
  </rv>
  <rv s="0">
    <fb>23.831</fb>
    <v>29</v>
  </rv>
  <rv s="0">
    <fb>993</fb>
    <v>30</v>
  </rv>
  <rv s="0">
    <fb>70630.087</fb>
    <v>9</v>
  </rv>
  <rv s="0">
    <fb>2678.7635136420599</fb>
    <v>9</v>
  </rv>
  <rv s="0">
    <fb>2.786</fb>
    <v>29</v>
  </rv>
  <rv s="0">
    <fb>8.7821590449641385E-2</fb>
    <v>28</v>
  </rv>
  <rv s="0">
    <fb>40761142857.142899</fb>
    <v>33</v>
  </rv>
  <rv s="0">
    <fb>0.88400429999999997</fb>
    <v>28</v>
  </rv>
  <rv s="0">
    <fb>7.9658699999999999E-2</fb>
    <v>28</v>
  </rv>
  <rv s="2">
    <v>331</v>
    <v>7</v>
    <v>1515</v>
    <v>7</v>
    <v>0</v>
    <v>Image of Turkmenistan</v>
  </rv>
  <rv s="1">
    <v>805306368</v>
    <v>Serdar Berdimuhamedow (President)</v>
    <v>f7ea96b1-4deb-d888-1ec8-c1cacdde4289</v>
    <v>en-US</v>
    <v>Generic</v>
  </rv>
  <rv s="1">
    <v>805306368</v>
    <v>Raşit Meredow (Vice president)</v>
    <v>ec85ee8b-e067-0cc9-f025-75548c965ea4</v>
    <v>en-US</v>
    <v>Generic</v>
  </rv>
  <rv s="1">
    <v>805306368</v>
    <v>Gurbanguly Berdimuhamedow (Chairman)</v>
    <v>89687a86-2324-d0a7-fc73-66dd533d9fd2</v>
    <v>en-US</v>
    <v>Generic</v>
  </rv>
  <rv s="3">
    <v>663</v>
  </rv>
  <rv s="4">
    <v>https://www.bing.com/search?q=turkmenistan&amp;form=skydnc</v>
    <v>Learn more on Bing</v>
  </rv>
  <rv s="0">
    <fb>68.072999999999993</fb>
    <v>34</v>
  </rv>
  <rv s="0">
    <fb>0.71071380100000003</fb>
    <v>28</v>
  </rv>
  <rv s="0">
    <fb>2.2246999999999999</fb>
    <v>29</v>
  </rv>
  <rv s="0">
    <fb>6430770</fb>
    <v>9</v>
  </rv>
  <rv s="0">
    <fb>0.317</fb>
    <v>28</v>
  </rv>
  <rv s="0">
    <fb>0.64482002258300797</fb>
    <v>28</v>
  </rv>
  <rv s="1">
    <v>536870912</v>
    <v>Ahal Region</v>
    <v>e959d3af-7327-7310-a82c-ef09b4e7d497</v>
    <v>en-US</v>
    <v>Map</v>
  </rv>
  <rv s="1">
    <v>536870912</v>
    <v>Balkan Region</v>
    <v>e24600bb-4cc6-3f3e-2a8d-72afa3798c4e</v>
    <v>en-US</v>
    <v>Map</v>
  </rv>
  <rv s="1">
    <v>536870912</v>
    <v>Daşoguz Region</v>
    <v>28778168-265d-7a94-6027-6d542686cd26</v>
    <v>en-US</v>
    <v>Map</v>
  </rv>
  <rv s="1">
    <v>536870912</v>
    <v>Lebap Region</v>
    <v>121e66e3-57d4-d75e-bd7f-be1f0903ae04</v>
    <v>en-US</v>
    <v>Map</v>
  </rv>
  <rv s="1">
    <v>536870912</v>
    <v>Mary Region</v>
    <v>66258e45-7780-01ed-8222-fdac4996dc92</v>
    <v>en-US</v>
    <v>Map</v>
  </rv>
  <rv s="3">
    <v>664</v>
  </rv>
  <rv s="3">
    <v>665</v>
  </rv>
  <rv s="0">
    <fb>3.9130001068115199E-2</fb>
    <v>35</v>
  </rv>
  <rv s="0">
    <fb>3092738</fb>
    <v>9</v>
  </rv>
  <rv s="102">
    <v>#VALUE!</v>
    <v>en-US</v>
    <v>664b94e6-8775-89e5-15d6-25a9db3a3dc0</v>
    <v>536870912</v>
    <v>1</v>
    <v>1518</v>
    <v>1519</v>
    <v>Turkmenistan</v>
    <v>5</v>
    <v>6</v>
    <v>Map</v>
    <v>7</v>
    <v>1520</v>
    <v>TM</v>
    <v>9638</v>
    <v>9639</v>
    <v>3190</v>
    <v>9640</v>
    <v>9641</v>
    <v>9628</v>
    <v>9642</v>
    <v>TMT</v>
    <v>Turkmenistan is a landlocked country in Central Asia bordered by Kazakhstan to the northwest, Uzbekistan to the north, east and northeast, Afghanistan to the southeast, Iran to the south and southwest and the Caspian Sea to the west. Ashgabat is ...</v>
    <v>9643</v>
    <v>9644</v>
    <v>9645</v>
    <v>1465</v>
    <v>9646</v>
    <v>9647</v>
    <v>9648</v>
    <v>9649</v>
    <v>9368</v>
    <v>9628</v>
    <v>9653</v>
    <v>9654</v>
    <v>9655</v>
    <v>3844</v>
    <v>2462</v>
    <v>Turkmenistan</v>
    <v>State Anthem of Turkmenistan</v>
    <v>9635</v>
    <v>Türkmenistan</v>
    <v>9656</v>
    <v>9657</v>
    <v>9658</v>
    <v>2825</v>
    <v>9659</v>
    <v>5018</v>
    <v>5603</v>
    <v>8254</v>
    <v>1052</v>
    <v>4241</v>
    <v>9660</v>
    <v>9666</v>
    <v>9667</v>
    <v>9668</v>
    <v>Turkmenistan</v>
    <v>9669</v>
    <v>mdp/vdpid/238</v>
  </rv>
  <rv s="1">
    <v>536870912</v>
    <v>Funafuti</v>
    <v>5d09e1a9-6309-4ead-bcd0-d3ce71ae25d1</v>
    <v>en-US</v>
    <v>Map</v>
  </rv>
  <rv s="0">
    <fb>2.4</fb>
    <v>9</v>
  </rv>
  <rv s="1">
    <v>536870912</v>
    <v>Tuvalu</v>
    <v>bb5acbbf-f8c0-1043-b404-d55ae0eb22b2</v>
    <v>en-US</v>
    <v>Map</v>
  </rv>
  <rv s="2">
    <v>332</v>
    <v>7</v>
    <v>1521</v>
    <v>7</v>
    <v>0</v>
    <v>Image of Funafuti</v>
  </rv>
  <rv s="1">
    <v>536870912</v>
    <v>Vaiaku</v>
    <v>5c4246c1-fa62-11e0-666a-2e3945c15339</v>
    <v>en-US</v>
    <v>Map</v>
  </rv>
  <rv s="4">
    <v>https://www.bing.com/search?q=funafuti&amp;form=skydnc</v>
    <v>Learn more on Bing</v>
  </rv>
  <rv s="0">
    <fb>6025</fb>
    <v>9</v>
  </rv>
  <rv s="103">
    <v>#VALUE!</v>
    <v>en-US</v>
    <v>5d09e1a9-6309-4ead-bcd0-d3ce71ae25d1</v>
    <v>536870912</v>
    <v>1</v>
    <v>1523</v>
    <v>1524</v>
    <v>Funafuti</v>
    <v>5</v>
    <v>6</v>
    <v>Map</v>
    <v>7</v>
    <v>571</v>
    <v>TV-FUN</v>
    <v>9672</v>
    <v>9673</v>
    <v>Funafuti is an atoll, comprising numerous islets, that serves as the capital of Tuvalu. As of the 2017 census, it has a population of 6,320 people. More people live in Funafuti than the rest of Tuvalu combined, with it containing approximately ...</v>
    <v>9674</v>
    <v>9675</v>
    <v>9676</v>
    <v>Funafuti</v>
    <v>9677</v>
    <v>3500</v>
    <v>Funafuti</v>
    <v>mdp/vdpid/8844658812037103617</v>
  </rv>
  <rv s="0">
    <fb>0.59999998410542699</fb>
    <v>28</v>
  </rv>
  <rv s="0">
    <fb>688</fb>
    <v>30</v>
  </rv>
  <rv s="0">
    <fb>11.000999999999999</fb>
    <v>9</v>
  </rv>
  <rv s="0">
    <fb>47271463.329857498</fb>
    <v>33</v>
  </rv>
  <rv s="0">
    <fb>0.86029889999999998</fb>
    <v>28</v>
  </rv>
  <rv s="2">
    <v>333</v>
    <v>7</v>
    <v>1526</v>
    <v>7</v>
    <v>0</v>
    <v>Image of Tuvalu</v>
  </rv>
  <rv s="0">
    <fb>20.6</fb>
    <v>34</v>
  </rv>
  <rv s="1">
    <v>805306368</v>
    <v>Feleti Teo (Prime minister)</v>
    <v>f6e90abb-a1af-2e33-83c0-947afa33f035</v>
    <v>en-US</v>
    <v>Generic</v>
  </rv>
  <rv s="3">
    <v>666</v>
  </rv>
  <rv s="4">
    <v>https://www.bing.com/search?q=tuvalu&amp;form=skydnc</v>
    <v>Learn more on Bing</v>
  </rv>
  <rv s="3">
    <v>667</v>
  </rv>
  <rv s="0">
    <fb>7.4982205000000005E-3</fb>
    <v>28</v>
  </rv>
  <rv s="0">
    <fb>0.91739999999999999</fb>
    <v>29</v>
  </rv>
  <rv s="0">
    <fb>11312</fb>
    <v>9</v>
  </rv>
  <rv s="0">
    <fb>7362</fb>
    <v>9</v>
  </rv>
  <rv s="104">
    <v>#VALUE!</v>
    <v>en-US</v>
    <v>bb5acbbf-f8c0-1043-b404-d55ae0eb22b2</v>
    <v>536870912</v>
    <v>1</v>
    <v>1529</v>
    <v>1530</v>
    <v>Tuvalu</v>
    <v>5</v>
    <v>6</v>
    <v>Map</v>
    <v>7</v>
    <v>1531</v>
    <v>TV</v>
    <v>9679</v>
    <v>2793</v>
    <v>9680</v>
    <v>9671</v>
    <v>9681</v>
    <v>AUD</v>
    <v>Tuvalu is an island country in the Polynesian subregion of Oceania in the Pacific Ocean, about midway between Hawaii and Australia. It lies east-northeast of the Santa Cruz Islands, northeast of Vanuatu, southeast of Nauru, south of Kiribati, ...</v>
    <v>2850</v>
    <v>9682</v>
    <v>9683</v>
    <v>9684</v>
    <v>9685</v>
    <v>9671</v>
    <v>9687</v>
    <v>9688</v>
    <v>Tuvalu</v>
    <v>Tuvalu mo te Atua</v>
    <v>9689</v>
    <v>Tuvalu</v>
    <v>9690</v>
    <v>9691</v>
    <v>9692</v>
    <v>1659</v>
    <v>8453</v>
    <v>8050</v>
    <v>1287</v>
    <v>3975</v>
    <v>728</v>
    <v>1754</v>
    <v>3500</v>
    <v>Tuvalu</v>
    <v>9693</v>
    <v>mdp/vdpid/236</v>
  </rv>
  <rv s="1">
    <v>536870912</v>
    <v>Kampala</v>
    <v>67dc76a5-510b-2628-8dfa-cbbf87564c1c</v>
    <v>en-US</v>
    <v>Map</v>
  </rv>
  <rv s="0">
    <fb>189</fb>
    <v>9</v>
  </rv>
  <rv s="1">
    <v>536870912</v>
    <v>Uganda</v>
    <v>7d4e292c-ed0f-b242-321c-a056c115e6cc</v>
    <v>en-US</v>
    <v>Map</v>
  </rv>
  <rv s="2">
    <v>334</v>
    <v>7</v>
    <v>1533</v>
    <v>7</v>
    <v>0</v>
    <v>Image of Kampala</v>
  </rv>
  <rv s="1">
    <v>805306368</v>
    <v>Erias Lukwago (Mayor)</v>
    <v>b6146674-626b-4f7f-5000-0310579899f6</v>
    <v>en-US</v>
    <v>Generic</v>
  </rv>
  <rv s="3">
    <v>668</v>
  </rv>
  <rv s="4">
    <v>https://www.bing.com/search?q=kampala&amp;form=skydnc</v>
    <v>Learn more on Bing</v>
  </rv>
  <rv s="0">
    <fb>1680600</fb>
    <v>9</v>
  </rv>
  <rv s="16">
    <v>#VALUE!</v>
    <v>en-US</v>
    <v>67dc76a5-510b-2628-8dfa-cbbf87564c1c</v>
    <v>536870912</v>
    <v>1</v>
    <v>1534</v>
    <v>92</v>
    <v>Kampala</v>
    <v>5</v>
    <v>6</v>
    <v>Map</v>
    <v>7</v>
    <v>125</v>
    <v>UG-102</v>
    <v>9696</v>
    <v>9697</v>
    <v>Kampala is the capital and largest city of Uganda. The city proper has a population of 1,875,834 and is divided into the five political divisions of Kampala, Kawempe, Makindye, Nakawa, and Rubaga. Kampala's metropolitan area consists of the city ...</v>
    <v>9698</v>
    <v>9700</v>
    <v>9701</v>
    <v>Kampala</v>
    <v>9702</v>
    <v>1020</v>
    <v>Kampala</v>
    <v>mdp/vdpid/7223865843434651649</v>
  </rv>
  <rv s="0">
    <fb>0.71888090963494899</fb>
    <v>28</v>
  </rv>
  <rv s="0">
    <fb>241038</fb>
    <v>9</v>
  </rv>
  <rv s="0">
    <fb>46000</fb>
    <v>9</v>
  </rv>
  <rv s="0">
    <fb>38.134999999999998</fb>
    <v>29</v>
  </rv>
  <rv s="0">
    <fb>256</fb>
    <v>30</v>
  </rv>
  <rv s="0">
    <fb>5680.183</fb>
    <v>9</v>
  </rv>
  <rv s="0">
    <fb>173.871268176331</fb>
    <v>31</v>
  </rv>
  <rv s="0">
    <fb>2.8690942502055398E-2</fb>
    <v>28</v>
  </rv>
  <rv s="0">
    <fb>4.9550000000000001</fb>
    <v>29</v>
  </rv>
  <rv s="0">
    <fb>9.6838223061446696E-2</fb>
    <v>28</v>
  </rv>
  <rv s="0">
    <fb>0.94</fb>
    <v>32</v>
  </rv>
  <rv s="0">
    <fb>34387229486.400803</fb>
    <v>33</v>
  </rv>
  <rv s="0">
    <fb>1.0270471000000001</fb>
    <v>28</v>
  </rv>
  <rv s="0">
    <fb>4.8366400000000004E-2</fb>
    <v>28</v>
  </rv>
  <rv s="2">
    <v>335</v>
    <v>7</v>
    <v>1536</v>
    <v>7</v>
    <v>0</v>
    <v>Image of Uganda</v>
  </rv>
  <rv s="0">
    <fb>33.799999999999997</fb>
    <v>34</v>
  </rv>
  <rv s="1">
    <v>805306368</v>
    <v>Yoweri Museveni (President)</v>
    <v>64dcefe8-9e50-6c08-a717-3213c308913a</v>
    <v>en-US</v>
    <v>Generic</v>
  </rv>
  <rv s="1">
    <v>805306368</v>
    <v>Jessica Alupo (Vice president)</v>
    <v>d4586258-cc35-d9b7-4504-0bcd193c3259</v>
    <v>en-US</v>
    <v>Generic</v>
  </rv>
  <rv s="1">
    <v>805306368</v>
    <v>Robinah Nabbanja (Prime minister)</v>
    <v>48911f0c-c5ae-841e-ad36-d7f43af76493</v>
    <v>en-US</v>
    <v>Generic</v>
  </rv>
  <rv s="3">
    <v>669</v>
  </rv>
  <rv s="4">
    <v>https://www.bing.com/search?q=uganda&amp;form=skydnc</v>
    <v>Learn more on Bing</v>
  </rv>
  <rv s="0">
    <fb>62.972999999999999</fb>
    <v>34</v>
  </rv>
  <rv s="0">
    <fb>375</fb>
    <v>34</v>
  </rv>
  <rv s="0">
    <fb>0.01</fb>
    <v>32</v>
  </rv>
  <rv s="3">
    <v>670</v>
  </rv>
  <rv s="0">
    <fb>0.40501093429999996</fb>
    <v>28</v>
  </rv>
  <rv s="0">
    <fb>0.16800000000000001</fb>
    <v>29</v>
  </rv>
  <rv s="0">
    <fb>47249585</fb>
    <v>9</v>
  </rv>
  <rv s="0">
    <fb>0.34200000000000003</fb>
    <v>28</v>
  </rv>
  <rv s="0">
    <fb>2.5000000000000001E-2</fb>
    <v>28</v>
  </rv>
  <rv s="0">
    <fb>0.13800000000000001</fb>
    <v>28</v>
  </rv>
  <rv s="0">
    <fb>0.703369979858398</fb>
    <v>28</v>
  </rv>
  <rv s="1">
    <v>536870912</v>
    <v>Buikwe District</v>
    <v>f2d05439-5ff8-6b50-30cf-2de0bd18486b</v>
    <v>en-US</v>
    <v>Map</v>
  </rv>
  <rv s="1">
    <v>536870912</v>
    <v>Bukomansimbi District</v>
    <v>8ec77aae-1d78-247d-142a-a1b24a683ac6</v>
    <v>en-US</v>
    <v>Map</v>
  </rv>
  <rv s="1">
    <v>536870912</v>
    <v>Butambala District</v>
    <v>1696851b-eca8-466d-8416-035ee72a7504</v>
    <v>en-US</v>
    <v>Map</v>
  </rv>
  <rv s="1">
    <v>536870912</v>
    <v>Buvuma District</v>
    <v>416c9b18-8eab-41df-90f0-a88344a8ff8e</v>
    <v>en-US</v>
    <v>Map</v>
  </rv>
  <rv s="1">
    <v>536870912</v>
    <v>Gomba District</v>
    <v>708b530f-631c-49cc-b584-8772420f1bd6</v>
    <v>en-US</v>
    <v>Map</v>
  </rv>
  <rv s="1">
    <v>536870912</v>
    <v>Kalangala District</v>
    <v>58006821-1b21-7c0d-aa1a-cc52a621c055</v>
    <v>en-US</v>
    <v>Map</v>
  </rv>
  <rv s="1">
    <v>536870912</v>
    <v>Kalungu District</v>
    <v>6c800f8c-8e3e-ff73-84fd-7d26b506a62c</v>
    <v>en-US</v>
    <v>Map</v>
  </rv>
  <rv s="1">
    <v>536870912</v>
    <v>Kampala District</v>
    <v>c83cc293-6fb4-3b16-2054-3f9547fff4a3</v>
    <v>en-US</v>
    <v>Map</v>
  </rv>
  <rv s="1">
    <v>536870912</v>
    <v>Kayunga District</v>
    <v>370c3c3a-0e9d-db15-f2d2-412b1843cdb4</v>
    <v>en-US</v>
    <v>Map</v>
  </rv>
  <rv s="1">
    <v>536870912</v>
    <v>Kiboga District</v>
    <v>7098ef10-c952-8824-8790-67b6e0941d29</v>
    <v>en-US</v>
    <v>Map</v>
  </rv>
  <rv s="1">
    <v>536870912</v>
    <v>Kyankwanzi District</v>
    <v>4e677004-908e-1591-6fdf-cb50ffe78955</v>
    <v>en-US</v>
    <v>Map</v>
  </rv>
  <rv s="1">
    <v>536870912</v>
    <v>Luweero District</v>
    <v>c392e326-e5cc-b98d-074d-67f021fc0fd5</v>
    <v>en-US</v>
    <v>Map</v>
  </rv>
  <rv s="1">
    <v>536870912</v>
    <v>Lwengo District</v>
    <v>00af7840-bc24-7461-e13d-426be139ba35</v>
    <v>en-US</v>
    <v>Map</v>
  </rv>
  <rv s="1">
    <v>536870912</v>
    <v>Lyantonde District</v>
    <v>96a41db4-7c72-96b4-2716-be8ff9b54bc1</v>
    <v>en-US</v>
    <v>Map</v>
  </rv>
  <rv s="1">
    <v>536870912</v>
    <v>Masaka District</v>
    <v>fdbaf2dc-1526-073f-4c14-17bbfaaea07f</v>
    <v>en-US</v>
    <v>Map</v>
  </rv>
  <rv s="1">
    <v>536870912</v>
    <v>Mityana District</v>
    <v>349d406a-b304-30dd-2477-b8c66412da0f</v>
    <v>en-US</v>
    <v>Map</v>
  </rv>
  <rv s="1">
    <v>536870912</v>
    <v>Mpigi District</v>
    <v>a40a0def-8780-45c6-e099-6aa139f00ea5</v>
    <v>en-US</v>
    <v>Map</v>
  </rv>
  <rv s="1">
    <v>536870912</v>
    <v>Mubende District</v>
    <v>3cbf7551-fa5f-aad7-9286-d23f5d922824</v>
    <v>en-US</v>
    <v>Map</v>
  </rv>
  <rv s="1">
    <v>536870912</v>
    <v>Mukono District</v>
    <v>e480dfcc-09c7-9c93-4144-80ef8b7bdfc6</v>
    <v>en-US</v>
    <v>Map</v>
  </rv>
  <rv s="1">
    <v>536870912</v>
    <v>Nakaseke District</v>
    <v>5c0e5eb9-7540-dcb2-c61f-7f163e27ca0d</v>
    <v>en-US</v>
    <v>Map</v>
  </rv>
  <rv s="1">
    <v>536870912</v>
    <v>Nakasongola District</v>
    <v>5b572f0b-1499-e070-55f3-965f13ba8e82</v>
    <v>en-US</v>
    <v>Map</v>
  </rv>
  <rv s="1">
    <v>536870912</v>
    <v>Rakai District</v>
    <v>c49b1a37-023c-a446-57a8-ae53ec038f4a</v>
    <v>en-US</v>
    <v>Map</v>
  </rv>
  <rv s="1">
    <v>536870912</v>
    <v>Sembabule District</v>
    <v>33029761-5f47-be41-6171-3b18eae54c98</v>
    <v>en-US</v>
    <v>Map</v>
  </rv>
  <rv s="1">
    <v>536870912</v>
    <v>Wakiso District</v>
    <v>92994034-0e70-8ea3-c37f-3ecbeff6f9bf</v>
    <v>en-US</v>
    <v>Map</v>
  </rv>
  <rv s="1">
    <v>536870912</v>
    <v>Amuria District</v>
    <v>62b6eaa7-09bf-3e57-dd64-6e07cefb791c</v>
    <v>en-US</v>
    <v>Map</v>
  </rv>
  <rv s="1">
    <v>536870912</v>
    <v>Budaka District</v>
    <v>d498d986-dc74-9fb3-d622-049468a3ca7c</v>
    <v>en-US</v>
    <v>Map</v>
  </rv>
  <rv s="1">
    <v>536870912</v>
    <v>Bududa District</v>
    <v>8657e48e-c424-565b-31db-ec71b8d19f95</v>
    <v>en-US</v>
    <v>Map</v>
  </rv>
  <rv s="1">
    <v>536870912</v>
    <v>Bugiri District</v>
    <v>cd2c9903-0268-600c-2301-b18517147e32</v>
    <v>en-US</v>
    <v>Map</v>
  </rv>
  <rv s="1">
    <v>536870912</v>
    <v>Bukedea District</v>
    <v>f8770798-37e6-8c33-0dcb-ba1e6fc8264f</v>
    <v>en-US</v>
    <v>Map</v>
  </rv>
  <rv s="1">
    <v>536870912</v>
    <v>Bukwo District</v>
    <v>b0ac9f47-f5ef-8f68-b61f-1bb7249dce79</v>
    <v>en-US</v>
    <v>Map</v>
  </rv>
  <rv s="1">
    <v>536870912</v>
    <v>Bulambuli District</v>
    <v>0157d6f5-cb41-a186-0cdd-b0e889f2633d</v>
    <v>en-US</v>
    <v>Map</v>
  </rv>
  <rv s="1">
    <v>536870912</v>
    <v>Busia District</v>
    <v>17e18ab6-99aa-b26b-5dad-972405c9cef1</v>
    <v>en-US</v>
    <v>Map</v>
  </rv>
  <rv s="1">
    <v>536870912</v>
    <v>Butaleja District</v>
    <v>6ec87612-56ac-797c-19ca-04732aa20455</v>
    <v>en-US</v>
    <v>Map</v>
  </rv>
  <rv s="1">
    <v>536870912</v>
    <v>Buyende District</v>
    <v>8076d2d9-f5c3-a7d3-0508-44efbb5cb9f9</v>
    <v>en-US</v>
    <v>Map</v>
  </rv>
  <rv s="1">
    <v>536870912</v>
    <v>Iganga District</v>
    <v>26be4719-c7f6-c6a8-a9a8-77855569bf38</v>
    <v>en-US</v>
    <v>Map</v>
  </rv>
  <rv s="1">
    <v>536870912</v>
    <v>Jinja District</v>
    <v>391480b0-1696-2af0-5402-d63f88f6a374</v>
    <v>en-US</v>
    <v>Map</v>
  </rv>
  <rv s="1">
    <v>536870912</v>
    <v>Kaberamaido District</v>
    <v>ba81d5dd-db0c-6458-874d-9b6520a4f927</v>
    <v>en-US</v>
    <v>Map</v>
  </rv>
  <rv s="1">
    <v>536870912</v>
    <v>Kaliro District</v>
    <v>d25ae4be-60c8-28ad-b542-0579eb5e5e08</v>
    <v>en-US</v>
    <v>Map</v>
  </rv>
  <rv s="1">
    <v>536870912</v>
    <v>Kamuli District</v>
    <v>2ab20290-b9ef-ff6d-5a71-a1488c48dba9</v>
    <v>en-US</v>
    <v>Map</v>
  </rv>
  <rv s="1">
    <v>536870912</v>
    <v>Kapchorwa District</v>
    <v>a10a6813-4134-8e2a-ab93-5b103a547690</v>
    <v>en-US</v>
    <v>Map</v>
  </rv>
  <rv s="1">
    <v>536870912</v>
    <v>Katakwi District</v>
    <v>6a7d6c62-081e-feef-1891-12a7d94affaa</v>
    <v>en-US</v>
    <v>Map</v>
  </rv>
  <rv s="1">
    <v>536870912</v>
    <v>Kibuku District</v>
    <v>7c9a91b5-1b20-c9bf-b578-ccc27a797688</v>
    <v>en-US</v>
    <v>Map</v>
  </rv>
  <rv s="1">
    <v>536870912</v>
    <v>Kumi District</v>
    <v>e6191e07-e190-3dfd-23bb-afebb37771aa</v>
    <v>en-US</v>
    <v>Map</v>
  </rv>
  <rv s="1">
    <v>536870912</v>
    <v>Kween District</v>
    <v>14446749-1edf-430d-a957-9549fad0639f</v>
    <v>en-US</v>
    <v>Map</v>
  </rv>
  <rv s="1">
    <v>536870912</v>
    <v>Luuka District</v>
    <v>1c905aa8-cfad-c3c3-7dd1-44006298f4d6</v>
    <v>en-US</v>
    <v>Map</v>
  </rv>
  <rv s="1">
    <v>536870912</v>
    <v>Manafwa District</v>
    <v>c3af2571-26f0-4cdc-8404-f925367b46ab</v>
    <v>en-US</v>
    <v>Map</v>
  </rv>
  <rv s="1">
    <v>536870912</v>
    <v>Mayuge District</v>
    <v>56dc6b83-adb7-85f5-76cf-152842f1a9fb</v>
    <v>en-US</v>
    <v>Map</v>
  </rv>
  <rv s="1">
    <v>536870912</v>
    <v>Mbale District</v>
    <v>43976d14-a481-641c-05cf-fcfc64808710</v>
    <v>en-US</v>
    <v>Map</v>
  </rv>
  <rv s="1">
    <v>536870912</v>
    <v>Namayingo District</v>
    <v>9df0191e-0c52-3bbd-6550-761b97792eaf</v>
    <v>en-US</v>
    <v>Map</v>
  </rv>
  <rv s="1">
    <v>536870912</v>
    <v>Namutumba District</v>
    <v>6402dcf1-8914-1dce-87a0-1d38079f98c1</v>
    <v>en-US</v>
    <v>Map</v>
  </rv>
  <rv s="1">
    <v>536870912</v>
    <v>Ngora District</v>
    <v>36906f64-bf0f-b140-6046-bb958997fe07</v>
    <v>en-US</v>
    <v>Map</v>
  </rv>
  <rv s="1">
    <v>536870912</v>
    <v>Pallisa District</v>
    <v>118ed6a1-7a16-b582-2fe5-b5756970beac</v>
    <v>en-US</v>
    <v>Map</v>
  </rv>
  <rv s="1">
    <v>536870912</v>
    <v>Serere District</v>
    <v>91191892-8a33-db6c-26ac-5caaefce7c56</v>
    <v>en-US</v>
    <v>Map</v>
  </rv>
  <rv s="1">
    <v>536870912</v>
    <v>Sironko District</v>
    <v>2b6fab9c-0eff-254e-b2c3-6da8a6a6badc</v>
    <v>en-US</v>
    <v>Map</v>
  </rv>
  <rv s="1">
    <v>536870912</v>
    <v>Soroti District</v>
    <v>4d164bfe-cb33-98ab-4b82-d2bcf1e0e8d9</v>
    <v>en-US</v>
    <v>Map</v>
  </rv>
  <rv s="1">
    <v>536870912</v>
    <v>Tororo District</v>
    <v>dce4500c-36f9-2b4c-f31f-96d86bde4f96</v>
    <v>en-US</v>
    <v>Map</v>
  </rv>
  <rv s="1">
    <v>536870912</v>
    <v>Abim District</v>
    <v>29419ebc-02d5-d463-1718-3ddb57ae5fa8</v>
    <v>en-US</v>
    <v>Map</v>
  </rv>
  <rv s="1">
    <v>536870912</v>
    <v>Adjumani District</v>
    <v>f1ccc807-1fbf-9ec8-576c-bb8edfa3d2f0</v>
    <v>en-US</v>
    <v>Map</v>
  </rv>
  <rv s="1">
    <v>536870912</v>
    <v>Agago District</v>
    <v>b222976f-8edd-b694-6458-aa73ed6b3813</v>
    <v>en-US</v>
    <v>Map</v>
  </rv>
  <rv s="1">
    <v>536870912</v>
    <v>Alebtong District</v>
    <v>6b1f40e5-ee78-1be9-f408-14344b3ca2cd</v>
    <v>en-US</v>
    <v>Map</v>
  </rv>
  <rv s="1">
    <v>536870912</v>
    <v>Amolatar District</v>
    <v>a09c2577-38a8-d27b-ea09-771cc3fac468</v>
    <v>en-US</v>
    <v>Map</v>
  </rv>
  <rv s="1">
    <v>536870912</v>
    <v>Amudat District</v>
    <v>ecc13e2b-baa6-8e85-4b58-8d2b49796271</v>
    <v>en-US</v>
    <v>Map</v>
  </rv>
  <rv s="1">
    <v>536870912</v>
    <v>Amuru District</v>
    <v>d9026d8b-8b48-53b6-c503-538a14819689</v>
    <v>en-US</v>
    <v>Map</v>
  </rv>
  <rv s="1">
    <v>536870912</v>
    <v>Apac District</v>
    <v>105fe9c4-60a3-c53a-4273-31345d63648f</v>
    <v>en-US</v>
    <v>Map</v>
  </rv>
  <rv s="1">
    <v>536870912</v>
    <v>Arua District</v>
    <v>d10bc05c-b917-5132-fc07-c25892a2104a</v>
    <v>en-US</v>
    <v>Map</v>
  </rv>
  <rv s="1">
    <v>536870912</v>
    <v>Dokolo District</v>
    <v>8251b00b-c485-1978-73e7-88bcde6320d4</v>
    <v>en-US</v>
    <v>Map</v>
  </rv>
  <rv s="1">
    <v>536870912</v>
    <v>Gulu District</v>
    <v>5c0ee095-c4e1-a7d2-497f-be1b6a1eb173</v>
    <v>en-US</v>
    <v>Map</v>
  </rv>
  <rv s="1">
    <v>536870912</v>
    <v>Kaabong District</v>
    <v>91b83a77-147e-9a6c-bbf8-4101cc86b1c7</v>
    <v>en-US</v>
    <v>Map</v>
  </rv>
  <rv s="1">
    <v>536870912</v>
    <v>Kitgum District</v>
    <v>50215a5b-1892-7209-2bd3-698149bfa23b</v>
    <v>en-US</v>
    <v>Map</v>
  </rv>
  <rv s="1">
    <v>536870912</v>
    <v>Koboko District</v>
    <v>27d6756f-de04-c1aa-6001-e4dbf8cdea9c</v>
    <v>en-US</v>
    <v>Map</v>
  </rv>
  <rv s="1">
    <v>536870912</v>
    <v>Kole District</v>
    <v>5b170021-649b-a2a0-8c68-7baca0933acb</v>
    <v>en-US</v>
    <v>Map</v>
  </rv>
  <rv s="1">
    <v>536870912</v>
    <v>Kotido District</v>
    <v>bc702f99-12ce-1a40-b9a7-4052844938fd</v>
    <v>en-US</v>
    <v>Map</v>
  </rv>
  <rv s="1">
    <v>536870912</v>
    <v>Lamwo District</v>
    <v>b403abf2-5a6e-7a8e-2a9a-1322456652fa</v>
    <v>en-US</v>
    <v>Map</v>
  </rv>
  <rv s="1">
    <v>536870912</v>
    <v>Lira District</v>
    <v>27bfe193-81e1-de65-9276-6a05bec4202c</v>
    <v>en-US</v>
    <v>Map</v>
  </rv>
  <rv s="1">
    <v>536870912</v>
    <v>Maracha District</v>
    <v>f49a2190-86b5-4a0c-9af1-e39345080f68</v>
    <v>en-US</v>
    <v>Map</v>
  </rv>
  <rv s="1">
    <v>536870912</v>
    <v>Moroto District</v>
    <v>dc0215d6-6809-a84b-50db-cf59190a5e3c</v>
    <v>en-US</v>
    <v>Map</v>
  </rv>
  <rv s="1">
    <v>536870912</v>
    <v>Moyo District</v>
    <v>fae9c60f-c426-b205-4769-62bdbade277f</v>
    <v>en-US</v>
    <v>Map</v>
  </rv>
  <rv s="1">
    <v>536870912</v>
    <v>Nakapiripirit District</v>
    <v>b0413110-b35a-5dc4-d613-1884a3a3f825</v>
    <v>en-US</v>
    <v>Map</v>
  </rv>
  <rv s="1">
    <v>536870912</v>
    <v>Napak District</v>
    <v>2623ca7b-24ff-6bc5-0f7f-54cf577efb03</v>
    <v>en-US</v>
    <v>Map</v>
  </rv>
  <rv s="1">
    <v>536870912</v>
    <v>Nebbi District</v>
    <v>dc446f39-de00-40cb-995a-214cc7bf68db</v>
    <v>en-US</v>
    <v>Map</v>
  </rv>
  <rv s="1">
    <v>536870912</v>
    <v>Nwoya District</v>
    <v>f3e049a4-0c17-ce1b-c574-2bfc5b84979b</v>
    <v>en-US</v>
    <v>Map</v>
  </rv>
  <rv s="1">
    <v>536870912</v>
    <v>Otuke District</v>
    <v>2996036d-3a48-3622-acc9-95d959d4a908</v>
    <v>en-US</v>
    <v>Map</v>
  </rv>
  <rv s="1">
    <v>536870912</v>
    <v>Oyam District</v>
    <v>74e5f8bd-ae17-ac2f-cc45-97ac94fad502</v>
    <v>en-US</v>
    <v>Map</v>
  </rv>
  <rv s="1">
    <v>536870912</v>
    <v>Pader District</v>
    <v>d87460b6-de91-068e-d672-471043777b03</v>
    <v>en-US</v>
    <v>Map</v>
  </rv>
  <rv s="1">
    <v>536870912</v>
    <v>Yumbe District</v>
    <v>9b6d24af-f700-20f2-bae5-f166b7710505</v>
    <v>en-US</v>
    <v>Map</v>
  </rv>
  <rv s="1">
    <v>536870912</v>
    <v>Zombo District</v>
    <v>ae245e52-5be7-fe52-70bb-b4d848626fb6</v>
    <v>en-US</v>
    <v>Map</v>
  </rv>
  <rv s="1">
    <v>536870912</v>
    <v>Buhweju District</v>
    <v>79190a2f-d12c-433e-764a-b3471324f6d6</v>
    <v>en-US</v>
    <v>Map</v>
  </rv>
  <rv s="1">
    <v>536870912</v>
    <v>Buliisa District</v>
    <v>cd8e84d5-4bb8-4f3c-a0b5-d8872f3b9bb6</v>
    <v>en-US</v>
    <v>Map</v>
  </rv>
  <rv s="1">
    <v>536870912</v>
    <v>Bundibugyo District</v>
    <v>5070546d-172d-504d-84b2-cb60beaa53cb</v>
    <v>en-US</v>
    <v>Map</v>
  </rv>
  <rv s="1">
    <v>536870912</v>
    <v>Bushenyi District</v>
    <v>b510ce84-718b-5a27-dea9-1001b7f638bb</v>
    <v>en-US</v>
    <v>Map</v>
  </rv>
  <rv s="1">
    <v>536870912</v>
    <v>Hoima District</v>
    <v>c88659b1-d54d-0803-c9db-28c20330b186</v>
    <v>en-US</v>
    <v>Map</v>
  </rv>
  <rv s="1">
    <v>536870912</v>
    <v>Ibanda District</v>
    <v>4c4632c3-35e2-d358-9121-e37a61d23cdc</v>
    <v>en-US</v>
    <v>Map</v>
  </rv>
  <rv s="1">
    <v>536870912</v>
    <v>Isingiro District</v>
    <v>bd8b4022-a46f-425a-8116-afb371a30b09</v>
    <v>en-US</v>
    <v>Map</v>
  </rv>
  <rv s="1">
    <v>536870912</v>
    <v>Kabale District</v>
    <v>dfad3502-a75c-be56-bf1e-0e579198a3c1</v>
    <v>en-US</v>
    <v>Map</v>
  </rv>
  <rv s="1">
    <v>536870912</v>
    <v>Kabarole District</v>
    <v>f4797522-0c91-ea89-11cb-574094365b9f</v>
    <v>en-US</v>
    <v>Map</v>
  </rv>
  <rv s="1">
    <v>536870912</v>
    <v>Kamwenge District</v>
    <v>3f708bdd-7305-f197-4802-a9576e4317e7</v>
    <v>en-US</v>
    <v>Map</v>
  </rv>
  <rv s="1">
    <v>536870912</v>
    <v>Kanungu District</v>
    <v>783daab0-54ba-da4d-8fed-48310841ca5c</v>
    <v>en-US</v>
    <v>Map</v>
  </rv>
  <rv s="1">
    <v>536870912</v>
    <v>Kasese District</v>
    <v>921b9091-cac8-b129-f1b4-b2306086d5a1</v>
    <v>en-US</v>
    <v>Map</v>
  </rv>
  <rv s="1">
    <v>536870912</v>
    <v>Kibaale District</v>
    <v>485b9be2-73eb-235b-ff88-53e8af67fdd2</v>
    <v>en-US</v>
    <v>Map</v>
  </rv>
  <rv s="1">
    <v>536870912</v>
    <v>Kiruhura District</v>
    <v>6b35e7d6-57b4-ef6d-4ffa-c04a106794c9</v>
    <v>en-US</v>
    <v>Map</v>
  </rv>
  <rv s="1">
    <v>536870912</v>
    <v>Kiryandongo District</v>
    <v>5e41d164-5f19-e9a8-af85-bd30778b9e78</v>
    <v>en-US</v>
    <v>Map</v>
  </rv>
  <rv s="1">
    <v>536870912</v>
    <v>Kisoro District</v>
    <v>76a0add3-0ea7-4a53-0204-438f9d016993</v>
    <v>en-US</v>
    <v>Map</v>
  </rv>
  <rv s="1">
    <v>536870912</v>
    <v>Kyegegwa District</v>
    <v>ded72a78-23a1-49df-b898-21114048313a</v>
    <v>en-US</v>
    <v>Map</v>
  </rv>
  <rv s="1">
    <v>536870912</v>
    <v>Kyenjojo District</v>
    <v>e6967dc8-9abc-c412-90c2-8ad0876a1536</v>
    <v>en-US</v>
    <v>Map</v>
  </rv>
  <rv s="1">
    <v>536870912</v>
    <v>Masindi District</v>
    <v>bfcc000b-e7b3-cc6c-8ecb-81a5d281523c</v>
    <v>en-US</v>
    <v>Map</v>
  </rv>
  <rv s="1">
    <v>536870912</v>
    <v>Mbarara district</v>
    <v>3004c94f-fb81-fc83-acc3-5c52730ceff3</v>
    <v>en-US</v>
    <v>Map</v>
  </rv>
  <rv s="1">
    <v>536870912</v>
    <v>Mitooma District</v>
    <v>152412be-02d2-bc45-3f5e-170438024993</v>
    <v>en-US</v>
    <v>Map</v>
  </rv>
  <rv s="1">
    <v>536870912</v>
    <v>Ntoroko District</v>
    <v>c9888485-ec74-39ba-61aa-c26227c200d9</v>
    <v>en-US</v>
    <v>Map</v>
  </rv>
  <rv s="1">
    <v>536870912</v>
    <v>Ntungamo District</v>
    <v>469cac16-03ad-c4e1-11a8-d287cb371cb5</v>
    <v>en-US</v>
    <v>Map</v>
  </rv>
  <rv s="1">
    <v>536870912</v>
    <v>Rubirizi District</v>
    <v>cb6b8cb7-2962-5fc6-1822-dc2db8f09c3d</v>
    <v>en-US</v>
    <v>Map</v>
  </rv>
  <rv s="1">
    <v>536870912</v>
    <v>Rukungiri District</v>
    <v>630e5dde-32bd-e5c3-c218-8f587b1061df</v>
    <v>en-US</v>
    <v>Map</v>
  </rv>
  <rv s="1">
    <v>536870912</v>
    <v>Sheema District</v>
    <v>37314be3-8b82-c23e-ceba-03e0baa8b112</v>
    <v>en-US</v>
    <v>Map</v>
  </rv>
  <rv s="3">
    <v>671</v>
  </rv>
  <rv s="0">
    <fb>0.117391967515158</fb>
    <v>28</v>
  </rv>
  <rv s="3">
    <v>672</v>
  </rv>
  <rv s="0">
    <fb>1.8430000543594401E-2</fb>
    <v>35</v>
  </rv>
  <rv s="0">
    <fb>10784516</fb>
    <v>9</v>
  </rv>
  <rv s="32">
    <v>#VALUE!</v>
    <v>en-US</v>
    <v>7d4e292c-ed0f-b242-321c-a056c115e6cc</v>
    <v>536870912</v>
    <v>1</v>
    <v>1539</v>
    <v>326</v>
    <v>Uganda</v>
    <v>5</v>
    <v>6</v>
    <v>Map</v>
    <v>7</v>
    <v>1540</v>
    <v>UG</v>
    <v>9704</v>
    <v>9705</v>
    <v>9706</v>
    <v>9707</v>
    <v>9708</v>
    <v>9695</v>
    <v>9709</v>
    <v>9710</v>
    <v>9711</v>
    <v>UGX</v>
    <v>Uganda, officially the Republic of Uganda, is a landlocked country in East Africa. It is bordered to the east by Kenya, to the north by South Sudan, to the west by the Democratic Republic of the Congo, to the south-west by Rwanda, and to the ...</v>
    <v>9712</v>
    <v>9713</v>
    <v>9714</v>
    <v>9715</v>
    <v>9716</v>
    <v>9717</v>
    <v>9718</v>
    <v>9719</v>
    <v>9695</v>
    <v>9723</v>
    <v>9724</v>
    <v>9725</v>
    <v>9726</v>
    <v>9727</v>
    <v>Uganda</v>
    <v>Oh Uganda, Land of Beauty</v>
    <v>9728</v>
    <v>Uganda</v>
    <v>9729</v>
    <v>9730</v>
    <v>9731</v>
    <v>382</v>
    <v>9732</v>
    <v>5205</v>
    <v>9733</v>
    <v>8254</v>
    <v>2930</v>
    <v>9734</v>
    <v>9735</v>
    <v>9848</v>
    <v>9849</v>
    <v>9850</v>
    <v>2418</v>
    <v>9851</v>
    <v>Uganda</v>
    <v>9852</v>
    <v>mdp/vdpid/240</v>
  </rv>
  <rv s="1">
    <v>536870912</v>
    <v>Kyiv</v>
    <v>79c78723-042d-4572-bc87-599fa1203134</v>
    <v>en-US</v>
    <v>Map</v>
  </rv>
  <rv s="0">
    <fb>848</fb>
    <v>9</v>
  </rv>
  <rv s="1">
    <v>536870912</v>
    <v>Ukraine</v>
    <v>ad599477-9e6d-4a0e-bab5-0edf9db7115a</v>
    <v>en-US</v>
    <v>Map</v>
  </rv>
  <rv s="2">
    <v>336</v>
    <v>7</v>
    <v>1541</v>
    <v>7</v>
    <v>0</v>
    <v>Image of Kyiv</v>
  </rv>
  <rv s="1">
    <v>805306368</v>
    <v>Vitali Klitschko (Mayor)</v>
    <v>233abb25-73d6-cc6f-e85c-baf465f7b4c6</v>
    <v>en-US</v>
    <v>Generic</v>
  </rv>
  <rv s="3">
    <v>673</v>
  </rv>
  <rv s="4">
    <v>https://www.bing.com/search?q=kiev&amp;form=skydnc</v>
    <v>Learn more on Bing</v>
  </rv>
  <rv s="3">
    <v>674</v>
  </rv>
  <rv s="0">
    <fb>2952301</fb>
    <v>9</v>
  </rv>
  <rv s="3">
    <v>675</v>
  </rv>
  <rv s="105">
    <v>#VALUE!</v>
    <v>en-US</v>
    <v>79c78723-042d-4572-bc87-599fa1203134</v>
    <v>536870912</v>
    <v>1</v>
    <v>1543</v>
    <v>1544</v>
    <v>Kyiv</v>
    <v>5</v>
    <v>6</v>
    <v>Map</v>
    <v>7</v>
    <v>216</v>
    <v>9855</v>
    <v>Kiev City Council</v>
    <v>9856</v>
    <v>Kyiv is the capital and most populous city of Ukraine. It is in north-central Ukraine along the Dnieper River. As of 1 January 2022, its population was 2,952,301, making Kyiv the seventh-most populous city in Europe. Kyiv is an important ...</v>
    <v>9857</v>
    <v>9859</v>
    <v>9860</v>
    <v>Kyiv</v>
    <v>9861</v>
    <v>9862</v>
    <v>9863</v>
    <v>Kyiv</v>
    <v>mdp/vdpid/7050576977408819202</v>
  </rv>
  <rv s="0">
    <fb>0.71665314436637995</fb>
    <v>28</v>
  </rv>
  <rv s="0">
    <fb>603550</fb>
    <v>9</v>
  </rv>
  <rv s="0">
    <fb>297000</fb>
    <v>9</v>
  </rv>
  <rv s="0">
    <fb>8.6999999999999993</fb>
    <v>29</v>
  </rv>
  <rv s="0">
    <fb>380</fb>
    <v>30</v>
  </rv>
  <rv s="0">
    <fb>202249.71799999999</fb>
    <v>9</v>
  </rv>
  <rv s="0">
    <fb>281.658595641646</fb>
    <v>31</v>
  </rv>
  <rv s="0">
    <fb>7.8867174561113002E-2</fb>
    <v>28</v>
  </rv>
  <rv s="0">
    <fb>3418.56924154441</fb>
    <v>9</v>
  </rv>
  <rv s="0">
    <fb>1.3009999999999999</fb>
    <v>29</v>
  </rv>
  <rv s="0">
    <fb>0.167080388142165</fb>
    <v>28</v>
  </rv>
  <rv s="0">
    <fb>75.3495057807649</fb>
    <v>34</v>
  </rv>
  <rv s="0">
    <fb>153781069118.14801</fb>
    <v>33</v>
  </rv>
  <rv s="0">
    <fb>0.99040940000000011</fb>
    <v>28</v>
  </rv>
  <rv s="0">
    <fb>0.82671180000000011</fb>
    <v>28</v>
  </rv>
  <rv s="2">
    <v>337</v>
    <v>7</v>
    <v>1546</v>
    <v>7</v>
    <v>0</v>
    <v>Image of Ukraine</v>
  </rv>
  <rv s="0">
    <fb>7.5</fb>
    <v>34</v>
  </rv>
  <rv s="1">
    <v>805306368</v>
    <v>Volodymyr Zelenskyy (President)</v>
    <v>9bae3411-f7b7-35a0-00a8-57f94c361da9</v>
    <v>en-US</v>
    <v>Generic</v>
  </rv>
  <rv s="1">
    <v>805306368</v>
    <v>Denys Shmyhal (Prime minister)</v>
    <v>be5cbc70-24e7-afe9-a0b1-49d91b73bd1a</v>
    <v>en-US</v>
    <v>Generic</v>
  </rv>
  <rv s="1">
    <v>805306368</v>
    <v>Ruslan Stefanchuk (Chairman)</v>
    <v>f285b81d-480f-2679-16cf-096a649d7b5e</v>
    <v>en-US</v>
    <v>Generic</v>
  </rv>
  <rv s="3">
    <v>676</v>
  </rv>
  <rv s="4">
    <v>https://www.bing.com/search?q=ukraine&amp;form=skydnc</v>
    <v>Learn more on Bing</v>
  </rv>
  <rv s="0">
    <fb>71.582682926829307</fb>
    <v>34</v>
  </rv>
  <rv s="0">
    <fb>4415440000</fb>
    <v>33</v>
  </rv>
  <rv s="0">
    <fb>0.84</fb>
    <v>32</v>
  </rv>
  <rv s="0">
    <fb>0.47811215909999999</fb>
    <v>28</v>
  </rv>
  <rv s="0">
    <fb>2.9923000000000002</fb>
    <v>29</v>
  </rv>
  <rv s="0">
    <fb>38000000</fb>
    <v>9</v>
  </rv>
  <rv s="0">
    <fb>0.54151000976562502</fb>
    <v>28</v>
  </rv>
  <rv s="1">
    <v>536870912</v>
    <v>Cherkasy Oblast</v>
    <v>c9976b82-1310-ef4d-b0c9-a9afe6a1007f</v>
    <v>en-US</v>
    <v>Map</v>
  </rv>
  <rv s="1">
    <v>536870912</v>
    <v>Chernihiv Oblast</v>
    <v>4d3c108d-9f83-97bb-6c45-e5206908c9ba</v>
    <v>en-US</v>
    <v>Map</v>
  </rv>
  <rv s="1">
    <v>536870912</v>
    <v>Chernivtsi Oblast</v>
    <v>2b816ee4-0e8d-8ada-257c-6b9b23a72ad0</v>
    <v>en-US</v>
    <v>Map</v>
  </rv>
  <rv s="1">
    <v>536870912</v>
    <v>Dnipropetrovsk Oblast</v>
    <v>83b98499-16b8-bb03-d593-dd4bdf6eca84</v>
    <v>en-US</v>
    <v>Map</v>
  </rv>
  <rv s="1">
    <v>536870912</v>
    <v>Donetsk Oblast</v>
    <v>66af6664-7bd4-318e-e6c4-a5eba1b797fa</v>
    <v>en-US</v>
    <v>Map</v>
  </rv>
  <rv s="1">
    <v>536870912</v>
    <v>Ivano-Frankivsk Oblast</v>
    <v>5ab8bbed-4d8c-3a6e-ce49-db79ef72183f</v>
    <v>en-US</v>
    <v>Map</v>
  </rv>
  <rv s="1">
    <v>536870912</v>
    <v>Kharkiv Oblast</v>
    <v>80a0fd15-8a6f-05e0-ef8e-3ac5b137b76c</v>
    <v>en-US</v>
    <v>Map</v>
  </rv>
  <rv s="1">
    <v>536870912</v>
    <v>Kherson Oblast</v>
    <v>3d03caa9-910c-b257-2449-cb94ef57e497</v>
    <v>en-US</v>
    <v>Map</v>
  </rv>
  <rv s="1">
    <v>536870912</v>
    <v>Khmelnytskyi Oblast</v>
    <v>d8d2d1e1-25b5-cc8e-95a9-dd2af8f5b7a7</v>
    <v>en-US</v>
    <v>Map</v>
  </rv>
  <rv s="1">
    <v>536870912</v>
    <v>Kyiv Oblast</v>
    <v>4c971681-9dca-2885-9bc5-18f1d3b975b1</v>
    <v>en-US</v>
    <v>Map</v>
  </rv>
  <rv s="1">
    <v>536870912</v>
    <v>Kirovohrad Oblast</v>
    <v>ef8d4608-76c2-a832-264e-4cf51a0c5dbd</v>
    <v>en-US</v>
    <v>Map</v>
  </rv>
  <rv s="1">
    <v>536870912</v>
    <v>Luhansk Oblast</v>
    <v>cccfd56b-f7a9-dd2a-d268-68084adf28b4</v>
    <v>en-US</v>
    <v>Map</v>
  </rv>
  <rv s="1">
    <v>536870912</v>
    <v>Lviv Oblast</v>
    <v>aa5637b1-7fe1-a3c0-42df-6616eb84675a</v>
    <v>en-US</v>
    <v>Map</v>
  </rv>
  <rv s="1">
    <v>536870912</v>
    <v>Mykolaiv Oblast</v>
    <v>11f87280-610e-7272-da94-5f8890fcf23d</v>
    <v>en-US</v>
    <v>Map</v>
  </rv>
  <rv s="1">
    <v>536870912</v>
    <v>Odesa Oblast</v>
    <v>ab1bf172-10d2-6650-704b-07f524561e0c</v>
    <v>en-US</v>
    <v>Map</v>
  </rv>
  <rv s="1">
    <v>536870912</v>
    <v>Poltava Oblast</v>
    <v>e5ca22a5-cbe2-e9f8-df2a-c271030dccc7</v>
    <v>en-US</v>
    <v>Map</v>
  </rv>
  <rv s="1">
    <v>536870912</v>
    <v>Rivne Oblast</v>
    <v>d6cdb68d-5af6-afd9-b456-affff06b0df7</v>
    <v>en-US</v>
    <v>Map</v>
  </rv>
  <rv s="1">
    <v>536870912</v>
    <v>Sumy Oblast</v>
    <v>f7532844-70f6-fa1d-38eb-23fd0dbcb818</v>
    <v>en-US</v>
    <v>Map</v>
  </rv>
  <rv s="1">
    <v>536870912</v>
    <v>Ternopil Oblast</v>
    <v>8546d368-622f-6499-3510-030c076e5f17</v>
    <v>en-US</v>
    <v>Map</v>
  </rv>
  <rv s="1">
    <v>536870912</v>
    <v>Vinnytsia Oblast</v>
    <v>f740bcec-499b-0dee-db2b-31a5e212bb43</v>
    <v>en-US</v>
    <v>Map</v>
  </rv>
  <rv s="1">
    <v>536870912</v>
    <v>Volyn Oblast</v>
    <v>0e1b7fc3-81cf-e44d-b558-4f6a739d4ab5</v>
    <v>en-US</v>
    <v>Map</v>
  </rv>
  <rv s="1">
    <v>536870912</v>
    <v>Zakarpattia Oblast</v>
    <v>2b40bf9f-f59e-2eda-4e2c-ab42a853d304</v>
    <v>en-US</v>
    <v>Map</v>
  </rv>
  <rv s="1">
    <v>536870912</v>
    <v>Zaporizhzhia Oblast</v>
    <v>cfdae36e-e003-7dea-83b3-d9f416b99469</v>
    <v>en-US</v>
    <v>Map</v>
  </rv>
  <rv s="1">
    <v>536870912</v>
    <v>Zhytomyr Oblast</v>
    <v>8a86953e-fa05-4b29-ba68-763eb4012703</v>
    <v>en-US</v>
    <v>Map</v>
  </rv>
  <rv s="1">
    <v>536870912</v>
    <v>Autonomous Republic of Crimea</v>
    <v>79c3dba3-7806-419d-9763-6a5bc8e8e810</v>
    <v>en-US</v>
    <v>Map</v>
  </rv>
  <rv s="3">
    <v>677</v>
  </rv>
  <rv s="0">
    <fb>0.201408893342575</fb>
    <v>28</v>
  </rv>
  <rv s="0">
    <fb>0.45200000000000001</fb>
    <v>28</v>
  </rv>
  <rv s="0">
    <fb>8.8819999694824195E-2</fb>
    <v>35</v>
  </rv>
  <rv s="0">
    <fb>30835699</fb>
    <v>9</v>
  </rv>
  <rv s="9">
    <v>#VALUE!</v>
    <v>en-US</v>
    <v>ad599477-9e6d-4a0e-bab5-0edf9db7115a</v>
    <v>536870912</v>
    <v>1</v>
    <v>1549</v>
    <v>55</v>
    <v>Ukraine</v>
    <v>5</v>
    <v>6</v>
    <v>Map</v>
    <v>7</v>
    <v>1550</v>
    <v>UA</v>
    <v>9865</v>
    <v>9866</v>
    <v>9867</v>
    <v>9868</v>
    <v>9869</v>
    <v>9854</v>
    <v>9870</v>
    <v>9871</v>
    <v>9872</v>
    <v>UAH</v>
    <v>Ukraine is a country in Eastern Europe. It is the second-largest country in Europe after Russia, which borders it to the east and northeast. Ukraine also borders Belarus to the north; Poland and Slovakia to the west; Hungary, Romania and Moldova ...</v>
    <v>9873</v>
    <v>9874</v>
    <v>9875</v>
    <v>9876</v>
    <v>3200</v>
    <v>9877</v>
    <v>9878</v>
    <v>9879</v>
    <v>9880</v>
    <v>9881</v>
    <v>9854</v>
    <v>9885</v>
    <v>9886</v>
    <v>9887</v>
    <v>9888</v>
    <v>6158</v>
    <v>9889</v>
    <v>Ukraine</v>
    <v>National anthem of Ukraine</v>
    <v>9861</v>
    <v>Україна</v>
    <v>9890</v>
    <v>9891</v>
    <v>9892</v>
    <v>240</v>
    <v>4610</v>
    <v>6469</v>
    <v>2469</v>
    <v>513</v>
    <v>5548</v>
    <v>1054</v>
    <v>9893</v>
    <v>9919</v>
    <v>9920</v>
    <v>3942</v>
    <v>9921</v>
    <v>9922</v>
    <v>Ukraine</v>
    <v>9923</v>
    <v>mdp/vdpid/241</v>
  </rv>
  <rv s="1">
    <v>536870912</v>
    <v>Abu Dhabi</v>
    <v>5c13f73c-6c26-b05a-8294-4e5d670b582c</v>
    <v>en-US</v>
    <v>Map</v>
  </rv>
  <rv s="1">
    <v>536870912</v>
    <v>Emirate of Abu Dhabi</v>
    <v>64d30bb6-7457-2a4b-5a2a-ef4f432d2eb6</v>
    <v>en-US</v>
    <v>Map</v>
  </rv>
  <rv s="0">
    <fb>972</fb>
    <v>9</v>
  </rv>
  <rv s="1">
    <v>536870912</v>
    <v>United Arab Emirates</v>
    <v>254a2621-4625-0f85-0b9d-13e4e75e5c9b</v>
    <v>en-US</v>
    <v>Map</v>
  </rv>
  <rv s="2">
    <v>338</v>
    <v>7</v>
    <v>1551</v>
    <v>7</v>
    <v>0</v>
    <v>Image of Abu Dhabi</v>
  </rv>
  <rv s="0">
    <fb>24.4511111111111</fb>
    <v>0</v>
  </rv>
  <rv s="4">
    <v>https://www.bing.com/search?q=abu+dhabi&amp;form=skydnc</v>
    <v>Learn more on Bing</v>
  </rv>
  <rv s="0">
    <fb>54.396944444444401</fb>
    <v>0</v>
  </rv>
  <rv s="0">
    <fb>1570000</fb>
    <v>9</v>
  </rv>
  <rv s="17">
    <v>#VALUE!</v>
    <v>en-US</v>
    <v>5c13f73c-6c26-b05a-8294-4e5d670b582c</v>
    <v>536870912</v>
    <v>1</v>
    <v>1552</v>
    <v>110</v>
    <v>Abu Dhabi</v>
    <v>5</v>
    <v>6</v>
    <v>Map</v>
    <v>7</v>
    <v>111</v>
    <v>9926</v>
    <v>9927</v>
    <v>9928</v>
    <v>Abu Dhabi is the capital city of the United Arab Emirates. The city is the seat of the Abu Dhabi Central Capital District, the capital city of the Emirate of Abu Dhabi, and the UAE's second-most populous city, after Dubai. The city is situated ...</v>
    <v>9929</v>
    <v>9930</v>
    <v>9931</v>
    <v>9932</v>
    <v>Abu Dhabi</v>
    <v>9933</v>
    <v>554</v>
    <v>Abu Dhabi</v>
    <v>mdp/vdpid/7376443939491938305</v>
  </rv>
  <rv s="0">
    <fb>5.4745140494645003E-2</fb>
    <v>28</v>
  </rv>
  <rv s="0">
    <fb>83600</fb>
    <v>9</v>
  </rv>
  <rv s="0">
    <fb>63000</fb>
    <v>9</v>
  </rv>
  <rv s="0">
    <fb>10.331</fb>
    <v>29</v>
  </rv>
  <rv s="0">
    <fb>971</fb>
    <v>30</v>
  </rv>
  <rv s="0">
    <fb>206323.755</fb>
    <v>9</v>
  </rv>
  <rv s="0">
    <fb>114.52466053234301</fb>
    <v>31</v>
  </rv>
  <rv s="0">
    <fb>-1.9310811478217102E-2</fb>
    <v>28</v>
  </rv>
  <rv s="0">
    <fb>11088.3502863794</fb>
    <v>9</v>
  </rv>
  <rv s="0">
    <fb>1.413</fb>
    <v>29</v>
  </rv>
  <rv s="0">
    <fb>4.5573078521840199E-2</fb>
    <v>28</v>
  </rv>
  <rv s="0">
    <fb>86.1283490244126</fb>
    <v>34</v>
  </rv>
  <rv s="0">
    <fb>421142267937.65002</fb>
    <v>33</v>
  </rv>
  <rv s="0">
    <fb>1.0839706</fb>
    <v>28</v>
  </rv>
  <rv s="0">
    <fb>0.36847080230712898</fb>
    <v>28</v>
  </rv>
  <rv s="2">
    <v>339</v>
    <v>7</v>
    <v>1554</v>
    <v>7</v>
    <v>0</v>
    <v>Image of United Arab Emirates</v>
  </rv>
  <rv s="0">
    <fb>6.5</fb>
    <v>34</v>
  </rv>
  <rv s="1">
    <v>536870912</v>
    <v>Dubai</v>
    <v>be495e21-8e36-a64d-d87a-350ba05996eb</v>
    <v>en-US</v>
    <v>Map</v>
  </rv>
  <rv s="1">
    <v>805306368</v>
    <v>Mohamed bin Zayed Al Nahyan (President)</v>
    <v>f9a564f5-d322-fa19-3bc8-73e961373e10</v>
    <v>en-US</v>
    <v>Generic</v>
  </rv>
  <rv s="1">
    <v>805306368</v>
    <v>Mohammed bin Rashid Al Maktoum (Prime minister)</v>
    <v>699a9d4c-17ad-a2e7-0654-51e1cf321b41</v>
    <v>en-US</v>
    <v>Generic</v>
  </rv>
  <rv s="3">
    <v>678</v>
  </rv>
  <rv s="4">
    <v>https://www.bing.com/search?q=united+arab+emirates&amp;form=skydnc</v>
    <v>Learn more on Bing</v>
  </rv>
  <rv s="0">
    <fb>77.813999999999993</fb>
    <v>34</v>
  </rv>
  <rv s="0">
    <fb>247209143274.88101</fb>
    <v>33</v>
  </rv>
  <rv s="0">
    <fb>0.1778964985</fb>
    <v>28</v>
  </rv>
  <rv s="0">
    <fb>2.5278</fb>
    <v>29</v>
  </rv>
  <rv s="0">
    <fb>9441129</fb>
    <v>9</v>
  </rv>
  <rv s="0">
    <fb>0.82094001770019498</fb>
    <v>28</v>
  </rv>
  <rv s="1">
    <v>536870912</v>
    <v>Emirate of Sharjah</v>
    <v>d4a83efb-738c-4204-0d9b-311bba6e7d55</v>
    <v>en-US</v>
    <v>Map</v>
  </rv>
  <rv s="1">
    <v>536870912</v>
    <v>Emirate of Ajman</v>
    <v>e99dee76-8670-41c5-83d6-9915d5d5da4e</v>
    <v>en-US</v>
    <v>Map</v>
  </rv>
  <rv s="1">
    <v>536870912</v>
    <v>Emirate of Ras Al Khaimah</v>
    <v>2290fba6-b72e-3389-2cb6-7a529757db04</v>
    <v>en-US</v>
    <v>Map</v>
  </rv>
  <rv s="1">
    <v>536870912</v>
    <v>Emirate of Fujairah</v>
    <v>4afc1d56-0440-fff3-812e-07b2c32fa703</v>
    <v>en-US</v>
    <v>Map</v>
  </rv>
  <rv s="3">
    <v>679</v>
  </rv>
  <rv s="0">
    <fb>5.9310281329913201E-4</fb>
    <v>28</v>
  </rv>
  <rv s="0">
    <fb>2.3480000495910602E-2</fb>
    <v>35</v>
  </rv>
  <rv s="0">
    <fb>8479744</fb>
    <v>9</v>
  </rv>
  <rv s="40">
    <v>#VALUE!</v>
    <v>en-US</v>
    <v>254a2621-4625-0f85-0b9d-13e4e75e5c9b</v>
    <v>536870912</v>
    <v>1</v>
    <v>1557</v>
    <v>433</v>
    <v>United Arab Emirates</v>
    <v>5</v>
    <v>6</v>
    <v>Map</v>
    <v>7</v>
    <v>1558</v>
    <v>AE</v>
    <v>9935</v>
    <v>9936</v>
    <v>9937</v>
    <v>9938</v>
    <v>9939</v>
    <v>9925</v>
    <v>9940</v>
    <v>9941</v>
    <v>9942</v>
    <v>AED</v>
    <v>The United Arab Emirates is a country in West Asia, in the Middle East, at the eastern end of the Arabian Peninsula. It is a federal elective monarchy made up of seven emirates, with Abu Dhabi serving as its capital. It shares land borders with ...</v>
    <v>9943</v>
    <v>9944</v>
    <v>9945</v>
    <v>9946</v>
    <v>6040</v>
    <v>9947</v>
    <v>9948</v>
    <v>9949</v>
    <v>9950</v>
    <v>9951</v>
    <v>9952</v>
    <v>9955</v>
    <v>9956</v>
    <v>9957</v>
    <v>9958</v>
    <v>3540</v>
    <v>United Arab Emirates</v>
    <v>Ishy Bilady</v>
    <v>3133</v>
    <v>les Émirats arabes unis</v>
    <v>9959</v>
    <v>9960</v>
    <v>9961</v>
    <v>2758</v>
    <v>935</v>
    <v>7602</v>
    <v>2191</v>
    <v>3218</v>
    <v>177</v>
    <v>2635</v>
    <v>9962</v>
    <v>9967</v>
    <v>9968</v>
    <v>554</v>
    <v>590</v>
    <v>9969</v>
    <v>United Arab Emirates</v>
    <v>9970</v>
    <v>mdp/vdpid/224</v>
  </rv>
  <rv s="1">
    <v>536870912</v>
    <v>London</v>
    <v>8e0ba7b6-4225-fa8a-6369-1b5294e602a5</v>
    <v>en-US</v>
    <v>Map</v>
  </rv>
  <rv s="1">
    <v>536870912</v>
    <v>England</v>
    <v>280d39e8-7217-6863-6980-a8c20c211c89</v>
    <v>en-US</v>
    <v>Map</v>
  </rv>
  <rv s="1">
    <v>536870912</v>
    <v>Greater London</v>
    <v>2ba8a441-178c-f2c0-26cb-a4b260b8c806</v>
    <v>en-US</v>
    <v>Map</v>
  </rv>
  <rv s="0">
    <fb>1572</fb>
    <v>9</v>
  </rv>
  <rv s="2">
    <v>340</v>
    <v>7</v>
    <v>1559</v>
    <v>7</v>
    <v>0</v>
    <v>Image of London</v>
  </rv>
  <rv s="1">
    <v>805306368</v>
    <v>Sadiq Khan (Mayor)</v>
    <v>d7862dc2-4c03-1dc8-3412-7fe03041fdcb</v>
    <v>en-US</v>
    <v>Generic</v>
  </rv>
  <rv s="3">
    <v>680</v>
  </rv>
  <rv s="4">
    <v>https://www.bing.com/search?q=london+england&amp;form=skydnc</v>
    <v>Learn more on Bing</v>
  </rv>
  <rv s="0">
    <fb>8866180</fb>
    <v>9</v>
  </rv>
  <rv s="5">
    <v>#VALUE!</v>
    <v>en-US</v>
    <v>8e0ba7b6-4225-fa8a-6369-1b5294e602a5</v>
    <v>536870912</v>
    <v>1</v>
    <v>1560</v>
    <v>3</v>
    <v>London</v>
    <v>5</v>
    <v>6</v>
    <v>Map</v>
    <v>7</v>
    <v>61</v>
    <v>9973</v>
    <v>9974</v>
    <v>9975</v>
    <v>9973</v>
    <v>London is the capital and largest city of both England and the United Kingdom, with a population of 8,866,180 in 2022. Its wider metropolitan area is the largest in Western Europe, with a population of 14.9 million. London stands on the River ...</v>
    <v>9976</v>
    <v>44</v>
    <v>9978</v>
    <v>9979</v>
    <v>45</v>
    <v>London</v>
    <v>9980</v>
    <v>3884</v>
    <v>London</v>
    <v>mdp/vdpid/5471798185326280713</v>
  </rv>
  <rv s="1">
    <v>536870912</v>
    <v>Washington, D.C.</v>
    <v>216726d1-8987-06d3-5eff-823da05c3d3c</v>
    <v>en-US</v>
    <v>Map</v>
  </rv>
  <rv s="0">
    <fb>177</fb>
    <v>9</v>
  </rv>
  <rv s="0">
    <fb>4690</fb>
    <v>9</v>
  </rv>
  <rv s="1">
    <v>536870912</v>
    <v>United States of America</v>
    <v>5232ed96-85b1-2edb-12c6-63e6c597a1de</v>
    <v>en-US</v>
    <v>Map</v>
  </rv>
  <rv s="0">
    <fb>273390</fb>
    <v>9</v>
  </rv>
  <rv s="0">
    <fb>313718</fb>
    <v>9</v>
  </rv>
  <rv s="2">
    <v>341</v>
    <v>7</v>
    <v>1561</v>
    <v>7</v>
    <v>0</v>
    <v>Image of Washington, D.C.</v>
  </rv>
  <rv s="1">
    <v>805306368</v>
    <v>Muriel Bowser (Mayor)</v>
    <v>ba0efeff-89d3-9653-396a-5cc380b1d241</v>
    <v>en-US</v>
    <v>Generic</v>
  </rv>
  <rv s="3">
    <v>681</v>
  </rv>
  <rv s="4">
    <v>https://www.bing.com/search?q=washington%2c+d.c.&amp;form=skydnc</v>
    <v>Learn more on Bing</v>
  </rv>
  <rv s="0">
    <fb>1327</fb>
    <v>33</v>
  </rv>
  <rv s="0">
    <fb>70848</fb>
    <v>33</v>
  </rv>
  <rv s="0">
    <fb>475800</fb>
    <v>33</v>
  </rv>
  <rv s="0">
    <fb>2.2200000000000002</fb>
    <v>29</v>
  </rv>
  <rv s="0">
    <fb>689545</fb>
    <v>9</v>
  </rv>
  <rv s="0">
    <fb>6.0000000000000001E-3</fb>
    <v>1568</v>
  </rv>
  <rv s="0">
    <fb>0.54600000000000004</fb>
    <v>28</v>
  </rv>
  <rv s="0">
    <fb>0.89300000000000002</fb>
    <v>28</v>
  </rv>
  <rv s="0">
    <fb>0.68299999999999994</fb>
    <v>28</v>
  </rv>
  <rv s="0">
    <fb>2E-3</fb>
    <v>28</v>
  </rv>
  <rv s="0">
    <fb>0.441</fb>
    <v>28</v>
  </rv>
  <rv s="106">
    <v>#VALUE!</v>
    <v>en-US</v>
    <v>216726d1-8987-06d3-5eff-823da05c3d3c</v>
    <v>536870912</v>
    <v>1</v>
    <v>1565</v>
    <v>1566</v>
    <v>Washington, D.C.</v>
    <v>5</v>
    <v>6</v>
    <v>Map</v>
    <v>7</v>
    <v>1567</v>
    <v>US-DC</v>
    <v>9983</v>
    <v>9984</v>
    <v>9985</v>
    <v>Washington, D.C., formally the District of Columbia and commonly called Washington or D.C., is the capital city and federal district of the United States. The city is on the Potomac River, across from Virginia, and shares land borders with ...</v>
    <v>9986</v>
    <v>9987</v>
    <v>9988</v>
    <v>9990</v>
    <v>9991</v>
    <v>9992</v>
    <v>9993</v>
    <v>9994</v>
    <v>Washington, D.C.</v>
    <v>9995</v>
    <v>9996</v>
    <v>2471</v>
    <v>3792</v>
    <v>9997</v>
    <v>2469</v>
    <v>9998</v>
    <v>7481</v>
    <v>5548</v>
    <v>9999</v>
    <v>4688</v>
    <v>10000</v>
    <v>10001</v>
    <v>4185</v>
    <v>1287</v>
    <v>4418</v>
    <v>5604</v>
    <v>10002</v>
    <v>813</v>
    <v>Washington, D.C.</v>
    <v>mdp/vdpid/9130</v>
  </rv>
  <rv s="0">
    <fb>0.44369067999501505</fb>
    <v>28</v>
  </rv>
  <rv s="0">
    <fb>9826675</fb>
    <v>9</v>
  </rv>
  <rv s="0">
    <fb>1359000</fb>
    <v>9</v>
  </rv>
  <rv s="0">
    <fb>11.6</fb>
    <v>29</v>
  </rv>
  <rv s="0">
    <fb>5006302.0769999996</fb>
    <v>9</v>
  </rv>
  <rv s="0">
    <fb>117.244195476228</fb>
    <v>31</v>
  </rv>
  <rv s="0">
    <fb>12993.961824772699</fb>
    <v>9</v>
  </rv>
  <rv s="0">
    <fb>1.7295</fb>
    <v>29</v>
  </rv>
  <rv s="0">
    <fb>0.339297856663409</fb>
    <v>28</v>
  </rv>
  <rv s="0">
    <fb>82.427828245269197</fb>
    <v>34</v>
  </rv>
  <rv s="0">
    <fb>21427700000000</fb>
    <v>33</v>
  </rv>
  <rv s="0">
    <fb>1.0182144</fb>
    <v>28</v>
  </rv>
  <rv s="0">
    <fb>0.88167390000000001</fb>
    <v>28</v>
  </rv>
  <rv s="2">
    <v>342</v>
    <v>7</v>
    <v>1570</v>
    <v>7</v>
    <v>0</v>
    <v>Image of United States</v>
  </rv>
  <rv s="0">
    <fb>5.6</fb>
    <v>34</v>
  </rv>
  <rv s="1">
    <v>536870912</v>
    <v>New York City</v>
    <v>60d5dc2b-c915-460b-b722-c9e3485499ca</v>
    <v>en-US</v>
    <v>Map</v>
  </rv>
  <rv s="1">
    <v>805306368</v>
    <v>Donald Trump (President)</v>
    <v>1a466af2-ed23-25bd-794d-1ca925e4681b</v>
    <v>en-US</v>
    <v>Generic</v>
  </rv>
  <rv s="1">
    <v>805306368</v>
    <v>JD Vance (Vice president)</v>
    <v>cf52f4b6-e15c-553b-c991-5fd07410b914</v>
    <v>en-US</v>
    <v>Generic</v>
  </rv>
  <rv s="1">
    <v>805306368</v>
    <v>Mike Johnson (Speaker)</v>
    <v>0cdd8beb-6fa0-b09e-350a-8a9eef364ec7</v>
    <v>en-US</v>
    <v>Generic</v>
  </rv>
  <rv s="1">
    <v>805306368</v>
    <v>John Roberts (Chief justice)</v>
    <v>af7f7f4b-fd5b-867d-e108-4b6ecf118076</v>
    <v>en-US</v>
    <v>Generic</v>
  </rv>
  <rv s="3">
    <v>682</v>
  </rv>
  <rv s="4">
    <v>https://www.bing.com/search?q=united+states&amp;form=skydnc</v>
    <v>Learn more on Bing</v>
  </rv>
  <rv s="0">
    <fb>78.539024390243895</fb>
    <v>34</v>
  </rv>
  <rv s="0">
    <fb>30436313050000</fb>
    <v>33</v>
  </rv>
  <rv s="0">
    <fb>7.25</fb>
    <v>32</v>
  </rv>
  <rv s="0">
    <fb>0.1108387988</fb>
    <v>28</v>
  </rv>
  <rv s="0">
    <fb>2.6120000000000001</fb>
    <v>29</v>
  </rv>
  <rv s="0">
    <fb>333287557</fb>
    <v>9</v>
  </rv>
  <rv s="0">
    <fb>0.30499999999999999</fb>
    <v>28</v>
  </rv>
  <rv s="0">
    <fb>0.46799999999999997</fb>
    <v>28</v>
  </rv>
  <rv s="0">
    <fb>0.62048999786377002</fb>
    <v>28</v>
  </rv>
  <rv s="1">
    <v>536870912</v>
    <v>Alabama</v>
    <v>376f8b06-52f6-4e72-a31d-311a3563e645</v>
    <v>en-US</v>
    <v>Map</v>
  </rv>
  <rv s="1">
    <v>536870912</v>
    <v>Alaska</v>
    <v>31c4c7a1-54e7-4306-ac9b-f1b02e85bda5</v>
    <v>en-US</v>
    <v>Map</v>
  </rv>
  <rv s="1">
    <v>536870912</v>
    <v>Arizona</v>
    <v>bf973f46-5962-4997-a7ba-a05f1aa2a9f9</v>
    <v>en-US</v>
    <v>Map</v>
  </rv>
  <rv s="1">
    <v>536870912</v>
    <v>Arkansas</v>
    <v>b939db72-08f2-4ea6-a16a-a53bf32e6612</v>
    <v>en-US</v>
    <v>Map</v>
  </rv>
  <rv s="1">
    <v>536870912</v>
    <v>California</v>
    <v>3009d91d-d582-4c34-85ba-772ba09e5be1</v>
    <v>en-US</v>
    <v>Map</v>
  </rv>
  <rv s="1">
    <v>536870912</v>
    <v>Colorado</v>
    <v>a070c5c2-b22d-41d8-b869-f20e583c4f80</v>
    <v>en-US</v>
    <v>Map</v>
  </rv>
  <rv s="1">
    <v>536870912</v>
    <v>Connecticut</v>
    <v>b3ca6523-435e-4a3b-8f78-1ad900a52cf8</v>
    <v>en-US</v>
    <v>Map</v>
  </rv>
  <rv s="1">
    <v>536870912</v>
    <v>Delaware</v>
    <v>8ad617cc-3d7a-4b3c-a787-098de959ccc4</v>
    <v>en-US</v>
    <v>Map</v>
  </rv>
  <rv s="1">
    <v>536870912</v>
    <v>Florida</v>
    <v>5fece3f4-e8e8-4159-843e-f725a930ad50</v>
    <v>en-US</v>
    <v>Map</v>
  </rv>
  <rv s="1">
    <v>536870912</v>
    <v>Georgia</v>
    <v>84604bc7-2c47-4f8d-8ea5-b6ac8c018a20</v>
    <v>en-US</v>
    <v>Map</v>
  </rv>
  <rv s="1">
    <v>536870912</v>
    <v>Hawaii</v>
    <v>b6f01eaf-aecf-44f6-b64d-1f6e982365c3</v>
    <v>en-US</v>
    <v>Map</v>
  </rv>
  <rv s="1">
    <v>536870912</v>
    <v>Idaho</v>
    <v>ecd30387-20fa-4523-9045-e2860154b5e9</v>
    <v>en-US</v>
    <v>Map</v>
  </rv>
  <rv s="1">
    <v>536870912</v>
    <v>Illinois</v>
    <v>4131acb8-628a-4241-8920-ca79eab9dade</v>
    <v>en-US</v>
    <v>Map</v>
  </rv>
  <rv s="1">
    <v>536870912</v>
    <v>Indiana</v>
    <v>109f7e5a-efbb-4953-b4b8-cb812ce1ff5d</v>
    <v>en-US</v>
    <v>Map</v>
  </rv>
  <rv s="1">
    <v>536870912</v>
    <v>Iowa</v>
    <v>77850824-b07a-487a-af58-37f9949afc27</v>
    <v>en-US</v>
    <v>Map</v>
  </rv>
  <rv s="1">
    <v>536870912</v>
    <v>Kansas</v>
    <v>6e527b71-bd3e-4bc1-b1c0-59d288b4fd5e</v>
    <v>en-US</v>
    <v>Map</v>
  </rv>
  <rv s="1">
    <v>536870912</v>
    <v>Kentucky</v>
    <v>108dfd18-4626-481a-8dfa-18f64e6eac84</v>
    <v>en-US</v>
    <v>Map</v>
  </rv>
  <rv s="1">
    <v>536870912</v>
    <v>Louisiana</v>
    <v>0ca1e87f-e2f6-43fb-8deb-d22bd09a9cae</v>
    <v>en-US</v>
    <v>Map</v>
  </rv>
  <rv s="1">
    <v>536870912</v>
    <v>Maine</v>
    <v>d62dd683-9cf9-4db9-a497-d810d529592b</v>
    <v>en-US</v>
    <v>Map</v>
  </rv>
  <rv s="1">
    <v>536870912</v>
    <v>Maryland</v>
    <v>4c472f4d-06a8-4d90-8bb8-da4d168c73fe</v>
    <v>en-US</v>
    <v>Map</v>
  </rv>
  <rv s="1">
    <v>536870912</v>
    <v>Massachusetts</v>
    <v>845219d5-3650-4199-b926-964ca27c863c</v>
    <v>en-US</v>
    <v>Map</v>
  </rv>
  <rv s="1">
    <v>536870912</v>
    <v>Michigan</v>
    <v>162411c2-b757-495d-aa81-93942fae2f7e</v>
    <v>en-US</v>
    <v>Map</v>
  </rv>
  <rv s="1">
    <v>536870912</v>
    <v>Minnesota</v>
    <v>77f97f6f-7e93-46e5-b486-6198effe8dea</v>
    <v>en-US</v>
    <v>Map</v>
  </rv>
  <rv s="1">
    <v>536870912</v>
    <v>Mississippi</v>
    <v>6af619ca-217d-49c0-9a86-153fc7fbcd78</v>
    <v>en-US</v>
    <v>Map</v>
  </rv>
  <rv s="1">
    <v>536870912</v>
    <v>Missouri</v>
    <v>6185f8cb-44e1-4da6-9bf0-b75286aeb591</v>
    <v>en-US</v>
    <v>Map</v>
  </rv>
  <rv s="1">
    <v>536870912</v>
    <v>Montana</v>
    <v>447d6cd5-53f6-4c8f-bf6c-9ff228415c3b</v>
    <v>en-US</v>
    <v>Map</v>
  </rv>
  <rv s="1">
    <v>536870912</v>
    <v>Nebraska</v>
    <v>3e64ff5d-6b40-4dbe-91b1-0e554e892496</v>
    <v>en-US</v>
    <v>Map</v>
  </rv>
  <rv s="1">
    <v>536870912</v>
    <v>Nevada</v>
    <v>c2157d7e-617e-4517-80f8-1b08113afc14</v>
    <v>en-US</v>
    <v>Map</v>
  </rv>
  <rv s="1">
    <v>536870912</v>
    <v>New Hampshire</v>
    <v>9ca71997-cc97-46eb-8911-fac32f80b0b1</v>
    <v>en-US</v>
    <v>Map</v>
  </rv>
  <rv s="1">
    <v>536870912</v>
    <v>New Jersey</v>
    <v>05277898-b62b-4878-8632-09d29756a2ff</v>
    <v>en-US</v>
    <v>Map</v>
  </rv>
  <rv s="1">
    <v>536870912</v>
    <v>New Mexico</v>
    <v>a16d3636-4349-41c7-a77e-89e34b26a8ad</v>
    <v>en-US</v>
    <v>Map</v>
  </rv>
  <rv s="1">
    <v>536870912</v>
    <v>New York</v>
    <v>caeb7b9a-f5d7-4686-8fb5-cf7628296b13</v>
    <v>en-US</v>
    <v>Map</v>
  </rv>
  <rv s="1">
    <v>536870912</v>
    <v>North Dakota</v>
    <v>77fbc744-3efe-4aa9-9e8e-f8034f06b941</v>
    <v>en-US</v>
    <v>Map</v>
  </rv>
  <rv s="1">
    <v>536870912</v>
    <v>North Carolina</v>
    <v>9e2bf053-dd80-4646-8f26-65075e7085c0</v>
    <v>en-US</v>
    <v>Map</v>
  </rv>
  <rv s="1">
    <v>536870912</v>
    <v>Ohio</v>
    <v>6f3df7da-1ef6-48e3-b2b3-b5b5fce3e846</v>
    <v>en-US</v>
    <v>Map</v>
  </rv>
  <rv s="1">
    <v>536870912</v>
    <v>Oklahoma</v>
    <v>cbcf556f-952a-4665-bb95-0500b27f9976</v>
    <v>en-US</v>
    <v>Map</v>
  </rv>
  <rv s="1">
    <v>536870912</v>
    <v>Oregon</v>
    <v>cacd36fd-7c62-43e2-a632-64a2a1811933</v>
    <v>en-US</v>
    <v>Map</v>
  </rv>
  <rv s="1">
    <v>536870912</v>
    <v>Pennsylvania</v>
    <v>6304580e-c803-4266-818a-971619176547</v>
    <v>en-US</v>
    <v>Map</v>
  </rv>
  <rv s="1">
    <v>536870912</v>
    <v>Rhode Island</v>
    <v>65a08f52-b469-4f7c-8353-9b3c0b2a5752</v>
    <v>en-US</v>
    <v>Map</v>
  </rv>
  <rv s="1">
    <v>536870912</v>
    <v>South Dakota</v>
    <v>9cee0b65-d357-479e-a066-31c634648f47</v>
    <v>en-US</v>
    <v>Map</v>
  </rv>
  <rv s="1">
    <v>536870912</v>
    <v>South Carolina</v>
    <v>810015e8-b10b-4232-9e2c-de87a67bd26e</v>
    <v>en-US</v>
    <v>Map</v>
  </rv>
  <rv s="1">
    <v>536870912</v>
    <v>Tennessee</v>
    <v>9bbc9c72-1bf1-4ef6-b66d-a6cdef70f4f3</v>
    <v>en-US</v>
    <v>Map</v>
  </rv>
  <rv s="1">
    <v>536870912</v>
    <v>Texas</v>
    <v>00a23ccd-3344-461c-8b9f-c2bb55be5815</v>
    <v>en-US</v>
    <v>Map</v>
  </rv>
  <rv s="1">
    <v>536870912</v>
    <v>Utah</v>
    <v>c6705e44-d27f-4240-95a2-54e802e3b524</v>
    <v>en-US</v>
    <v>Map</v>
  </rv>
  <rv s="1">
    <v>536870912</v>
    <v>Vermont</v>
    <v>221864cc-447e-4e78-847c-59e485d73bff</v>
    <v>en-US</v>
    <v>Map</v>
  </rv>
  <rv s="1">
    <v>536870912</v>
    <v>Virginia</v>
    <v>7eee9976-e8a7-472c-ada1-007208abd678</v>
    <v>en-US</v>
    <v>Map</v>
  </rv>
  <rv s="1">
    <v>536870912</v>
    <v>Washington</v>
    <v>982ad551-fd5d-45df-bd70-bf704dd576e4</v>
    <v>en-US</v>
    <v>Map</v>
  </rv>
  <rv s="1">
    <v>536870912</v>
    <v>West Virginia</v>
    <v>8a47255a-fae3-4faa-aa32-c6f384cb6c1d</v>
    <v>en-US</v>
    <v>Map</v>
  </rv>
  <rv s="1">
    <v>536870912</v>
    <v>Wisconsin</v>
    <v>cb4d2853-06f4-4467-8e7c-4e31cbb35cb2</v>
    <v>en-US</v>
    <v>Map</v>
  </rv>
  <rv s="1">
    <v>536870912</v>
    <v>Wyoming</v>
    <v>bff03ad6-2b7f-400b-a76e-eb9fc4a93961</v>
    <v>en-US</v>
    <v>Map</v>
  </rv>
  <rv s="1">
    <v>536870912</v>
    <v>American Samoa</v>
    <v>12d04d63-b9b5-855b-0821-b32474a729a4</v>
    <v>en-US</v>
    <v>Map</v>
  </rv>
  <rv s="1">
    <v>536870912</v>
    <v>United States Virgin Islands</v>
    <v>38bd827b-bc00-140e-85be-46a96078429c</v>
    <v>en-US</v>
    <v>Map</v>
  </rv>
  <rv s="1">
    <v>536870912</v>
    <v>Guam</v>
    <v>f842c067-b461-3084-6a3b-6c6c7431fc9a</v>
    <v>en-US</v>
    <v>Map</v>
  </rv>
  <rv s="1">
    <v>536870912</v>
    <v>Northern Mariana Islands</v>
    <v>f4475436-adda-9ff0-b5fe-6c3dff0e26be</v>
    <v>en-US</v>
    <v>Map</v>
  </rv>
  <rv s="1">
    <v>536870912</v>
    <v>Puerto Rico</v>
    <v>72752f4d-11d3-5470-b64e-b9e012b0520f</v>
    <v>en-US</v>
    <v>Map</v>
  </rv>
  <rv s="3">
    <v>683</v>
  </rv>
  <rv s="0">
    <fb>9.5866513904898809E-2</fb>
    <v>28</v>
  </rv>
  <rv s="3">
    <v>684</v>
  </rv>
  <rv s="0">
    <fb>0.14699999999999999</fb>
    <v>35</v>
  </rv>
  <rv s="0">
    <fb>270663028</fb>
    <v>9</v>
  </rv>
  <rv s="9">
    <v>#VALUE!</v>
    <v>en-US</v>
    <v>5232ed96-85b1-2edb-12c6-63e6c597a1de</v>
    <v>536870912</v>
    <v>1</v>
    <v>1572</v>
    <v>55</v>
    <v>United States</v>
    <v>5</v>
    <v>6</v>
    <v>Map</v>
    <v>7</v>
    <v>1573</v>
    <v>US</v>
    <v>10004</v>
    <v>10005</v>
    <v>10006</v>
    <v>10007</v>
    <v>1987</v>
    <v>9982</v>
    <v>10008</v>
    <v>10009</v>
    <v>176</v>
    <v>USD</v>
    <v>The United States of America, also known as the United States or America, is a country primarily located in North America. It is a federal republic of 50 states and Washington, D.C. as its federal capital district. The 48 contiguous states ...</v>
    <v>10010</v>
    <v>10011</v>
    <v>10012</v>
    <v>10013</v>
    <v>377</v>
    <v>10014</v>
    <v>10015</v>
    <v>10016</v>
    <v>10017</v>
    <v>10018</v>
    <v>10019</v>
    <v>10024</v>
    <v>10025</v>
    <v>10026</v>
    <v>10027</v>
    <v>6158</v>
    <v>10028</v>
    <v>United States</v>
    <v>The Star-Spangled Banner</v>
    <v>448</v>
    <v>the United States of America</v>
    <v>10029</v>
    <v>10030</v>
    <v>10031</v>
    <v>605</v>
    <v>10032</v>
    <v>10033</v>
    <v>1954</v>
    <v>4687</v>
    <v>4296</v>
    <v>1360</v>
    <v>10034</v>
    <v>10090</v>
    <v>10091</v>
    <v>10092</v>
    <v>194</v>
    <v>10093</v>
    <v>United States</v>
    <v>10094</v>
    <v>mdp/vdpid/244</v>
  </rv>
  <rv s="1">
    <v>536870912</v>
    <v>Montevideo</v>
    <v>6f057c0a-9767-4c6b-b46f-6095e75df6ce</v>
    <v>en-US</v>
    <v>Map</v>
  </rv>
  <rv s="1">
    <v>536870912</v>
    <v>Montevideo Department</v>
    <v>b91bb4e2-7350-50c2-c5ec-7a29179101c8</v>
    <v>en-US</v>
    <v>Map</v>
  </rv>
  <rv s="1">
    <v>536870912</v>
    <v>Uruguay</v>
    <v>4d1c354d-d080-b633-86bc-0bad862c8cc1</v>
    <v>en-US</v>
    <v>Map</v>
  </rv>
  <rv s="2">
    <v>343</v>
    <v>7</v>
    <v>1574</v>
    <v>7</v>
    <v>0</v>
    <v>Image of Montevideo</v>
  </rv>
  <rv s="0">
    <fb>-34.866666666666703</fb>
    <v>0</v>
  </rv>
  <rv s="4">
    <v>https://www.bing.com/search?q=montevideo&amp;form=skydnc</v>
    <v>Learn more on Bing</v>
  </rv>
  <rv s="0">
    <fb>-56.1666666666667</fb>
    <v>0</v>
  </rv>
  <rv s="0">
    <fb>1319108</fb>
    <v>9</v>
  </rv>
  <rv s="14">
    <v>#VALUE!</v>
    <v>en-US</v>
    <v>6f057c0a-9767-4c6b-b46f-6095e75df6ce</v>
    <v>536870912</v>
    <v>1</v>
    <v>1575</v>
    <v>81</v>
    <v>Montevideo</v>
    <v>5</v>
    <v>6</v>
    <v>Map</v>
    <v>7</v>
    <v>39</v>
    <v>10097</v>
    <v>7871</v>
    <v>10098</v>
    <v>Montevideo is the capital and largest city of Uruguay. According to the 2011 census, the city proper has a population of 1,319,108 in an area of 201 square kilometers. Montevideo is situated on the southern coast of the country, on the ...</v>
    <v>10099</v>
    <v>10100</v>
    <v>10101</v>
    <v>10102</v>
    <v>Montevideo</v>
    <v>10103</v>
    <v>Montevideo</v>
    <v>mdp/vdpid/6476264763050426386</v>
  </rv>
  <rv s="0">
    <fb>0.82559705230116509</fb>
    <v>28</v>
  </rv>
  <rv s="0">
    <fb>176215</fb>
    <v>9</v>
  </rv>
  <rv s="0">
    <fb>13.856999999999999</fb>
    <v>29</v>
  </rv>
  <rv s="0">
    <fb>598</fb>
    <v>30</v>
  </rv>
  <rv s="0">
    <fb>6765.6149999999998</fb>
    <v>9</v>
  </rv>
  <rv s="0">
    <fb>202.92198338614401</fb>
    <v>31</v>
  </rv>
  <rv s="0">
    <fb>7.8819887087962198E-2</fb>
    <v>28</v>
  </rv>
  <rv s="0">
    <fb>3085.1944193006002</fb>
    <v>9</v>
  </rv>
  <rv s="0">
    <fb>1.9730000000000001</fb>
    <v>29</v>
  </rv>
  <rv s="0">
    <fb>0.106715803350153</fb>
    <v>28</v>
  </rv>
  <rv s="0">
    <fb>46.270307888488801</fb>
    <v>34</v>
  </rv>
  <rv s="0">
    <fb>1.5</fb>
    <v>32</v>
  </rv>
  <rv s="0">
    <fb>56045912952.342003</fb>
    <v>33</v>
  </rv>
  <rv s="0">
    <fb>1.0845944000000001</fb>
    <v>28</v>
  </rv>
  <rv s="0">
    <fb>0.63125770000000003</fb>
    <v>28</v>
  </rv>
  <rv s="2">
    <v>344</v>
    <v>7</v>
    <v>1577</v>
    <v>7</v>
    <v>0</v>
    <v>Image of Uruguay</v>
  </rv>
  <rv s="1">
    <v>805306368</v>
    <v>Luis Lacalle Pou (President)</v>
    <v>45b12faf-c863-9c49-f448-8d6570636f58</v>
    <v>en-US</v>
    <v>Generic</v>
  </rv>
  <rv s="1">
    <v>805306368</v>
    <v>Beatriz Argimón (Vice president)</v>
    <v>fdad8b43-7954-7971-e1d7-65aea1df14f9</v>
    <v>en-US</v>
    <v>Generic</v>
  </rv>
  <rv s="3">
    <v>685</v>
  </rv>
  <rv s="4">
    <v>https://www.bing.com/search?q=uruguay&amp;form=skydnc</v>
    <v>Learn more on Bing</v>
  </rv>
  <rv s="0">
    <fb>77.77</fb>
    <v>34</v>
  </rv>
  <rv s="0">
    <fb>283800000</fb>
    <v>33</v>
  </rv>
  <rv s="0">
    <fb>1.66</fb>
    <v>32</v>
  </rv>
  <rv s="3">
    <v>686</v>
  </rv>
  <rv s="0">
    <fb>0.16191438689999998</fb>
    <v>28</v>
  </rv>
  <rv s="0">
    <fb>5.0499000000000001</fb>
    <v>29</v>
  </rv>
  <rv s="0">
    <fb>3422794</fb>
    <v>9</v>
  </rv>
  <rv s="0">
    <fb>5.9000000000000004E-2</fb>
    <v>28</v>
  </rv>
  <rv s="0">
    <fb>0.64021003723144498</fb>
    <v>28</v>
  </rv>
  <rv s="1">
    <v>536870912</v>
    <v>Artigas Department</v>
    <v>fba8474e-01a4-b560-b9db-3632789d7418</v>
    <v>en-US</v>
    <v>Map</v>
  </rv>
  <rv s="1">
    <v>536870912</v>
    <v>Canelones Department</v>
    <v>47a6cb77-1084-cc26-db7c-3a31f25cad6c</v>
    <v>en-US</v>
    <v>Map</v>
  </rv>
  <rv s="1">
    <v>536870912</v>
    <v>Cerro Largo Department</v>
    <v>17cbef99-9025-55af-1bf6-693b24e4cbf8</v>
    <v>en-US</v>
    <v>Map</v>
  </rv>
  <rv s="1">
    <v>536870912</v>
    <v>Colonia Department</v>
    <v>794441ed-35f5-6a38-65fe-1bd820a78487</v>
    <v>en-US</v>
    <v>Map</v>
  </rv>
  <rv s="1">
    <v>536870912</v>
    <v>Durazno Department</v>
    <v>812de676-d0a2-23e3-f7e6-3e002da3a2ca</v>
    <v>en-US</v>
    <v>Map</v>
  </rv>
  <rv s="1">
    <v>536870912</v>
    <v>Flores Department</v>
    <v>8744bd18-02b9-d69c-5205-c77980587fa8</v>
    <v>en-US</v>
    <v>Map</v>
  </rv>
  <rv s="1">
    <v>536870912</v>
    <v>Florida Department</v>
    <v>ea047b14-8780-2d2b-754d-7fb89f334f00</v>
    <v>en-US</v>
    <v>Map</v>
  </rv>
  <rv s="1">
    <v>536870912</v>
    <v>Lavalleja Department</v>
    <v>10d28e4e-b416-05ae-493b-27e45db3a2a5</v>
    <v>en-US</v>
    <v>Map</v>
  </rv>
  <rv s="1">
    <v>536870912</v>
    <v>Maldonado Department</v>
    <v>bc35c120-ecdd-02db-b583-d31b4a2752db</v>
    <v>en-US</v>
    <v>Map</v>
  </rv>
  <rv s="1">
    <v>536870912</v>
    <v>Paysandú Department</v>
    <v>62ccb945-3081-60ca-acbc-2879d5666afa</v>
    <v>en-US</v>
    <v>Map</v>
  </rv>
  <rv s="1">
    <v>536870912</v>
    <v>Río Negro Department</v>
    <v>c51cdc11-8d24-b6c6-218e-1bf15937ed9f</v>
    <v>en-US</v>
    <v>Map</v>
  </rv>
  <rv s="1">
    <v>536870912</v>
    <v>Rivera Department</v>
    <v>93dab529-8b73-8eaa-840b-3bfd75594642</v>
    <v>en-US</v>
    <v>Map</v>
  </rv>
  <rv s="1">
    <v>536870912</v>
    <v>Rocha Department</v>
    <v>6ec9f1ef-cd41-1cd6-4b5b-098fdf2c9a42</v>
    <v>en-US</v>
    <v>Map</v>
  </rv>
  <rv s="1">
    <v>536870912</v>
    <v>Salto Department</v>
    <v>03610b7b-013c-0ee8-410e-862a629b2ea6</v>
    <v>en-US</v>
    <v>Map</v>
  </rv>
  <rv s="1">
    <v>536870912</v>
    <v>San José Department</v>
    <v>430941cb-a24d-6855-7fd1-c2de5e0eafb0</v>
    <v>en-US</v>
    <v>Map</v>
  </rv>
  <rv s="1">
    <v>536870912</v>
    <v>Soriano Department</v>
    <v>20c5f360-f062-1dba-7326-b35033e2d45b</v>
    <v>en-US</v>
    <v>Map</v>
  </rv>
  <rv s="1">
    <v>536870912</v>
    <v>Tacuarembó Department</v>
    <v>3d3ab1e0-e4dd-a712-e9ed-4e8019c73c8b</v>
    <v>en-US</v>
    <v>Map</v>
  </rv>
  <rv s="1">
    <v>536870912</v>
    <v>Treinta y Tres Department</v>
    <v>ce5de2e0-0829-6413-4cfe-22c8fb1f8bb1</v>
    <v>en-US</v>
    <v>Map</v>
  </rv>
  <rv s="3">
    <v>687</v>
  </rv>
  <rv s="0">
    <fb>0.20091963021411099</fb>
    <v>28</v>
  </rv>
  <rv s="0">
    <fb>8.7309999465942395E-2</fb>
    <v>35</v>
  </rv>
  <rv s="0">
    <fb>3303394</fb>
    <v>9</v>
  </rv>
  <rv s="9">
    <v>#VALUE!</v>
    <v>en-US</v>
    <v>4d1c354d-d080-b633-86bc-0bad862c8cc1</v>
    <v>536870912</v>
    <v>1</v>
    <v>1580</v>
    <v>55</v>
    <v>Uruguay</v>
    <v>5</v>
    <v>6</v>
    <v>Map</v>
    <v>7</v>
    <v>1581</v>
    <v>UY</v>
    <v>10105</v>
    <v>10106</v>
    <v>5522</v>
    <v>10107</v>
    <v>10108</v>
    <v>10096</v>
    <v>10109</v>
    <v>10110</v>
    <v>10111</v>
    <v>UYU</v>
    <v>Uruguay, officially the Oriental Republic of Uruguay, is a country in South America. It shares borders with Argentina to its west and southwest and Brazil to its north and northeast, while bordering the Río de la Plata to the south and the ...</v>
    <v>10112</v>
    <v>10113</v>
    <v>10114</v>
    <v>10115</v>
    <v>10116</v>
    <v>10117</v>
    <v>10118</v>
    <v>10119</v>
    <v>10120</v>
    <v>8824</v>
    <v>10096</v>
    <v>10123</v>
    <v>10124</v>
    <v>10125</v>
    <v>10126</v>
    <v>7775</v>
    <v>10127</v>
    <v>Uruguay</v>
    <v>National Anthem of Uruguay</v>
    <v>10128</v>
    <v>Repúbilca Oriental del Uruguay</v>
    <v>10129</v>
    <v>10130</v>
    <v>10131</v>
    <v>3398</v>
    <v>3488</v>
    <v>9528</v>
    <v>2191</v>
    <v>10132</v>
    <v>2828</v>
    <v>1360</v>
    <v>10133</v>
    <v>10152</v>
    <v>10153</v>
    <v>1498</v>
    <v>6678</v>
    <v>10154</v>
    <v>Uruguay</v>
    <v>10155</v>
    <v>mdp/vdpid/246</v>
  </rv>
  <rv s="1">
    <v>536870912</v>
    <v>Tashkent</v>
    <v>9a082910-0210-882c-d498-45343d7316df</v>
    <v>en-US</v>
    <v>Map</v>
  </rv>
  <rv s="0">
    <fb>334.8</fb>
    <v>9</v>
  </rv>
  <rv s="2">
    <v>345</v>
    <v>7</v>
    <v>1582</v>
    <v>7</v>
    <v>0</v>
    <v>Image of Tashkent</v>
  </rv>
  <rv s="4">
    <v>https://www.bing.com/search?q=tashkent&amp;form=skydnc</v>
    <v>Learn more on Bing</v>
  </rv>
  <rv s="0">
    <fb>2862420</fb>
    <v>9</v>
  </rv>
  <rv s="83">
    <v>#VALUE!</v>
    <v>en-US</v>
    <v>9a082910-0210-882c-d498-45343d7316df</v>
    <v>536870912</v>
    <v>1</v>
    <v>1584</v>
    <v>1208</v>
    <v>Tashkent</v>
    <v>5</v>
    <v>6</v>
    <v>Map</v>
    <v>7</v>
    <v>61</v>
    <v>UZ-TK</v>
    <v>10158</v>
    <v>4971</v>
    <v>Tashkent, or Toshkent in Uzbek, is the capital and largest city of Uzbekistan. It is the most populous city in Central Asia, with a population of more than 3 million people as of April 1st 2024. It is located in northeastern Uzbekistan, near the ...</v>
    <v>10159</v>
    <v>10160</v>
    <v>Tashkent</v>
    <v>10161</v>
    <v>Tashkent</v>
    <v>mdp/vdpid/7387254585296945153</v>
  </rv>
  <rv s="1">
    <v>536870912</v>
    <v>Port Vila</v>
    <v>e02447c6-de0b-1aba-f1ab-756dc66a7498</v>
    <v>en-US</v>
    <v>Map</v>
  </rv>
  <rv s="1">
    <v>536870912</v>
    <v>Shefa Province</v>
    <v>55225197-c0e3-499b-c24a-eecc3f8c7e15</v>
    <v>en-US</v>
    <v>Map</v>
  </rv>
  <rv s="0">
    <fb>23.6</fb>
    <v>9</v>
  </rv>
  <rv s="1">
    <v>536870912</v>
    <v>Vanuatu</v>
    <v>21ad700d-e9b7-12b2-2188-7cdf997d77d4</v>
    <v>en-US</v>
    <v>Map</v>
  </rv>
  <rv s="2">
    <v>346</v>
    <v>7</v>
    <v>1585</v>
    <v>7</v>
    <v>0</v>
    <v>Image of Port Vila</v>
  </rv>
  <rv s="0">
    <fb>-17.733329999999999</fb>
    <v>0</v>
  </rv>
  <rv s="1">
    <v>805306368</v>
    <v>Jenny Regenvanu (Mayor)</v>
    <v>baaf018b-a7f9-2397-8f0f-bb8a8b1afafc</v>
    <v>en-US</v>
    <v>Generic</v>
  </rv>
  <rv s="3">
    <v>688</v>
  </rv>
  <rv s="4">
    <v>https://www.bing.com/search?q=port+vila&amp;form=skydnc</v>
    <v>Learn more on Bing</v>
  </rv>
  <rv s="0">
    <fb>168.316667</fb>
    <v>0</v>
  </rv>
  <rv s="0">
    <fb>49034</fb>
    <v>9</v>
  </rv>
  <rv s="7">
    <v>#VALUE!</v>
    <v>en-US</v>
    <v>e02447c6-de0b-1aba-f1ab-756dc66a7498</v>
    <v>536870912</v>
    <v>1</v>
    <v>1586</v>
    <v>38</v>
    <v>Port Vila</v>
    <v>5</v>
    <v>6</v>
    <v>Map</v>
    <v>7</v>
    <v>8</v>
    <v>10164</v>
    <v>10165</v>
    <v>10166</v>
    <v>Port Vila, or simply Vila, is the capital of Vanuatu and its largest city. It is on the island of Efate, in Shefa Province. The population was 49,034 as of the 2020 census. In 2020, the population of Port Vila formed 16.3% of the country's ...</v>
    <v>10167</v>
    <v>10168</v>
    <v>10170</v>
    <v>10171</v>
    <v>10172</v>
    <v>Port Vila</v>
    <v>10173</v>
    <v>8564</v>
    <v>Port Vila</v>
    <v>mdp/vdpid/8852638519940612097</v>
  </rv>
  <rv s="0">
    <fb>0.15340442986054101</fb>
    <v>28</v>
  </rv>
  <rv s="0">
    <fb>12190</fb>
    <v>9</v>
  </rv>
  <rv s="0">
    <fb>29.594999999999999</fb>
    <v>29</v>
  </rv>
  <rv s="0">
    <fb>678</fb>
    <v>30</v>
  </rv>
  <rv s="0">
    <fb>146.68</fb>
    <v>9</v>
  </rv>
  <rv s="0">
    <fb>117.129669269253</fb>
    <v>31</v>
  </rv>
  <rv s="0">
    <fb>2.7625201938610702E-2</fb>
    <v>28</v>
  </rv>
  <rv s="0">
    <fb>3.782</fb>
    <v>29</v>
  </rv>
  <rv s="0">
    <fb>0.36095159967186197</fb>
    <v>28</v>
  </rv>
  <rv s="0">
    <fb>1.31</fb>
    <v>32</v>
  </rv>
  <rv s="0">
    <fb>917058850.81656301</fb>
    <v>33</v>
  </rv>
  <rv s="0">
    <fb>1.0929187</fb>
    <v>28</v>
  </rv>
  <rv s="0">
    <fb>4.7429800000000001E-2</fb>
    <v>28</v>
  </rv>
  <rv s="2">
    <v>347</v>
    <v>7</v>
    <v>1588</v>
    <v>7</v>
    <v>0</v>
    <v>Image of Vanuatu</v>
  </rv>
  <rv s="0">
    <fb>22.3</fb>
    <v>34</v>
  </rv>
  <rv s="1">
    <v>805306368</v>
    <v>Nikenike Vurobaravu (President)</v>
    <v>1d32cb39-9930-9e5b-20b4-3834229285ce</v>
    <v>en-US</v>
    <v>Generic</v>
  </rv>
  <rv s="1">
    <v>805306368</v>
    <v>Jotham Napat (Prime minister)</v>
    <v>8d858fc5-47da-a55c-a258-e63c753a5bdb</v>
    <v>en-US</v>
    <v>Generic</v>
  </rv>
  <rv s="3">
    <v>689</v>
  </rv>
  <rv s="4">
    <v>https://www.bing.com/search?q=vanuatu&amp;form=skydnc</v>
    <v>Learn more on Bing</v>
  </rv>
  <rv s="0">
    <fb>70.322999999999993</fb>
    <v>34</v>
  </rv>
  <rv s="0">
    <fb>1.56</fb>
    <v>32</v>
  </rv>
  <rv s="3">
    <v>690</v>
  </rv>
  <rv s="0">
    <fb>8.9058978699999999E-2</fb>
    <v>28</v>
  </rv>
  <rv s="0">
    <fb>0.1653</fb>
    <v>29</v>
  </rv>
  <rv s="0">
    <fb>326740</fb>
    <v>9</v>
  </rv>
  <rv s="0">
    <fb>0.69874999999999998</fb>
    <v>28</v>
  </rv>
  <rv s="1">
    <v>536870912</v>
    <v>Malampa Province</v>
    <v>727f1927-0553-0228-e4ab-79dfd3090aa4</v>
    <v>en-US</v>
    <v>Map</v>
  </rv>
  <rv s="1">
    <v>536870912</v>
    <v>Penama Province</v>
    <v>525a89fd-74a7-a854-b195-db77bcac9c21</v>
    <v>en-US</v>
    <v>Map</v>
  </rv>
  <rv s="1">
    <v>536870912</v>
    <v>Sanma Province</v>
    <v>b0cdaf4e-5c04-559c-50c2-d235e6734508</v>
    <v>en-US</v>
    <v>Map</v>
  </rv>
  <rv s="1">
    <v>536870912</v>
    <v>Tafea Province</v>
    <v>7b0d7d47-42ee-3c25-416c-255415929430</v>
    <v>en-US</v>
    <v>Map</v>
  </rv>
  <rv s="1">
    <v>536870912</v>
    <v>Torba Province</v>
    <v>f1909851-1e9d-98aa-fbd4-59d1a1176d81</v>
    <v>en-US</v>
    <v>Map</v>
  </rv>
  <rv s="3">
    <v>691</v>
  </rv>
  <rv s="0">
    <fb>0.17845239334041502</fb>
    <v>28</v>
  </rv>
  <rv s="0">
    <fb>4.3850002288818406E-2</fb>
    <v>35</v>
  </rv>
  <rv s="0">
    <fb>76152</fb>
    <v>9</v>
  </rv>
  <rv s="87">
    <v>#VALUE!</v>
    <v>en-US</v>
    <v>21ad700d-e9b7-12b2-2188-7cdf997d77d4</v>
    <v>536870912</v>
    <v>1</v>
    <v>1591</v>
    <v>1263</v>
    <v>Vanuatu</v>
    <v>5</v>
    <v>6</v>
    <v>Map</v>
    <v>7</v>
    <v>1592</v>
    <v>VU</v>
    <v>10175</v>
    <v>10176</v>
    <v>10177</v>
    <v>10178</v>
    <v>10163</v>
    <v>10179</v>
    <v>10180</v>
    <v>10181</v>
    <v>VUV</v>
    <v>Vanuatu, officially the Republic of Vanuatu, is an island country in Melanesia located in the South Pacific Ocean. The archipelago, which is of volcanic origin, is 1,750 km east of northern Australia 540 km northeast of New Caledonia, east of ...</v>
    <v>10182</v>
    <v>10183</v>
    <v>434</v>
    <v>10184</v>
    <v>10185</v>
    <v>10186</v>
    <v>10187</v>
    <v>10188</v>
    <v>10189</v>
    <v>10163</v>
    <v>10192</v>
    <v>10193</v>
    <v>10194</v>
    <v>5319</v>
    <v>10195</v>
    <v>Vanuatu</v>
    <v>Yumi, Yumi, Yumi</v>
    <v>10196</v>
    <v>Ripablik blong Vanuatu</v>
    <v>10197</v>
    <v>10198</v>
    <v>10199</v>
    <v>2128</v>
    <v>3217</v>
    <v>8273</v>
    <v>1287</v>
    <v>1288</v>
    <v>1474</v>
    <v>1289</v>
    <v>10200</v>
    <v>10206</v>
    <v>10207</v>
    <v>8564</v>
    <v>1956</v>
    <v>10208</v>
    <v>Vanuatu</v>
    <v>10209</v>
    <v>mdp/vdpid/174</v>
  </rv>
  <rv s="1">
    <v>536870912</v>
    <v>Caracas</v>
    <v>37b7d7c3-c045-e782-f35d-01ee5d1cb58a</v>
    <v>en-US</v>
    <v>Map</v>
  </rv>
  <rv s="1">
    <v>536870912</v>
    <v>Capital District</v>
    <v>5142924b-c000-9b6b-e280-614ac90f2102</v>
    <v>en-US</v>
    <v>Map</v>
  </rv>
  <rv s="1">
    <v>536870912</v>
    <v>Libertador Municipality, Caracas</v>
    <v>7b60c7b9-af2d-288d-f558-7249ec2ff0f3</v>
    <v>en-US</v>
    <v>Map</v>
  </rv>
  <rv s="0">
    <fb>776</fb>
    <v>9</v>
  </rv>
  <rv s="1">
    <v>536870912</v>
    <v>Venezuela</v>
    <v>6dd1d7bd-393f-a467-12fa-e71f98cc00b9</v>
    <v>en-US</v>
    <v>Map</v>
  </rv>
  <rv s="2">
    <v>348</v>
    <v>7</v>
    <v>1593</v>
    <v>7</v>
    <v>0</v>
    <v>Image of Caracas</v>
  </rv>
  <rv s="0">
    <fb>10.5</fb>
    <v>0</v>
  </rv>
  <rv s="4">
    <v>https://www.bing.com/search?q=caracas&amp;form=skydnc</v>
    <v>Learn more on Bing</v>
  </rv>
  <rv s="0">
    <fb>-66.933333333332996</fb>
    <v>0</v>
  </rv>
  <rv s="0">
    <fb>2245744</fb>
    <v>9</v>
  </rv>
  <rv s="13">
    <v>#VALUE!</v>
    <v>en-US</v>
    <v>37b7d7c3-c045-e782-f35d-01ee5d1cb58a</v>
    <v>536870912</v>
    <v>1</v>
    <v>1594</v>
    <v>72</v>
    <v>Caracas</v>
    <v>5</v>
    <v>6</v>
    <v>Map</v>
    <v>7</v>
    <v>148</v>
    <v>10212</v>
    <v>10213</v>
    <v>10214</v>
    <v>10215</v>
    <v>Caracas, officially Santiago de León de Caracas, is the capital and largest city of Venezuela, and the center of the Metropolitan Region of Caracas. Caracas is located along the Guaire River in the northern part of the country, within the ...</v>
    <v>10216</v>
    <v>10217</v>
    <v>10218</v>
    <v>10219</v>
    <v>Caracas</v>
    <v>10220</v>
    <v>462</v>
    <v>Caracas</v>
    <v>mdp/vdpid/5602559528194277386</v>
  </rv>
  <rv s="0">
    <fb>0.24488407686639099</fb>
    <v>28</v>
  </rv>
  <rv s="0">
    <fb>912050</fb>
    <v>9</v>
  </rv>
  <rv s="0">
    <fb>343000</fb>
    <v>9</v>
  </rv>
  <rv s="0">
    <fb>17.881</fb>
    <v>29</v>
  </rv>
  <rv s="0">
    <fb>58</fb>
    <v>30</v>
  </rv>
  <rv s="0">
    <fb>164175.25700000001</fb>
    <v>9</v>
  </rv>
  <rv s="0">
    <fb>2740.2739846709501</fb>
    <v>31</v>
  </rv>
  <rv s="0">
    <fb>2.5494853478181501</fb>
    <v>28</v>
  </rv>
  <rv s="0">
    <fb>2718.9427745604298</fb>
    <v>9</v>
  </rv>
  <rv s="0">
    <fb>2.2719999999999998</fb>
    <v>29</v>
  </rv>
  <rv s="0">
    <fb>0.52739188892352995</fb>
    <v>28</v>
  </rv>
  <rv s="0">
    <fb>88.377973216128495</fb>
    <v>34</v>
  </rv>
  <rv s="0">
    <fb>8.0000000000000007E-5</fb>
    <v>32</v>
  </rv>
  <rv s="0">
    <fb>482359318767.703</fb>
    <v>33</v>
  </rv>
  <rv s="0">
    <fb>0.97150340000000002</fb>
    <v>28</v>
  </rv>
  <rv s="0">
    <fb>0.79300560000000009</fb>
    <v>28</v>
  </rv>
  <rv s="2">
    <v>349</v>
    <v>7</v>
    <v>1596</v>
    <v>7</v>
    <v>0</v>
    <v>Image of Venezuela</v>
  </rv>
  <rv s="0">
    <fb>21.4</fb>
    <v>34</v>
  </rv>
  <rv s="1">
    <v>805306368</v>
    <v>Nicolás Maduro (President)</v>
    <v>62dd568b-6165-618b-d9a8-240b52e23c2f</v>
    <v>en-US</v>
    <v>Generic</v>
  </rv>
  <rv s="1">
    <v>805306368</v>
    <v>Delcy Rodríguez (Vice president)</v>
    <v>3014211c-495f-e0e6-c992-adcbda263b50</v>
    <v>en-US</v>
    <v>Generic</v>
  </rv>
  <rv s="3">
    <v>692</v>
  </rv>
  <rv s="4">
    <v>https://www.bing.com/search?q=venezuela&amp;form=skydnc</v>
    <v>Learn more on Bing</v>
  </rv>
  <rv s="0">
    <fb>72.128</fb>
    <v>34</v>
  </rv>
  <rv s="0">
    <fb>3979600000</fb>
    <v>33</v>
  </rv>
  <rv s="0">
    <fb>125</fb>
    <v>34</v>
  </rv>
  <rv s="3">
    <v>693</v>
  </rv>
  <rv s="0">
    <fb>0.45821973509999997</fb>
    <v>28</v>
  </rv>
  <rv s="0">
    <fb>1.9239999999999999</fb>
    <v>29</v>
  </rv>
  <rv s="0">
    <fb>28301696</fb>
    <v>9</v>
  </rv>
  <rv s="0">
    <fb>5.0000000000000001E-3</fb>
    <v>28</v>
  </rv>
  <rv s="0">
    <fb>0.59729999542236301</fb>
    <v>28</v>
  </rv>
  <rv s="1">
    <v>536870912</v>
    <v>Amazonas</v>
    <v>d12613b2-1769-fd3d-c816-bcf4892760c3</v>
    <v>en-US</v>
    <v>Map</v>
  </rv>
  <rv s="1">
    <v>536870912</v>
    <v>Anzoátegui</v>
    <v>8b43f71e-5058-e865-1fb6-e3cba21044b1</v>
    <v>en-US</v>
    <v>Map</v>
  </rv>
  <rv s="1">
    <v>536870912</v>
    <v>Apure</v>
    <v>9e1a67ac-4ea1-77bf-fa76-5f58931e81f8</v>
    <v>en-US</v>
    <v>Map</v>
  </rv>
  <rv s="1">
    <v>536870912</v>
    <v>Aragua</v>
    <v>83a3ec29-14b4-40cd-dc2d-86791c9d5180</v>
    <v>en-US</v>
    <v>Map</v>
  </rv>
  <rv s="1">
    <v>536870912</v>
    <v>Barinas</v>
    <v>24fe6763-a2f0-d630-66c3-08b9a841c6a1</v>
    <v>en-US</v>
    <v>Map</v>
  </rv>
  <rv s="1">
    <v>536870912</v>
    <v>Bolívar</v>
    <v>28ee01f1-3481-9fbb-480a-171c08837ce7</v>
    <v>en-US</v>
    <v>Map</v>
  </rv>
  <rv s="1">
    <v>536870912</v>
    <v>Carabobo</v>
    <v>0c400799-a7d1-9188-76c7-a03eb7bf96e6</v>
    <v>en-US</v>
    <v>Map</v>
  </rv>
  <rv s="1">
    <v>536870912</v>
    <v>Cojedes</v>
    <v>215558ac-dbeb-54e0-6265-2f177bc16686</v>
    <v>en-US</v>
    <v>Map</v>
  </rv>
  <rv s="1">
    <v>536870912</v>
    <v>Delta Amacuro</v>
    <v>a721c377-8d7b-63cb-48ce-8ca1cd475256</v>
    <v>en-US</v>
    <v>Map</v>
  </rv>
  <rv s="1">
    <v>536870912</v>
    <v>Falcón</v>
    <v>1f741430-789f-b870-4ec3-f3825be02dfd</v>
    <v>en-US</v>
    <v>Map</v>
  </rv>
  <rv s="1">
    <v>536870912</v>
    <v>Guárico</v>
    <v>f4010586-9f13-d10f-ad74-c388243ab99f</v>
    <v>en-US</v>
    <v>Map</v>
  </rv>
  <rv s="1">
    <v>536870912</v>
    <v>Lara</v>
    <v>28bc93f2-4f7d-957c-6576-a3bdc7b84923</v>
    <v>en-US</v>
    <v>Map</v>
  </rv>
  <rv s="1">
    <v>536870912</v>
    <v>Mérida</v>
    <v>a4989c58-06e5-45a4-b8f4-502581f7c935</v>
    <v>en-US</v>
    <v>Map</v>
  </rv>
  <rv s="1">
    <v>536870912</v>
    <v>Miranda</v>
    <v>c203d749-ff23-1654-7423-de62cda7879d</v>
    <v>en-US</v>
    <v>Map</v>
  </rv>
  <rv s="1">
    <v>536870912</v>
    <v>Monagas</v>
    <v>99d16d3b-4480-6e2e-3af6-b19380240865</v>
    <v>en-US</v>
    <v>Map</v>
  </rv>
  <rv s="1">
    <v>536870912</v>
    <v>Nueva Esparta</v>
    <v>61c93a6f-fa24-e914-9131-ff9cb21de321</v>
    <v>en-US</v>
    <v>Map</v>
  </rv>
  <rv s="1">
    <v>536870912</v>
    <v>Portuguesa</v>
    <v>f1c90efa-241a-1208-9ea6-ec628dcaabf6</v>
    <v>en-US</v>
    <v>Map</v>
  </rv>
  <rv s="1">
    <v>536870912</v>
    <v>Sucre</v>
    <v>a8d1a122-aba3-9b31-a5c1-1c2d5301513e</v>
    <v>en-US</v>
    <v>Map</v>
  </rv>
  <rv s="1">
    <v>536870912</v>
    <v>Táchira</v>
    <v>72391449-1011-80da-d60b-1493d591b575</v>
    <v>en-US</v>
    <v>Map</v>
  </rv>
  <rv s="1">
    <v>536870912</v>
    <v>Trujillo</v>
    <v>d68dd921-4861-e8a8-eaee-d5cf8cbfb3b8</v>
    <v>en-US</v>
    <v>Map</v>
  </rv>
  <rv s="1">
    <v>536870912</v>
    <v>La Guaira</v>
    <v>83b14d4b-fd80-6876-e6e3-6606024eaa2a</v>
    <v>en-US</v>
    <v>Map</v>
  </rv>
  <rv s="1">
    <v>536870912</v>
    <v>Yaracuy</v>
    <v>0ce1d139-cd0d-fdbf-9574-076a3d792483</v>
    <v>en-US</v>
    <v>Map</v>
  </rv>
  <rv s="1">
    <v>536870912</v>
    <v>Zulia</v>
    <v>b746a809-b508-f853-1aa2-8eb307076ab8</v>
    <v>en-US</v>
    <v>Map</v>
  </rv>
  <rv s="1">
    <v>536870912</v>
    <v>Federal Dependencies of Venezuela</v>
    <v>4ca38740-fb38-50ad-0c45-8a599048aa45</v>
    <v>en-US</v>
    <v>Map</v>
  </rv>
  <rv s="3">
    <v>694</v>
  </rv>
  <rv s="0">
    <fb>8.800999641418461E-2</fb>
    <v>35</v>
  </rv>
  <rv s="0">
    <fb>25162368</fb>
    <v>9</v>
  </rv>
  <rv s="44">
    <v>#VALUE!</v>
    <v>en-US</v>
    <v>6dd1d7bd-393f-a467-12fa-e71f98cc00b9</v>
    <v>536870912</v>
    <v>1</v>
    <v>1599</v>
    <v>485</v>
    <v>Venezuela</v>
    <v>5</v>
    <v>6</v>
    <v>Map</v>
    <v>7</v>
    <v>1600</v>
    <v>VE</v>
    <v>10222</v>
    <v>10223</v>
    <v>10224</v>
    <v>10225</v>
    <v>10226</v>
    <v>10211</v>
    <v>10227</v>
    <v>10228</v>
    <v>10229</v>
    <v>VES</v>
    <v>Venezuela, officially the Bolivarian Republic of Venezuela, is a country on the northern coast of South America, consisting of a continental landmass and many islands and islets in the Caribbean Sea. It comprises an area of 916,445 km², and its ...</v>
    <v>10230</v>
    <v>10231</v>
    <v>10232</v>
    <v>10233</v>
    <v>10234</v>
    <v>10235</v>
    <v>10236</v>
    <v>10237</v>
    <v>10238</v>
    <v>10239</v>
    <v>10211</v>
    <v>10242</v>
    <v>10243</v>
    <v>10244</v>
    <v>10245</v>
    <v>10246</v>
    <v>9727</v>
    <v>Venezuela</v>
    <v>Gloria al Bravo Pueblo</v>
    <v>10247</v>
    <v>República Bolivariana de Venezuela</v>
    <v>10248</v>
    <v>10249</v>
    <v>10250</v>
    <v>240</v>
    <v>4239</v>
    <v>3020</v>
    <v>10251</v>
    <v>1167</v>
    <v>3069</v>
    <v>3008</v>
    <v>10252</v>
    <v>10277</v>
    <v>462</v>
    <v>2091</v>
    <v>10278</v>
    <v>Venezuela</v>
    <v>10279</v>
    <v>mdp/vdpid/249</v>
  </rv>
  <rv s="1">
    <v>536870912</v>
    <v>Hanoi</v>
    <v>0ac97487-debb-537a-b806-132c4e5513e6</v>
    <v>en-US</v>
    <v>Map</v>
  </rv>
  <rv s="0">
    <fb>3359.84</fb>
    <v>9</v>
  </rv>
  <rv s="1">
    <v>536870912</v>
    <v>Ba Đình district</v>
    <v>90131ad0-e8ae-c52d-57bb-abd763a4b0de</v>
    <v>en-US</v>
    <v>Map</v>
  </rv>
  <rv s="1">
    <v>536870912</v>
    <v>Vietnam</v>
    <v>9eb3adfc-79da-211b-6de2-580a522f56a5</v>
    <v>en-US</v>
    <v>Map</v>
  </rv>
  <rv s="2">
    <v>350</v>
    <v>7</v>
    <v>1601</v>
    <v>7</v>
    <v>0</v>
    <v>Image of Hanoi</v>
  </rv>
  <rv s="4">
    <v>https://www.bing.com/search?q=hanoi&amp;form=skydnc</v>
    <v>Learn more on Bing</v>
  </rv>
  <rv s="3">
    <v>695</v>
  </rv>
  <rv s="0">
    <fb>8587100</fb>
    <v>9</v>
  </rv>
  <rv s="3">
    <v>696</v>
  </rv>
  <rv s="107">
    <v>#VALUE!</v>
    <v>en-US</v>
    <v>0ac97487-debb-537a-b806-132c4e5513e6</v>
    <v>536870912</v>
    <v>1</v>
    <v>1603</v>
    <v>1604</v>
    <v>Hanoi</v>
    <v>5</v>
    <v>6</v>
    <v>Map</v>
    <v>7</v>
    <v>111</v>
    <v>VN-HN</v>
    <v>10282</v>
    <v>10283</v>
    <v>10284</v>
    <v>Hanoi is the capital and second-most populous city of Vietnam. The name "Hanoi" translates to "inside the river". As a municipality, Hanoi consists of 12 urban districts, 17 rural districts, and one district-level town. The city encompasses an ...</v>
    <v>10285</v>
    <v>10286</v>
    <v>Hanoi</v>
    <v>10287</v>
    <v>10288</v>
    <v>10289</v>
    <v>Hanoi</v>
    <v>mdp/vdpid/-7974924153</v>
  </rv>
  <rv s="0">
    <fb>0.39275002418808697</fb>
    <v>28</v>
  </rv>
  <rv s="0">
    <fb>331690</fb>
    <v>9</v>
  </rv>
  <rv s="0">
    <fb>522000</fb>
    <v>9</v>
  </rv>
  <rv s="0">
    <fb>16.745000000000001</fb>
    <v>29</v>
  </rv>
  <rv s="0">
    <fb>84</fb>
    <v>30</v>
  </rv>
  <rv s="0">
    <fb>192667.84700000001</fb>
    <v>9</v>
  </rv>
  <rv s="0">
    <fb>163.516947912918</fb>
    <v>31</v>
  </rv>
  <rv s="0">
    <fb>2.7958236745224602E-2</fb>
    <v>28</v>
  </rv>
  <rv s="0">
    <fb>1423.68834535005</fb>
    <v>9</v>
  </rv>
  <rv s="0">
    <fb>2.0489999999999999</fb>
    <v>29</v>
  </rv>
  <rv s="0">
    <fb>0.48060115457799901</fb>
    <v>28</v>
  </rv>
  <rv s="0">
    <fb>69.821836554711396</fb>
    <v>34</v>
  </rv>
  <rv s="0">
    <fb>261921244843.172</fb>
    <v>33</v>
  </rv>
  <rv s="0">
    <fb>1.1059481</fb>
    <v>28</v>
  </rv>
  <rv s="0">
    <fb>0.28544969999999997</fb>
    <v>28</v>
  </rv>
  <rv s="2">
    <v>351</v>
    <v>7</v>
    <v>1606</v>
    <v>7</v>
    <v>0</v>
    <v>Image of Vietnam</v>
  </rv>
  <rv s="0">
    <fb>16.5</fb>
    <v>34</v>
  </rv>
  <rv s="1">
    <v>536870912</v>
    <v>Huế</v>
    <v>f7b07e05-ef1d-43f3-01a3-e6cd0b4f3a13</v>
    <v>en-US</v>
    <v>Map</v>
  </rv>
  <rv s="1">
    <v>805306368</v>
    <v>Tô Lâm (Secretary)</v>
    <v>9152904f-4e37-e328-0b36-b86232456217</v>
    <v>en-US</v>
    <v>Generic</v>
  </rv>
  <rv s="1">
    <v>805306368</v>
    <v>Lương Cường (President)</v>
    <v>4f59993d-700f-5afb-4487-3c8c930e0f89</v>
    <v>en-US</v>
    <v>Generic</v>
  </rv>
  <rv s="1">
    <v>805306368</v>
    <v>Phạm Minh Chính (Prime minister)</v>
    <v>a0729853-39d1-be4b-d795-e2b316447d77</v>
    <v>en-US</v>
    <v>Generic</v>
  </rv>
  <rv s="3">
    <v>697</v>
  </rv>
  <rv s="4">
    <v>https://www.bing.com/search?q=vietnam&amp;form=skydnc</v>
    <v>Learn more on Bing</v>
  </rv>
  <rv s="0">
    <fb>75.316999999999993</fb>
    <v>34</v>
  </rv>
  <rv s="0">
    <fb>149817280000</fb>
    <v>33</v>
  </rv>
  <rv s="0">
    <fb>0.43479386130000003</fb>
    <v>28</v>
  </rv>
  <rv s="0">
    <fb>0.81989999999999996</fb>
    <v>29</v>
  </rv>
  <rv s="0">
    <fb>98186856</fb>
    <v>9</v>
  </rv>
  <rv s="0">
    <fb>0.42899999999999999</fb>
    <v>28</v>
  </rv>
  <rv s="0">
    <fb>0.77446998596191408</fb>
    <v>28</v>
  </rv>
  <rv s="1">
    <v>536870912</v>
    <v>Bắc Ninh province</v>
    <v>f32cb7e6-e8de-e987-fdc3-d349e9f4e82e</v>
    <v>en-US</v>
    <v>Map</v>
  </rv>
  <rv s="1">
    <v>536870912</v>
    <v>Hà Nam province</v>
    <v>487be835-d973-fb64-dcea-78dcd420f020</v>
    <v>en-US</v>
    <v>Map</v>
  </rv>
  <rv s="1">
    <v>536870912</v>
    <v>Hải Dương province</v>
    <v>8acb8c46-8b5a-33bf-53cf-c27780d39c94</v>
    <v>en-US</v>
    <v>Map</v>
  </rv>
  <rv s="1">
    <v>536870912</v>
    <v>Hưng Yên province</v>
    <v>28bec015-649c-78a7-80bf-5842f8e42a12</v>
    <v>en-US</v>
    <v>Map</v>
  </rv>
  <rv s="1">
    <v>536870912</v>
    <v>Nam Định province</v>
    <v>bfef2284-e95b-f092-469d-6a00de173018</v>
    <v>en-US</v>
    <v>Map</v>
  </rv>
  <rv s="1">
    <v>536870912</v>
    <v>Ninh Bình province</v>
    <v>62b119cc-af6e-600e-8f0c-8333a24d940a</v>
    <v>en-US</v>
    <v>Map</v>
  </rv>
  <rv s="1">
    <v>536870912</v>
    <v>Thái Bình province</v>
    <v>5fb489c4-f4d9-5813-f4f1-3548876f62fa</v>
    <v>en-US</v>
    <v>Map</v>
  </rv>
  <rv s="1">
    <v>536870912</v>
    <v>Vĩnh Phúc province</v>
    <v>e2d0495a-c25b-d038-7185-9f8e7afa2730</v>
    <v>en-US</v>
    <v>Map</v>
  </rv>
  <rv s="1">
    <v>536870912</v>
    <v>Haiphong</v>
    <v>6edab830-6882-62ad-88e9-7904a37fc990</v>
    <v>en-US</v>
    <v>Map</v>
  </rv>
  <rv s="1">
    <v>536870912</v>
    <v>Hà Tĩnh province</v>
    <v>3dcdefa5-fb5d-3347-2dd3-55319a5b0acb</v>
    <v>en-US</v>
    <v>Map</v>
  </rv>
  <rv s="1">
    <v>536870912</v>
    <v>Nghệ An province</v>
    <v>4e40491b-6f31-6a9b-5d9c-53a76d07c546</v>
    <v>en-US</v>
    <v>Map</v>
  </rv>
  <rv s="1">
    <v>536870912</v>
    <v>Quảng Bình province</v>
    <v>3aa9562a-bfb9-0f3c-9f71-2b9e41c31533</v>
    <v>en-US</v>
    <v>Map</v>
  </rv>
  <rv s="1">
    <v>536870912</v>
    <v>Quảng Trị province</v>
    <v>c613de3e-0fd4-e7d3-ca25-23a39acae6a0</v>
    <v>en-US</v>
    <v>Map</v>
  </rv>
  <rv s="1">
    <v>536870912</v>
    <v>Thanh Hóa province</v>
    <v>e85d3d3b-de2c-8d0a-e9b3-e0142c67be30</v>
    <v>en-US</v>
    <v>Map</v>
  </rv>
  <rv s="1">
    <v>536870912</v>
    <v>Bắc Giang province</v>
    <v>565a6be2-c2ca-e29d-89a9-6161effa941e</v>
    <v>en-US</v>
    <v>Map</v>
  </rv>
  <rv s="1">
    <v>536870912</v>
    <v>Bắc Kạn province</v>
    <v>287b832d-31a9-3b71-8642-c20e8f2e69a8</v>
    <v>en-US</v>
    <v>Map</v>
  </rv>
  <rv s="1">
    <v>536870912</v>
    <v>Cao Bằng province</v>
    <v>4acb1135-b911-f6ea-8d38-a940f8dc11a1</v>
    <v>en-US</v>
    <v>Map</v>
  </rv>
  <rv s="1">
    <v>536870912</v>
    <v>Hà Giang province</v>
    <v>1861cc26-7c4c-05a9-c9f3-f449c61f7d25</v>
    <v>en-US</v>
    <v>Map</v>
  </rv>
  <rv s="1">
    <v>536870912</v>
    <v>Lạng Sơn province</v>
    <v>914134e7-0862-f123-9791-cd6e04f173b3</v>
    <v>en-US</v>
    <v>Map</v>
  </rv>
  <rv s="1">
    <v>536870912</v>
    <v>Lào Cai province</v>
    <v>e398ec8c-3d0a-088f-1c27-343b87fc142f</v>
    <v>en-US</v>
    <v>Map</v>
  </rv>
  <rv s="1">
    <v>536870912</v>
    <v>Phú Thọ province</v>
    <v>831c7c39-85f2-3548-d178-4223f9d133ad</v>
    <v>en-US</v>
    <v>Map</v>
  </rv>
  <rv s="1">
    <v>536870912</v>
    <v>Quảng Ninh province</v>
    <v>6052e50c-808a-4d40-1aaa-48b5a1866b12</v>
    <v>en-US</v>
    <v>Map</v>
  </rv>
  <rv s="1">
    <v>536870912</v>
    <v>Thái Nguyên province</v>
    <v>60f9ea3e-dc6b-64b9-5230-ae1470a1809d</v>
    <v>en-US</v>
    <v>Map</v>
  </rv>
  <rv s="1">
    <v>536870912</v>
    <v>Tuyên Quang province</v>
    <v>c88ac0af-3851-b70b-971a-c7c81048d029</v>
    <v>en-US</v>
    <v>Map</v>
  </rv>
  <rv s="1">
    <v>536870912</v>
    <v>Yên Bái province</v>
    <v>a82e4115-c1a0-2d48-cb6b-ebe836d9f43a</v>
    <v>en-US</v>
    <v>Map</v>
  </rv>
  <rv s="1">
    <v>536870912</v>
    <v>Điện Biên province</v>
    <v>91b9e8ee-eb7b-c834-6445-5d05e91c47a5</v>
    <v>en-US</v>
    <v>Map</v>
  </rv>
  <rv s="1">
    <v>536870912</v>
    <v>Hòa Bình province</v>
    <v>03e2ae54-8c3a-35e0-5faa-8ef8f701b67e</v>
    <v>en-US</v>
    <v>Map</v>
  </rv>
  <rv s="1">
    <v>536870912</v>
    <v>Lai Châu province</v>
    <v>da6a5867-3d61-027b-af64-9f61fa7cbb04</v>
    <v>en-US</v>
    <v>Map</v>
  </rv>
  <rv s="1">
    <v>536870912</v>
    <v>Sơn La province</v>
    <v>5738642d-4eb4-eb73-fa47-24aa6c579186</v>
    <v>en-US</v>
    <v>Map</v>
  </rv>
  <rv s="1">
    <v>536870912</v>
    <v>Đắk Lắk province</v>
    <v>911a9538-ad13-0c7f-cbab-a572c6a754ba</v>
    <v>en-US</v>
    <v>Map</v>
  </rv>
  <rv s="1">
    <v>536870912</v>
    <v>Đăk Nông province</v>
    <v>9c454915-10c0-3f6c-882b-8d824df8a64c</v>
    <v>en-US</v>
    <v>Map</v>
  </rv>
  <rv s="1">
    <v>536870912</v>
    <v>Gia Lai province</v>
    <v>1cb0f121-66e9-ca97-81f1-6e75deb8f21b</v>
    <v>en-US</v>
    <v>Map</v>
  </rv>
  <rv s="1">
    <v>536870912</v>
    <v>Kon Tum province</v>
    <v>93b7804d-46a2-159f-7821-f977368c6893</v>
    <v>en-US</v>
    <v>Map</v>
  </rv>
  <rv s="1">
    <v>536870912</v>
    <v>Lâm Đồng province</v>
    <v>7a96af21-4aad-f7fe-bc18-33530300b18a</v>
    <v>en-US</v>
    <v>Map</v>
  </rv>
  <rv s="1">
    <v>536870912</v>
    <v>Bình Định province</v>
    <v>a469a9d4-44af-45e8-d780-dce0ef044a48</v>
    <v>en-US</v>
    <v>Map</v>
  </rv>
  <rv s="1">
    <v>536870912</v>
    <v>Khánh Hòa province</v>
    <v>5598b0f8-eaa1-ada1-ce8e-7e1b98529633</v>
    <v>en-US</v>
    <v>Map</v>
  </rv>
  <rv s="1">
    <v>536870912</v>
    <v>Phú Yên province</v>
    <v>c67cc648-ba1e-562c-d5f7-940d92dfd8ca</v>
    <v>en-US</v>
    <v>Map</v>
  </rv>
  <rv s="1">
    <v>536870912</v>
    <v>Quảng Nam province</v>
    <v>305b9189-4e80-e15c-3b1f-387a1b5008b5</v>
    <v>en-US</v>
    <v>Map</v>
  </rv>
  <rv s="1">
    <v>536870912</v>
    <v>Quảng Ngãi province</v>
    <v>f5034736-04f4-30be-a40e-ab8e3b3a6d79</v>
    <v>en-US</v>
    <v>Map</v>
  </rv>
  <rv s="1">
    <v>536870912</v>
    <v>Da Nang</v>
    <v>f8246024-fd05-5f2e-4a14-6b19c96b8962</v>
    <v>en-US</v>
    <v>Map</v>
  </rv>
  <rv s="1">
    <v>536870912</v>
    <v>Bà Rịa–Vũng Tàu province</v>
    <v>20d39cc1-6931-f04a-dcd1-2d5b0ddf6f3c</v>
    <v>en-US</v>
    <v>Map</v>
  </rv>
  <rv s="1">
    <v>536870912</v>
    <v>Bình Dương province</v>
    <v>d89db6cd-8257-6ac5-a341-88304536f6da</v>
    <v>en-US</v>
    <v>Map</v>
  </rv>
  <rv s="1">
    <v>536870912</v>
    <v>Bình Phước province</v>
    <v>1002326f-c5db-da9d-6186-3a1e66b26354</v>
    <v>en-US</v>
    <v>Map</v>
  </rv>
  <rv s="1">
    <v>536870912</v>
    <v>Bình Thuận province</v>
    <v>a087acd2-ef54-268e-82ba-720ee03f0137</v>
    <v>en-US</v>
    <v>Map</v>
  </rv>
  <rv s="1">
    <v>536870912</v>
    <v>Đồng Nai province</v>
    <v>cdfef3d2-dda8-9c2e-6adf-7ad8a9b3fbd8</v>
    <v>en-US</v>
    <v>Map</v>
  </rv>
  <rv s="1">
    <v>536870912</v>
    <v>Ninh Thuận province</v>
    <v>abd21cf9-1465-f7a6-7529-9341fa746c6e</v>
    <v>en-US</v>
    <v>Map</v>
  </rv>
  <rv s="1">
    <v>536870912</v>
    <v>Tây Ninh province</v>
    <v>f9446c01-964f-f16e-f11f-ac62c3fe2c30</v>
    <v>en-US</v>
    <v>Map</v>
  </rv>
  <rv s="1">
    <v>536870912</v>
    <v>Ho Chi Minh City</v>
    <v>56b344bd-92d9-cb0b-00c2-5408a7bf99cf</v>
    <v>en-US</v>
    <v>Map</v>
  </rv>
  <rv s="1">
    <v>536870912</v>
    <v>An Giang province</v>
    <v>25c3e5c8-1034-857f-0ebc-d16255f30da8</v>
    <v>en-US</v>
    <v>Map</v>
  </rv>
  <rv s="1">
    <v>536870912</v>
    <v>Bạc Liêu province</v>
    <v>0f6fdb10-aa8f-ce35-6b17-ba9671510900</v>
    <v>en-US</v>
    <v>Map</v>
  </rv>
  <rv s="1">
    <v>536870912</v>
    <v>Cà Mau province</v>
    <v>96b2988a-eab5-1716-03a6-ffc1ee638013</v>
    <v>en-US</v>
    <v>Map</v>
  </rv>
  <rv s="1">
    <v>536870912</v>
    <v>Đồng Tháp province</v>
    <v>8808ccd8-3c62-17d7-bb5b-70dc40b07b15</v>
    <v>en-US</v>
    <v>Map</v>
  </rv>
  <rv s="1">
    <v>536870912</v>
    <v>Hậu Giang province</v>
    <v>6ae2fe3f-17f6-a5e2-f889-40d201c226e9</v>
    <v>en-US</v>
    <v>Map</v>
  </rv>
  <rv s="1">
    <v>536870912</v>
    <v>Kiên Giang province</v>
    <v>6008b700-0c21-4707-4129-29936df67d64</v>
    <v>en-US</v>
    <v>Map</v>
  </rv>
  <rv s="1">
    <v>536870912</v>
    <v>Long An province</v>
    <v>4ca9f569-2145-ea37-5507-74d6c9988505</v>
    <v>en-US</v>
    <v>Map</v>
  </rv>
  <rv s="1">
    <v>536870912</v>
    <v>Sóc Trăng province</v>
    <v>1d7122d8-d2ba-3531-6999-45f2aede18a4</v>
    <v>en-US</v>
    <v>Map</v>
  </rv>
  <rv s="1">
    <v>536870912</v>
    <v>Tiền Giang province</v>
    <v>4f78c3f8-c5ce-9ae8-ca22-9912d3d16eca</v>
    <v>en-US</v>
    <v>Map</v>
  </rv>
  <rv s="1">
    <v>536870912</v>
    <v>Trà Vinh province</v>
    <v>45b804fe-012c-42e6-bc9f-95f5b8eae928</v>
    <v>en-US</v>
    <v>Map</v>
  </rv>
  <rv s="1">
    <v>536870912</v>
    <v>Vĩnh Long province</v>
    <v>f3c039e0-a221-404d-c8bf-4d87246216df</v>
    <v>en-US</v>
    <v>Map</v>
  </rv>
  <rv s="1">
    <v>536870912</v>
    <v>Cần Thơ</v>
    <v>c6aad310-0349-6338-8c66-5a69d2c4914f</v>
    <v>en-US</v>
    <v>Map</v>
  </rv>
  <rv s="3">
    <v>698</v>
  </rv>
  <rv s="0">
    <fb>0.190698671023491</fb>
    <v>28</v>
  </rv>
  <rv s="0">
    <fb>2.01300001144409E-2</fb>
    <v>35</v>
  </rv>
  <rv s="0">
    <fb>35332140</fb>
    <v>9</v>
  </rv>
  <rv s="9">
    <v>#VALUE!</v>
    <v>en-US</v>
    <v>9eb3adfc-79da-211b-6de2-580a522f56a5</v>
    <v>536870912</v>
    <v>1</v>
    <v>1609</v>
    <v>55</v>
    <v>Vietnam</v>
    <v>5</v>
    <v>6</v>
    <v>Map</v>
    <v>7</v>
    <v>1610</v>
    <v>VN</v>
    <v>10291</v>
    <v>10292</v>
    <v>10293</v>
    <v>10294</v>
    <v>10295</v>
    <v>10281</v>
    <v>10296</v>
    <v>10297</v>
    <v>10298</v>
    <v>VND</v>
    <v>Vietnam, officially the Socialist Republic of Vietnam, is a country at the eastern edge of mainland Southeast Asia, with an area of about 331,000 square kilometres and a population of over 100 million, making it the world's fifteenth-most ...</v>
    <v>10299</v>
    <v>10300</v>
    <v>10301</v>
    <v>10302</v>
    <v>5245</v>
    <v>10303</v>
    <v>10304</v>
    <v>10305</v>
    <v>10306</v>
    <v>10307</v>
    <v>10308</v>
    <v>10312</v>
    <v>10313</v>
    <v>10314</v>
    <v>10315</v>
    <v>8045</v>
    <v>6028</v>
    <v>Vietnam</v>
    <v>Tiến Quân Ca</v>
    <v>10287</v>
    <v>Cộng hòa Xã hội Chủ nghĩa Việt Nam</v>
    <v>10316</v>
    <v>10317</v>
    <v>10318</v>
    <v>240</v>
    <v>3790</v>
    <v>10319</v>
    <v>9733</v>
    <v>1288</v>
    <v>5491</v>
    <v>3332</v>
    <v>10320</v>
    <v>10381</v>
    <v>10382</v>
    <v>1907</v>
    <v>1224</v>
    <v>10383</v>
    <v>Vietnam</v>
    <v>10384</v>
    <v>mdp/vdpid/251</v>
  </rv>
  <rv s="1">
    <v>536870912</v>
    <v>Sanaa</v>
    <v>56f46305-0da3-cf73-a8cb-9985e8dca0be</v>
    <v>en-US</v>
    <v>Map</v>
  </rv>
  <rv s="0">
    <fb>3450</fb>
    <v>9</v>
  </rv>
  <rv s="1">
    <v>536870912</v>
    <v>Yemen</v>
    <v>8d8f36f1-f292-3a92-a6b9-2c3b83e3ffba</v>
    <v>en-US</v>
    <v>Map</v>
  </rv>
  <rv s="2">
    <v>352</v>
    <v>7</v>
    <v>1611</v>
    <v>7</v>
    <v>0</v>
    <v>Image of Sanaa</v>
  </rv>
  <rv s="4">
    <v>https://www.bing.com/search?q=sana%27a&amp;form=skydnc</v>
    <v>Learn more on Bing</v>
  </rv>
  <rv s="0">
    <fb>3407814</fb>
    <v>9</v>
  </rv>
  <rv s="108">
    <v>#VALUE!</v>
    <v>en-US</v>
    <v>56f46305-0da3-cf73-a8cb-9985e8dca0be</v>
    <v>536870912</v>
    <v>1</v>
    <v>1612</v>
    <v>1613</v>
    <v>Sanaa</v>
    <v>5</v>
    <v>6</v>
    <v>Map</v>
    <v>7</v>
    <v>169</v>
    <v>10387</v>
    <v>10388</v>
    <v>Sanaa, officially the Sanaa Municipality, is the de jure capital and largest city of Yemen. The city is the capital of the Sanaa Governorate, but is not part of the governorate, as it forms a separate administrative unit. At an elevation of ...</v>
    <v>10389</v>
    <v>10390</v>
    <v>Sanaa</v>
    <v>10391</v>
    <v>1020</v>
    <v>Sanaa</v>
    <v>mdp/vdpid/7330606504686387201</v>
  </rv>
  <rv s="0">
    <fb>0.44597230903270996</fb>
    <v>28</v>
  </rv>
  <rv s="0">
    <fb>555000</fb>
    <v>9</v>
  </rv>
  <rv s="0">
    <fb>30.452999999999999</fb>
    <v>29</v>
  </rv>
  <rv s="0">
    <fb>967</fb>
    <v>30</v>
  </rv>
  <rv s="0">
    <fb>10608.630999999999</fb>
    <v>9</v>
  </rv>
  <rv s="0">
    <fb>157.58334053767501</fb>
    <v>31</v>
  </rv>
  <rv s="0">
    <fb>8.1047258362394792E-2</fb>
    <v>28</v>
  </rv>
  <rv s="0">
    <fb>219.79992243494601</fb>
    <v>9</v>
  </rv>
  <rv s="0">
    <fb>3.7919999999999998</fb>
    <v>29</v>
  </rv>
  <rv s="0">
    <fb>1.0398318086254901E-2</fb>
    <v>28</v>
  </rv>
  <rv s="0">
    <fb>98.488502741308295</fb>
    <v>34</v>
  </rv>
  <rv s="0">
    <fb>26914402223.782799</fb>
    <v>33</v>
  </rv>
  <rv s="0">
    <fb>0.93637479999999995</fb>
    <v>28</v>
  </rv>
  <rv s="0">
    <fb>0.1015192</fb>
    <v>28</v>
  </rv>
  <rv s="2">
    <v>353</v>
    <v>7</v>
    <v>1615</v>
    <v>7</v>
    <v>0</v>
    <v>Image of Yemen</v>
  </rv>
  <rv s="0">
    <fb>42.9</fb>
    <v>34</v>
  </rv>
  <rv s="1">
    <v>805306368</v>
    <v>Rashad al-Alimi (Chairman)</v>
    <v>6238a5f2-b686-e00d-6128-ada8e4ef4be3</v>
    <v>en-US</v>
    <v>Generic</v>
  </rv>
  <rv s="1">
    <v>805306368</v>
    <v>n (Chairman)</v>
    <v>5a968b7b-bcd4-e4a0-1ab5-1de7b31363a1</v>
    <v>en-US</v>
    <v>Generic</v>
  </rv>
  <rv s="1">
    <v>805306368</v>
    <v>Ahmad Awad bin Mubarak (Prime minister)</v>
    <v>dbe105ce-8317-b2e8-3397-64869d1cbeb7</v>
    <v>en-US</v>
    <v>Generic</v>
  </rv>
  <rv s="1">
    <v>805306368</v>
    <v>n (Prime minister)</v>
    <v>5a968b7b-bcd4-e4a0-1ab5-1de7b31363a1</v>
    <v>en-US</v>
    <v>Generic</v>
  </rv>
  <rv s="3">
    <v>699</v>
  </rv>
  <rv s="4">
    <v>https://www.bing.com/search?q=yemen&amp;form=skydnc</v>
    <v>Learn more on Bing</v>
  </rv>
  <rv s="0">
    <fb>66.096000000000004</fb>
    <v>34</v>
  </rv>
  <rv s="0">
    <fb>164</fb>
    <v>34</v>
  </rv>
  <rv s="0">
    <fb>0.80957237960000006</fb>
    <v>28</v>
  </rv>
  <rv s="0">
    <fb>0.31040000000000001</fb>
    <v>29</v>
  </rv>
  <rv s="0">
    <fb>33696614</fb>
    <v>9</v>
  </rv>
  <rv s="1">
    <v>536870912</v>
    <v>Aden Governorate</v>
    <v>eb50c1a3-efd7-4783-80e8-c87bef8feab4</v>
    <v>en-US</v>
    <v>Map</v>
  </rv>
  <rv s="1">
    <v>536870912</v>
    <v>'Amran Governorate</v>
    <v>444bbf4c-044c-856e-419d-a399f325ce9b</v>
    <v>en-US</v>
    <v>Map</v>
  </rv>
  <rv s="1">
    <v>536870912</v>
    <v>Abyan Governorate</v>
    <v>807f60a7-1105-4311-925d-b51fc5bfd502</v>
    <v>en-US</v>
    <v>Map</v>
  </rv>
  <rv s="1">
    <v>536870912</v>
    <v>Dhale Governorate</v>
    <v>8f330532-4719-a00a-c381-965e99123f05</v>
    <v>en-US</v>
    <v>Map</v>
  </rv>
  <rv s="1">
    <v>536870912</v>
    <v>Al Bayda Governorate</v>
    <v>ba6cac62-32a1-cfae-3f4a-7840cd45b9c7</v>
    <v>en-US</v>
    <v>Map</v>
  </rv>
  <rv s="1">
    <v>536870912</v>
    <v>Al Hudaydah Governorate</v>
    <v>5e8ad357-8bfa-1a01-96bb-78ef87ff9428</v>
    <v>en-US</v>
    <v>Map</v>
  </rv>
  <rv s="1">
    <v>536870912</v>
    <v>Al Jawf Governorate</v>
    <v>640f28d8-6aea-c10f-ef57-32833685338e</v>
    <v>en-US</v>
    <v>Map</v>
  </rv>
  <rv s="1">
    <v>536870912</v>
    <v>Al Mahrah Governorate</v>
    <v>b3a7fb9f-2cda-45ea-b7d4-38ec75cea515</v>
    <v>en-US</v>
    <v>Map</v>
  </rv>
  <rv s="1">
    <v>536870912</v>
    <v>Al Mahwit Governorate</v>
    <v>657040b2-99af-4ad7-9fb7-6e70c2e2ce96</v>
    <v>en-US</v>
    <v>Map</v>
  </rv>
  <rv s="1">
    <v>536870912</v>
    <v>Dhamar Governorate</v>
    <v>156f4d23-ef1f-56f1-cf12-f3f0f3a28bc3</v>
    <v>en-US</v>
    <v>Map</v>
  </rv>
  <rv s="1">
    <v>536870912</v>
    <v>Hadhramaut Governorate</v>
    <v>36085ad6-c026-a02d-2fef-2cb63495f86a</v>
    <v>en-US</v>
    <v>Map</v>
  </rv>
  <rv s="1">
    <v>536870912</v>
    <v>Hajjah Governorate</v>
    <v>2f982afb-75be-f024-a89c-4f435a7f4bc2</v>
    <v>en-US</v>
    <v>Map</v>
  </rv>
  <rv s="1">
    <v>536870912</v>
    <v>Ibb Governorate</v>
    <v>9498bb6c-618a-53e1-2ce0-34e2a95676a2</v>
    <v>en-US</v>
    <v>Map</v>
  </rv>
  <rv s="1">
    <v>536870912</v>
    <v>Lahij Governorate</v>
    <v>a2a3856c-1e2e-57e3-18b9-d4ce416535c9</v>
    <v>en-US</v>
    <v>Map</v>
  </rv>
  <rv s="1">
    <v>536870912</v>
    <v>Marib Governorate</v>
    <v>a74db4fb-7b9e-9cfb-c363-ff67438aa533</v>
    <v>en-US</v>
    <v>Map</v>
  </rv>
  <rv s="1">
    <v>536870912</v>
    <v>Raymah Governorate</v>
    <v>f40c5b8c-4e9e-49c3-9166-fbcd66fb22b5</v>
    <v>en-US</v>
    <v>Map</v>
  </rv>
  <rv s="1">
    <v>536870912</v>
    <v>Saada Governorate</v>
    <v>f16542f3-5ea0-8735-1916-12c210ee9229</v>
    <v>en-US</v>
    <v>Map</v>
  </rv>
  <rv s="1">
    <v>536870912</v>
    <v>Shabwah Governorate</v>
    <v>7b57d3b2-5008-605a-324d-86ad1fcd5137</v>
    <v>en-US</v>
    <v>Map</v>
  </rv>
  <rv s="1">
    <v>536870912</v>
    <v>Taiz Governorate</v>
    <v>84db9bc1-b7e9-bfe3-ec7c-db9a3ba92b32</v>
    <v>en-US</v>
    <v>Map</v>
  </rv>
  <rv s="1">
    <v>536870912</v>
    <v>Socotra Governorate</v>
    <v>ab37d4a6-bf21-4cce-b242-4de744e30409</v>
    <v>en-US</v>
    <v>Map</v>
  </rv>
  <rv s="3">
    <v>700</v>
  </rv>
  <rv s="0">
    <fb>0.26600000000000001</fb>
    <v>28</v>
  </rv>
  <rv s="0">
    <fb>0.12909999847412101</fb>
    <v>35</v>
  </rv>
  <rv s="0">
    <fb>10869523</fb>
    <v>9</v>
  </rv>
  <rv s="109">
    <v>#VALUE!</v>
    <v>en-US</v>
    <v>8d8f36f1-f292-3a92-a6b9-2c3b83e3ffba</v>
    <v>536870912</v>
    <v>1</v>
    <v>1618</v>
    <v>1619</v>
    <v>Yemen</v>
    <v>5</v>
    <v>6</v>
    <v>Map</v>
    <v>7</v>
    <v>1620</v>
    <v>YE</v>
    <v>10393</v>
    <v>10394</v>
    <v>4389</v>
    <v>10395</v>
    <v>10396</v>
    <v>10386</v>
    <v>10397</v>
    <v>10398</v>
    <v>10399</v>
    <v>YER</v>
    <v>Yemen, officially the Republic of Yemen, is a country in West Asia. Located in southern Arabia, it borders Saudi Arabia to the north, Oman to the northeast, the Red Sea to the west, the Gulf of Aden to the south, and the southeasten part of the ...</v>
    <v>10400</v>
    <v>10401</v>
    <v>10402</v>
    <v>10403</v>
    <v>825</v>
    <v>10404</v>
    <v>10405</v>
    <v>10406</v>
    <v>10407</v>
    <v>10408</v>
    <v>10386</v>
    <v>10413</v>
    <v>10414</v>
    <v>10415</v>
    <v>10416</v>
    <v>Yemen</v>
    <v>National anthem of Yemen</v>
    <v>3133</v>
    <v>الجمهورية اليمنية</v>
    <v>10417</v>
    <v>10418</v>
    <v>10419</v>
    <v>3066</v>
    <v>3217</v>
    <v>3489</v>
    <v>3400</v>
    <v>1533</v>
    <v>3792</v>
    <v>1360</v>
    <v>5823</v>
    <v>10440</v>
    <v>1020</v>
    <v>10441</v>
    <v>10442</v>
    <v>Yemen</v>
    <v>10443</v>
    <v>mdp/vdpid/261</v>
  </rv>
  <rv s="1">
    <v>536870912</v>
    <v>Lusaka</v>
    <v>7de4c181-8645-0103-ad1c-c0461c192a4d</v>
    <v>en-US</v>
    <v>Map</v>
  </rv>
  <rv s="1">
    <v>536870912</v>
    <v>Lusaka Province</v>
    <v>f5a2130c-e3e9-8ce4-6c96-d6378a92eff0</v>
    <v>en-US</v>
    <v>Map</v>
  </rv>
  <rv s="0">
    <fb>360</fb>
    <v>9</v>
  </rv>
  <rv s="1">
    <v>536870912</v>
    <v>Zambia</v>
    <v>b8b30682-32da-bc4a-79df-7634e7a4a031</v>
    <v>en-US</v>
    <v>Map</v>
  </rv>
  <rv s="2">
    <v>354</v>
    <v>7</v>
    <v>1621</v>
    <v>7</v>
    <v>0</v>
    <v>Image of Lusaka</v>
  </rv>
  <rv s="0">
    <fb>-15.416666666667</fb>
    <v>0</v>
  </rv>
  <rv s="1">
    <v>805306368</v>
    <v>Chilando Chitangala (Mayor)</v>
    <v>c66a2cb5-6e40-1c4e-47d9-ef6cb56f5d2e</v>
    <v>en-US</v>
    <v>Generic</v>
  </rv>
  <rv s="3">
    <v>701</v>
  </rv>
  <rv s="4">
    <v>https://www.bing.com/search?q=lusaka&amp;form=skydnc</v>
    <v>Learn more on Bing</v>
  </rv>
  <rv s="0">
    <fb>28.283333333333001</fb>
    <v>0</v>
  </rv>
  <rv s="0">
    <fb>2731696</fb>
    <v>9</v>
  </rv>
  <rv s="3">
    <v>702</v>
  </rv>
  <rv s="7">
    <v>#VALUE!</v>
    <v>en-US</v>
    <v>7de4c181-8645-0103-ad1c-c0461c192a4d</v>
    <v>536870912</v>
    <v>1</v>
    <v>1622</v>
    <v>38</v>
    <v>Lusaka</v>
    <v>5</v>
    <v>6</v>
    <v>Map</v>
    <v>7</v>
    <v>8</v>
    <v>10446</v>
    <v>10447</v>
    <v>10448</v>
    <v>Lusaka is the capital and largest city of Zambia. It is one of the fastest-developing cities in southern Africa. Lusaka is in the southern part of the central plateau at an elevation of about 1,279 metres. As of 2019, the city's population was ...</v>
    <v>10449</v>
    <v>10450</v>
    <v>10452</v>
    <v>10453</v>
    <v>10454</v>
    <v>Lusaka</v>
    <v>10455</v>
    <v>10456</v>
    <v>Lusaka</v>
    <v>mdp/vdpid/8127965866764533761</v>
  </rv>
  <rv s="0">
    <fb>0.32063923378038406</fb>
    <v>28</v>
  </rv>
  <rv s="0">
    <fb>752618</fb>
    <v>9</v>
  </rv>
  <rv s="0">
    <fb>36.192</fb>
    <v>29</v>
  </rv>
  <rv s="0">
    <fb>260</fb>
    <v>30</v>
  </rv>
  <rv s="0">
    <fb>5141.134</fb>
    <v>9</v>
  </rv>
  <rv s="0">
    <fb>212.308758955396</fb>
    <v>31</v>
  </rv>
  <rv s="0">
    <fb>9.150316443162991E-2</fb>
    <v>28</v>
  </rv>
  <rv s="0">
    <fb>717.349167873017</fb>
    <v>9</v>
  </rv>
  <rv s="0">
    <fb>4.633</fb>
    <v>29</v>
  </rv>
  <rv s="0">
    <fb>0.65199153119493103</fb>
    <v>28</v>
  </rv>
  <rv s="0">
    <fb>10.563324103313899</fb>
    <v>34</v>
  </rv>
  <rv s="0">
    <fb>23064722446.351299</fb>
    <v>33</v>
  </rv>
  <rv s="0">
    <fb>0.98715520000000001</fb>
    <v>28</v>
  </rv>
  <rv s="0">
    <fb>4.1160300000000004E-2</fb>
    <v>28</v>
  </rv>
  <rv s="2">
    <v>355</v>
    <v>7</v>
    <v>1624</v>
    <v>7</v>
    <v>0</v>
    <v>Image of Zambia</v>
  </rv>
  <rv s="0">
    <fb>40.4</fb>
    <v>34</v>
  </rv>
  <rv s="1">
    <v>805306368</v>
    <v>Hakainde Hichilema (President)</v>
    <v>ea9a4668-10b5-9389-3f1d-c7669c7eea8c</v>
    <v>en-US</v>
    <v>Generic</v>
  </rv>
  <rv s="1">
    <v>805306368</v>
    <v>Mutale Nalumango (Vice president)</v>
    <v>11442c5a-5529-5046-ffd6-2b9d141b02b2</v>
    <v>en-US</v>
    <v>Generic</v>
  </rv>
  <rv s="1">
    <v>805306368</v>
    <v>Nelly Mutti (Speaker)</v>
    <v>5ebd3b70-4964-1714-d23f-b53dd75d9098</v>
    <v>en-US</v>
    <v>Generic</v>
  </rv>
  <rv s="1">
    <v>805306368</v>
    <v>Mumba Malila (Chief justice)</v>
    <v>84ab6a04-5c1a-3679-6911-9cdf423b493d</v>
    <v>en-US</v>
    <v>Generic</v>
  </rv>
  <rv s="3">
    <v>703</v>
  </rv>
  <rv s="4">
    <v>https://www.bing.com/search?q=zambia&amp;form=skydnc</v>
    <v>Learn more on Bing</v>
  </rv>
  <rv s="0">
    <fb>63.51</fb>
    <v>34</v>
  </rv>
  <rv s="0">
    <fb>3184470000</fb>
    <v>33</v>
  </rv>
  <rv s="0">
    <fb>213</fb>
    <v>34</v>
  </rv>
  <rv s="0">
    <fb>0.27528931629999998</fb>
    <v>28</v>
  </rv>
  <rv s="0">
    <fb>1.1867000000000001</fb>
    <v>29</v>
  </rv>
  <rv s="0">
    <fb>20017675</fb>
    <v>9</v>
  </rv>
  <rv s="0">
    <fb>0.61299999999999999</fb>
    <v>28</v>
  </rv>
  <rv s="0">
    <fb>0.74614997863769505</fb>
    <v>28</v>
  </rv>
  <rv s="1">
    <v>536870912</v>
    <v>Central Province, Zambia</v>
    <v>da53850c-e534-4e9b-e487-e1fc9ffa39cf</v>
    <v>en-US</v>
    <v>Map</v>
  </rv>
  <rv s="1">
    <v>536870912</v>
    <v>Copperbelt Province</v>
    <v>a3727fec-c04e-cd55-ad3f-0406a87a1def</v>
    <v>en-US</v>
    <v>Map</v>
  </rv>
  <rv s="1">
    <v>536870912</v>
    <v>Eastern Province, Zambia</v>
    <v>f5236972-3279-8032-2615-0730ff6c315b</v>
    <v>en-US</v>
    <v>Map</v>
  </rv>
  <rv s="1">
    <v>536870912</v>
    <v>Luapula Province</v>
    <v>7ddedf6e-7ab2-3b8f-f8f2-ce78a7b3ee35</v>
    <v>en-US</v>
    <v>Map</v>
  </rv>
  <rv s="1">
    <v>536870912</v>
    <v>Northern Province, Zambia</v>
    <v>f86c9678-ce07-60ea-efcd-9bf324135874</v>
    <v>en-US</v>
    <v>Map</v>
  </rv>
  <rv s="1">
    <v>536870912</v>
    <v>North-Western Province, Zambia</v>
    <v>5461b6f9-4965-a338-a8f9-06cfbab6c899</v>
    <v>en-US</v>
    <v>Map</v>
  </rv>
  <rv s="1">
    <v>536870912</v>
    <v>Southern Province, Zambia</v>
    <v>1455596d-0374-ae22-e948-fd5db0b0c3f6</v>
    <v>en-US</v>
    <v>Map</v>
  </rv>
  <rv s="1">
    <v>536870912</v>
    <v>Western Province, Zambia</v>
    <v>3dc41777-31fd-7d58-db85-8e2010136880</v>
    <v>en-US</v>
    <v>Map</v>
  </rv>
  <rv s="1">
    <v>536870912</v>
    <v>Muchinga Province</v>
    <v>64cf481c-435e-04e7-d1ba-a054a7dd88a4</v>
    <v>en-US</v>
    <v>Map</v>
  </rv>
  <rv s="3">
    <v>704</v>
  </rv>
  <rv s="0">
    <fb>0.161613240647138</fb>
    <v>28</v>
  </rv>
  <rv s="3">
    <v>705</v>
  </rv>
  <rv s="0">
    <fb>0.11425000190734901</fb>
    <v>35</v>
  </rv>
  <rv s="0">
    <fb>7871713</fb>
    <v>9</v>
  </rv>
  <rv s="9">
    <v>#VALUE!</v>
    <v>en-US</v>
    <v>b8b30682-32da-bc4a-79df-7634e7a4a031</v>
    <v>536870912</v>
    <v>1</v>
    <v>1627</v>
    <v>55</v>
    <v>Zambia</v>
    <v>5</v>
    <v>6</v>
    <v>Map</v>
    <v>7</v>
    <v>1628</v>
    <v>ZM</v>
    <v>10458</v>
    <v>10459</v>
    <v>2734</v>
    <v>10460</v>
    <v>10461</v>
    <v>10445</v>
    <v>10462</v>
    <v>10463</v>
    <v>10464</v>
    <v>ZMW</v>
    <v>Zambia, officially the Republic of Zambia, is a landlocked country at the crossroads of Central, Southern and East Africa. It is typically referred to being in South-Central Africa or Southern Africa. It is bordered to the north by the ...</v>
    <v>10465</v>
    <v>10466</v>
    <v>10467</v>
    <v>10468</v>
    <v>2682</v>
    <v>10469</v>
    <v>10470</v>
    <v>10471</v>
    <v>10472</v>
    <v>10473</v>
    <v>10445</v>
    <v>10478</v>
    <v>10479</v>
    <v>10480</v>
    <v>10481</v>
    <v>10482</v>
    <v>8180</v>
    <v>Zambia</v>
    <v>Stand and Sing of Zambia, Proud and Free</v>
    <v>448</v>
    <v>Zambia</v>
    <v>10483</v>
    <v>10484</v>
    <v>10485</v>
    <v>8065</v>
    <v>1286</v>
    <v>10486</v>
    <v>1226</v>
    <v>1417</v>
    <v>3685</v>
    <v>4688</v>
    <v>10487</v>
    <v>10497</v>
    <v>10498</v>
    <v>10499</v>
    <v>7194</v>
    <v>10500</v>
    <v>Zambia</v>
    <v>10501</v>
    <v>mdp/vdpid/263</v>
  </rv>
  <rv s="1">
    <v>536870912</v>
    <v>Harare</v>
    <v>339262f8-e3e8-4a7a-b284-2ec0ae8db056</v>
    <v>en-US</v>
    <v>Map</v>
  </rv>
  <rv s="1">
    <v>536870912</v>
    <v>Harare Province</v>
    <v>8b8018d5-44a5-2bd7-fdd4-b805107e6afa</v>
    <v>en-US</v>
    <v>Map</v>
  </rv>
  <rv s="0">
    <fb>960.6</fb>
    <v>9</v>
  </rv>
  <rv s="1">
    <v>536870912</v>
    <v>Zimbabwe</v>
    <v>b5996cb7-676c-cac9-7199-564ad2aab277</v>
    <v>en-US</v>
    <v>Map</v>
  </rv>
  <rv s="2">
    <v>356</v>
    <v>7</v>
    <v>1630</v>
    <v>7</v>
    <v>0</v>
    <v>Image of Harare</v>
  </rv>
  <rv s="0">
    <fb>-17.829166666667</fb>
    <v>0</v>
  </rv>
  <rv s="1">
    <v>805306368</v>
    <v>Jacob Mafume (Mayor)</v>
    <v>94f12269-434c-5284-1e02-8a9e7f75fce1</v>
    <v>en-US</v>
    <v>Generic</v>
  </rv>
  <rv s="3">
    <v>706</v>
  </rv>
  <rv s="4">
    <v>https://www.bing.com/search?q=harare&amp;form=skydnc</v>
    <v>Learn more on Bing</v>
  </rv>
  <rv s="0">
    <fb>31.052222222221999</fb>
    <v>0</v>
  </rv>
  <rv s="0">
    <fb>2150000</fb>
    <v>9</v>
  </rv>
  <rv s="24">
    <v>#VALUE!</v>
    <v>en-US</v>
    <v>339262f8-e3e8-4a7a-b284-2ec0ae8db056</v>
    <v>536870912</v>
    <v>1</v>
    <v>1631</v>
    <v>189</v>
    <v>Harare</v>
    <v>5</v>
    <v>6</v>
    <v>Map</v>
    <v>7</v>
    <v>571</v>
    <v>10504</v>
    <v>10505</v>
    <v>10506</v>
    <v>Harare, formerly known as Salisbury, is the capital and largest city of Zimbabwe. The city proper has an area of 982.3km², a population of 1,849,600 as of the 2022 census and an estimated 2,487,209 people in its metropolitan province. The city ...</v>
    <v>10507</v>
    <v>10508</v>
    <v>10510</v>
    <v>10511</v>
    <v>10512</v>
    <v>Harare</v>
    <v>10513</v>
    <v>Harare</v>
    <v>mdp/vdpid/8131885905293082625</v>
  </rv>
  <rv s="0">
    <fb>0.41876696393951102</fb>
    <v>28</v>
  </rv>
  <rv s="0">
    <fb>390757</fb>
    <v>9</v>
  </rv>
  <rv s="0">
    <fb>51000</fb>
    <v>9</v>
  </rv>
  <rv s="0">
    <fb>30.675999999999998</fb>
    <v>29</v>
  </rv>
  <rv s="0">
    <fb>263</fb>
    <v>30</v>
  </rv>
  <rv s="0">
    <fb>10982.665000000001</fb>
    <v>9</v>
  </rv>
  <rv s="0">
    <fb>105.511848952592</fb>
    <v>31</v>
  </rv>
  <rv s="0">
    <fb>9.0973328962810091E-3</fb>
    <v>28</v>
  </rv>
  <rv s="0">
    <fb>609.12595209970698</fb>
    <v>9</v>
  </rv>
  <rv s="0">
    <fb>3.6150000000000002</fb>
    <v>29</v>
  </rv>
  <rv s="0">
    <fb>0.35542457307418901</fb>
    <v>28</v>
  </rv>
  <rv s="0">
    <fb>29.095759404593402</fb>
    <v>34</v>
  </rv>
  <rv s="0">
    <fb>1.34</fb>
    <v>32</v>
  </rv>
  <rv s="0">
    <fb>21440758800</fb>
    <v>33</v>
  </rv>
  <rv s="0">
    <fb>1.0989279000000001</fb>
    <v>28</v>
  </rv>
  <rv s="0">
    <fb>0.1000655</fb>
    <v>28</v>
  </rv>
  <rv s="2">
    <v>357</v>
    <v>7</v>
    <v>1633</v>
    <v>7</v>
    <v>0</v>
    <v>Image of Zimbabwe</v>
  </rv>
  <rv s="0">
    <fb>33.9</fb>
    <v>34</v>
  </rv>
  <rv s="1">
    <v>805306368</v>
    <v>Emmerson Mnangagwa (President)</v>
    <v>5755f18d-9a00-fc38-a49b-d1967f2d89f8</v>
    <v>en-US</v>
    <v>Generic</v>
  </rv>
  <rv s="1">
    <v>805306368</v>
    <v>Constantino Chiwenga (Vice president)</v>
    <v>ef0c364e-5a47-7700-8ddd-c01316d73920</v>
    <v>en-US</v>
    <v>Generic</v>
  </rv>
  <rv s="3">
    <v>707</v>
  </rv>
  <rv s="4">
    <v>https://www.bing.com/search?q=zimbabwe&amp;form=skydnc</v>
    <v>Learn more on Bing</v>
  </rv>
  <rv s="0">
    <fb>61.195</fb>
    <v>34</v>
  </rv>
  <rv s="0">
    <fb>2460690000</fb>
    <v>33</v>
  </rv>
  <rv s="0">
    <fb>458</fb>
    <v>34</v>
  </rv>
  <rv s="3">
    <v>708</v>
  </rv>
  <rv s="0">
    <fb>0.25786417579999998</fb>
    <v>28</v>
  </rv>
  <rv s="0">
    <fb>0.20960000000000001</fb>
    <v>29</v>
  </rv>
  <rv s="0">
    <fb>16320537</fb>
    <v>9</v>
  </rv>
  <rv s="0">
    <fb>0.51100000000000001</fb>
    <v>28</v>
  </rv>
  <rv s="0">
    <fb>0.83098999023437503</fb>
    <v>28</v>
  </rv>
  <rv s="1">
    <v>536870912</v>
    <v>Manicaland Province</v>
    <v>b1f33617-37cf-4b27-9859-5db9bb06fa11</v>
    <v>en-US</v>
    <v>Map</v>
  </rv>
  <rv s="1">
    <v>536870912</v>
    <v>Mashonaland Central Province</v>
    <v>2ef46323-c369-41a1-9e79-1f5e432f3ecd</v>
    <v>en-US</v>
    <v>Map</v>
  </rv>
  <rv s="1">
    <v>536870912</v>
    <v>Mashonaland East Province</v>
    <v>1fc07007-9f63-4db6-a6c5-e8b0f8bdb7a7</v>
    <v>en-US</v>
    <v>Map</v>
  </rv>
  <rv s="1">
    <v>536870912</v>
    <v>Mashonaland West Province</v>
    <v>99e23c4e-5280-488f-afcc-0fd10e492c5a</v>
    <v>en-US</v>
    <v>Map</v>
  </rv>
  <rv s="1">
    <v>536870912</v>
    <v>Matabeleland North Province</v>
    <v>51d8ea84-5806-40c6-b58c-33b181349fe4</v>
    <v>en-US</v>
    <v>Map</v>
  </rv>
  <rv s="1">
    <v>536870912</v>
    <v>Matabeleland South Province</v>
    <v>67f42b25-58c5-468d-b8c4-68f5b3c9f2a9</v>
    <v>en-US</v>
    <v>Map</v>
  </rv>
  <rv s="1">
    <v>536870912</v>
    <v>Midlands Province</v>
    <v>0265a709-9b01-4e2b-a93a-1cabf7de13a0</v>
    <v>en-US</v>
    <v>Map</v>
  </rv>
  <rv s="1">
    <v>536870912</v>
    <v>Masvingo Province</v>
    <v>eaed1e4c-fb87-46f4-9780-f36993637fbe</v>
    <v>en-US</v>
    <v>Map</v>
  </rv>
  <rv s="3">
    <v>709</v>
  </rv>
  <rv s="0">
    <fb>0.20658688009763901</fb>
    <v>28</v>
  </rv>
  <rv s="3">
    <v>710</v>
  </rv>
  <rv s="0">
    <fb>4.9539999961853001E-2</fb>
    <v>35</v>
  </rv>
  <rv s="0">
    <fb>4717305</fb>
    <v>9</v>
  </rv>
  <rv s="40">
    <v>#VALUE!</v>
    <v>en-US</v>
    <v>b5996cb7-676c-cac9-7199-564ad2aab277</v>
    <v>536870912</v>
    <v>1</v>
    <v>1636</v>
    <v>433</v>
    <v>Zimbabwe</v>
    <v>5</v>
    <v>6</v>
    <v>Map</v>
    <v>7</v>
    <v>1637</v>
    <v>ZW</v>
    <v>10515</v>
    <v>10516</v>
    <v>10517</v>
    <v>10518</v>
    <v>10519</v>
    <v>10503</v>
    <v>10520</v>
    <v>10521</v>
    <v>10522</v>
    <v>AUD</v>
    <v>Zimbabwe, officially the Republic of Zimbabwe, is a landlocked country in Southeast Africa, between the Zambezi and Limpopo Rivers, bordered by South Africa to the south, Botswana to the southwest, Zambia to the north, and Mozambique to the ...</v>
    <v>10523</v>
    <v>10524</v>
    <v>10525</v>
    <v>10526</v>
    <v>10527</v>
    <v>10528</v>
    <v>10529</v>
    <v>10530</v>
    <v>10531</v>
    <v>10532</v>
    <v>10503</v>
    <v>10535</v>
    <v>10536</v>
    <v>10537</v>
    <v>10538</v>
    <v>10539</v>
    <v>Zimbabwe</v>
    <v>National Anthem of Zimbabwe</v>
    <v>10540</v>
    <v>Zimbabwe</v>
    <v>10541</v>
    <v>10542</v>
    <v>10543</v>
    <v>4805</v>
    <v>6942</v>
    <v>10544</v>
    <v>9733</v>
    <v>3685</v>
    <v>2421</v>
    <v>2471</v>
    <v>10545</v>
    <v>10554</v>
    <v>10555</v>
    <v>10556</v>
    <v>5017</v>
    <v>10557</v>
    <v>Zimbabwe</v>
    <v>10558</v>
    <v>mdp/vdpid/264</v>
  </rv>
</rvData>
</file>

<file path=xl/richData/rdrichvaluestructure.xml><?xml version="1.0" encoding="utf-8"?>
<rvStructures xmlns="http://schemas.microsoft.com/office/spreadsheetml/2017/richdata" count="110">
  <s t="_formattednumber">
    <k n="_Format" t="spb"/>
  </s>
  <s t="_linkedentity2">
    <k n="%EntityServiceId" t="i"/>
    <k n="_DisplayString" t="s"/>
    <k n="%EntityId" t="s"/>
    <k n="%EntityCulture" t="s"/>
    <k n="_Icon" t="s"/>
  </s>
  <s t="_webimage">
    <k n="WebImageIdentifier" t="i"/>
    <k n="_Provider" t="spb"/>
    <k n="Attribution" t="spb"/>
    <k n="CalcOrigin" t="i"/>
    <k n="ComputedImage" t="b"/>
    <k n="Text" t="s"/>
  </s>
  <s t="_array">
    <k n="array" t="a"/>
  </s>
  <s t="_hyperlink">
    <k n="Address" t="s"/>
    <k n="Text"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dmin Division 2 (County/district/other)" t="r"/>
    <k n="Area" t="r"/>
    <k n="Country/region" t="r"/>
    <k n="Description" t="s"/>
    <k n="Image" t="r"/>
    <k n="Latitude" t="r"/>
    <k n="Leader(s)"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Fertility rate" t="r"/>
    <k n="Forested area (%)" t="r"/>
    <k n="Gasoline price" t="r"/>
    <k n="GDP" t="r"/>
    <k n="Gross primary education enrollment (%)" t="r"/>
    <k n="Gross tertiary education enrollment (%)" t="r"/>
    <k n="Image"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rea" t="r"/>
    <k n="Country/region" t="r"/>
    <k n="Description" t="s"/>
    <k n="Image" t="r"/>
    <k n="Latitude" t="r"/>
    <k n="Leader(s)"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ountry/region" t="r"/>
    <k n="Description" t="s"/>
    <k n="Image" t="r"/>
    <k n="LearnMoreOnLink"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Birth rate" t="r"/>
    <k n="Calling code" t="r"/>
    <k n="Capital/Major City" t="r"/>
    <k n="Carbon dioxide emissions" t="r"/>
    <k n="Currency code" t="s"/>
    <k n="Description" t="s"/>
    <k n="Fertility rate" t="r"/>
    <k n="Forested area (%)" t="r"/>
    <k n="Gasoline price" t="r"/>
    <k n="GDP" t="r"/>
    <k n="Gross primary education enrollment (%)" t="r"/>
    <k n="Image" t="r"/>
    <k n="Infant mortality" t="r"/>
    <k n="Largest city" t="r"/>
    <k n="Leader(s)" t="r"/>
    <k n="LearnMoreOnLink" t="r"/>
    <k n="Minimum wage" t="r"/>
    <k n="Name" t="s"/>
    <k n="National anthem" t="s"/>
    <k n="Official language" t="r"/>
    <k n="Official name" t="s"/>
    <k n="Out of pocket health expenditure (%)" t="r"/>
    <k n="Physicians per thousand" t="r"/>
    <k n="Population" t="r"/>
    <k n="Subdivisions" t="r"/>
    <k n="Time zone(s)" t="r"/>
    <k n="UniqueName" t="s"/>
    <k n="Urban population" t="r"/>
    <k n="VDPID/VSID" t="s"/>
  </s>
  <s t="_error">
    <k n="errorType" t="i"/>
    <k n="field" t="s"/>
    <k n="subType" t="i"/>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dmin Division 2 (County/district/other)" t="r"/>
    <k n="Area" t="r"/>
    <k n="Country/region" t="r"/>
    <k n="Description" t="s"/>
    <k n="Image" t="r"/>
    <k n="Latitude"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rea" t="r"/>
    <k n="Country/region" t="r"/>
    <k n="Description" t="s"/>
    <k n="Image" t="r"/>
    <k n="Latitude" t="r"/>
    <k n="LearnMoreOnLink" t="r"/>
    <k n="Longitude"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Subdivisions" t="r"/>
    <k n="Tax revenue (%)" t="r"/>
    <k n="Time zone(s)" t="r"/>
    <k n="Total tax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ountry/region" t="r"/>
    <k n="Description" t="s"/>
    <k n="Image" t="r"/>
    <k n="Leader(s)" t="r"/>
    <k n="LearnMoreOnLink"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rea" t="r"/>
    <k n="Country/region" t="r"/>
    <k n="Description" t="s"/>
    <k n="Image" t="r"/>
    <k n="Latitude"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ountry/region" t="r"/>
    <k n="Description" t="s"/>
    <k n="Image" t="r"/>
    <k n="Leader(s)" t="r"/>
    <k n="LearnMoreOnLink" t="r"/>
    <k n="Name" t="s"/>
    <k n="Official language" t="r"/>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rea" t="r"/>
    <k n="Country/region" t="r"/>
    <k n="Description" t="s"/>
    <k n="Image" t="r"/>
    <k n="Latitude"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dmin Division 2 (County/district/other)" t="r"/>
    <k n="Area" t="r"/>
    <k n="Country/region" t="r"/>
    <k n="Description" t="s"/>
    <k n="Image" t="r"/>
    <k n="Latitude" t="r"/>
    <k n="Leader(s)" t="r"/>
    <k n="LearnMoreOnLink" t="r"/>
    <k n="Longitude"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rea" t="r"/>
    <k n="Country/region" t="r"/>
    <k n="Description" t="s"/>
    <k n="Image" t="r"/>
    <k n="Latitude" t="r"/>
    <k n="Leader(s)" t="r"/>
    <k n="LearnMoreOnLink" t="r"/>
    <k n="Longitude"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Image"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tertiary education enrollment (%)" t="r"/>
    <k n="Image"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ternal mortality ratio" t="r"/>
    <k n="Name" t="s"/>
    <k n="National anthem" t="s"/>
    <k n="Official language" t="r"/>
    <k n="Official name" t="s"/>
    <k n="Out of pocket health expenditure (%)" t="r"/>
    <k n="Physicians per thousand" t="r"/>
    <k n="Population" t="r"/>
    <k n="Population: Labor force participation (%)" t="r"/>
    <k n="Subdivisions"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Fertility rate" t="r"/>
    <k n="Forested area (%)" t="r"/>
    <k n="Gasoline price" t="r"/>
    <k n="GDP" t="r"/>
    <k n="Gross primary education enrollment (%)" t="r"/>
    <k n="Gross tertiary education enrollment (%)" t="r"/>
    <k n="Image" t="r"/>
    <k n="Infant mortality" t="r"/>
    <k n="Largest city" t="r"/>
    <k n="Leader(s)" t="r"/>
    <k n="LearnMoreOnLink" t="r"/>
    <k n="Life expectancy" t="r"/>
    <k n="Maternal mortality ratio"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ountry/region" t="r"/>
    <k n="Description" t="s"/>
    <k n="Image" t="r"/>
    <k n="Leader(s)" t="r"/>
    <k n="LearnMoreOnLink"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ternal mortality ratio" t="r"/>
    <k n="Name" t="s"/>
    <k n="National anthem" t="s"/>
    <k n="Official language" t="r"/>
    <k n="Official name" t="s"/>
    <k n="Out of pocket health expenditure (%)" t="r"/>
    <k n="Physicians per thousand" t="r"/>
    <k n="Population"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Fertility rate" t="r"/>
    <k n="Forested area (%)" t="r"/>
    <k n="Gasoline price" t="r"/>
    <k n="GDP" t="r"/>
    <k n="Gross primary education enrollment (%)" t="r"/>
    <k n="Gross tertiary education enrollment (%)" t="r"/>
    <k n="Image"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Fertility rate" t="r"/>
    <k n="Forested area (%)" t="r"/>
    <k n="Gasoline price" t="r"/>
    <k n="GDP" t="r"/>
    <k n="Gross primary education enrollment (%)" t="r"/>
    <k n="Gross tertiary education enrollment (%)" t="r"/>
    <k n="Image"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pital/Major City" t="r"/>
    <k n="Country/region" t="r"/>
    <k n="Description" t="s"/>
    <k n="Image" t="r"/>
    <k n="Leader(s)" t="r"/>
    <k n="LearnMoreOnLink"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ountry/region" t="r"/>
    <k n="Description" t="s"/>
    <k n="Housing units" t="r"/>
    <k n="Image" t="r"/>
    <k n="Leader(s)" t="r"/>
    <k n="LearnMoreOnLink" t="r"/>
    <k n="Name" t="s"/>
    <k n="Official language" t="r"/>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Birth rate" t="r"/>
    <k n="Calling code" t="r"/>
    <k n="Capital/Major City" t="r"/>
    <k n="Carbon dioxide emissions" t="r"/>
    <k n="CPI" t="r"/>
    <k n="CPI Change (%)" t="r"/>
    <k n="Currency code" t="s"/>
    <k n="Description" t="s"/>
    <k n="Fertility rate" t="r"/>
    <k n="Forested area (%)" t="r"/>
    <k n="Fossil fuel energy consumption" t="r"/>
    <k n="GDP" t="r"/>
    <k n="Gross primary education enrollment (%)" t="r"/>
    <k n="Gross tertiary education enrollment (%)" t="r"/>
    <k n="Image"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ternal mortality ratio" t="r"/>
    <k n="Minimum wage" t="r"/>
    <k n="Name" t="s"/>
    <k n="National anthem" t="s"/>
    <k n="Official language" t="r"/>
    <k n="Official name" t="s"/>
    <k n="Physicians per thousand" t="r"/>
    <k n="Population" t="r"/>
    <k n="Population: Labor force participation (%)" t="r"/>
    <k n="Subdivisions" t="r"/>
    <k n="Time zone(s)"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ternal mortality ratio"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Country/region" t="r"/>
    <k n="Description" t="s"/>
    <k n="Image" t="r"/>
    <k n="Latitude" t="r"/>
    <k n="LearnMoreOnLink" t="r"/>
    <k n="Longitude"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Birth rate" t="r"/>
    <k n="Calling code" t="r"/>
    <k n="Capital/Major City" t="r"/>
    <k n="Carbon dioxide emissions" t="r"/>
    <k n="CPI" t="r"/>
    <k n="CPI Change (%)" t="r"/>
    <k n="Currency code" t="s"/>
    <k n="Description" t="s"/>
    <k n="Fertility rate" t="r"/>
    <k n="Forested area (%)" t="r"/>
    <k n="Fossil fuel energy consumption" t="r"/>
    <k n="GDP" t="r"/>
    <k n="Gross primary education enrollment (%)" t="r"/>
    <k n="Gross tertiary education enrollment (%)" t="r"/>
    <k n="Image" t="r"/>
    <k n="Infant mortality" t="r"/>
    <k n="Largest city" t="r"/>
    <k n="Leader(s)" t="r"/>
    <k n="LearnMoreOnLink" t="r"/>
    <k n="Life expectancy" t="r"/>
    <k n="Minimum wage" t="r"/>
    <k n="Name" t="s"/>
    <k n="National anthem" t="s"/>
    <k n="Official language" t="r"/>
    <k n="Official name" t="s"/>
    <k n="Out of pocket health expenditure (%)" t="r"/>
    <k n="Physicians per thousand" t="r"/>
    <k n="Population" t="r"/>
    <k n="Subdivisions" t="r"/>
    <k n="Tax revenue (%)" t="r"/>
    <k n="Time zone(s)" t="r"/>
    <k n="Total tax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rea" t="r"/>
    <k n="Country/region" t="r"/>
    <k n="Description" t="s"/>
    <k n="Image" t="r"/>
    <k n="Latitude" t="r"/>
    <k n="Leader(s)"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Fertility rate" t="r"/>
    <k n="Forested area (%)" t="r"/>
    <k n="Fossil fuel energy consumption" t="r"/>
    <k n="GDP" t="r"/>
    <k n="Gross primary education enrollment (%)" t="r"/>
    <k n="Gross tertiary education enrollment (%)" t="r"/>
    <k n="Image"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ternal mortality ratio"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rea" t="r"/>
    <k n="Calling code" t="r"/>
    <k n="Capital/Major City" t="r"/>
    <k n="Currency code" t="s"/>
    <k n="Description" t="s"/>
    <k n="GDP" t="r"/>
    <k n="Image" t="r"/>
    <k n="Largest city" t="r"/>
    <k n="Leader(s)" t="r"/>
    <k n="LearnMoreOnLink" t="r"/>
    <k n="Name" t="s"/>
    <k n="National anthem" t="s"/>
    <k n="Official language" t="r"/>
    <k n="Official name" t="s"/>
    <k n="Out of pocket health expenditure (%)" t="r"/>
    <k n="Population" t="r"/>
    <k n="Subdivisions" t="r"/>
    <k n="Tax revenue (%)"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dmin Division 2 (County/district/other)" t="r"/>
    <k n="Area" t="r"/>
    <k n="Country/region" t="r"/>
    <k n="Description" t="s"/>
    <k n="Image" t="r"/>
    <k n="Latitude" t="r"/>
    <k n="LearnMoreOnLink" t="r"/>
    <k n="Longitude"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ountry/region" t="r"/>
    <k n="Description" t="s"/>
    <k n="Image" t="r"/>
    <k n="Leader(s)" t="r"/>
    <k n="LearnMoreOnLink" t="r"/>
    <k n="Name" t="s"/>
    <k n="Official language" t="r"/>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ountry/region" t="r"/>
    <k n="Description" t="s"/>
    <k n="Households" t="r"/>
    <k n="Housing units" t="r"/>
    <k n="Image" t="r"/>
    <k n="Leader(s)" t="r"/>
    <k n="LearnMoreOnLink" t="r"/>
    <k n="Name" t="s"/>
    <k n="Official language" t="r"/>
    <k n="Persons per household" t="r"/>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Birth rate" t="r"/>
    <k n="Calling code" t="r"/>
    <k n="Capital/Major City" t="r"/>
    <k n="Carbon dioxide emissions" t="r"/>
    <k n="CPI" t="r"/>
    <k n="CPI Change (%)" t="r"/>
    <k n="Currency code" t="s"/>
    <k n="Description" t="s"/>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ternal mortality ratio" t="r"/>
    <k n="Name" t="s"/>
    <k n="National anthem" t="s"/>
    <k n="Official language" t="r"/>
    <k n="Official name" t="s"/>
    <k n="Out of pocket health expenditure (%)" t="r"/>
    <k n="Physicians per thousand" t="r"/>
    <k n="Population" t="r"/>
    <k n="Subdivisions" t="r"/>
    <k n="Tax revenue (%)" t="r"/>
    <k n="Time zone(s)" t="r"/>
    <k n="Total tax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Fertility rate" t="r"/>
    <k n="Forested area (%)" t="r"/>
    <k n="Fossil fuel energy consumption" t="r"/>
    <k n="GDP" t="r"/>
    <k n="Gross primary education enrollment (%)" t="r"/>
    <k n="Gross tertiary education enrollment (%)" t="r"/>
    <k n="Image"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rea" t="r"/>
    <k n="Country/region" t="r"/>
    <k n="Description" t="s"/>
    <k n="Image" t="r"/>
    <k n="Latitude" t="r"/>
    <k n="Leader(s)" t="r"/>
    <k n="LearnMoreOnLink" t="r"/>
    <k n="Longitude"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pital/Major City" t="r"/>
    <k n="Country/region" t="r"/>
    <k n="Description" t="s"/>
    <k n="Households" t="r"/>
    <k n="Image" t="r"/>
    <k n="Leader(s)" t="r"/>
    <k n="LearnMoreOnLink" t="r"/>
    <k n="Name" t="s"/>
    <k n="Official language" t="r"/>
    <k n="Persons per household" t="r"/>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pital/Major City" t="r"/>
    <k n="Country/region" t="r"/>
    <k n="Description" t="s"/>
    <k n="Image" t="r"/>
    <k n="Largest city" t="r"/>
    <k n="Leader(s)" t="r"/>
    <k n="LearnMoreOnLink"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rea" t="r"/>
    <k n="Country/region" t="r"/>
    <k n="Description" t="s"/>
    <k n="Image" t="r"/>
    <k n="LearnMoreOnLink" t="r"/>
    <k n="Name" t="s"/>
    <k n="Official language" t="r"/>
    <k n="Population" t="r"/>
    <k n="UniqueName" t="s"/>
    <k n="VDPID/VSID" t="s"/>
  </s>
  <s t="_error">
    <k n="errorType" t="i"/>
    <k n="subType" t="i"/>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rea" t="r"/>
    <k n="Country/region" t="r"/>
    <k n="Description" t="s"/>
    <k n="Latitude" t="r"/>
    <k n="LearnMoreOnLink" t="r"/>
    <k n="Longitude"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Labor force participation (%)" t="r"/>
    <k n="Subdivisions"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Birth rate" t="r"/>
    <k n="Calling code" t="r"/>
    <k n="Capital/Major City" t="r"/>
    <k n="Carbon dioxide emissions" t="r"/>
    <k n="Currency code" t="s"/>
    <k n="Description" t="s"/>
    <k n="Fertility rate" t="r"/>
    <k n="Forested area (%)" t="r"/>
    <k n="Gasoline price" t="r"/>
    <k n="GDP" t="r"/>
    <k n="Gross primary education enrollment (%)" t="r"/>
    <k n="Gross tertiary education enrollment (%)" t="r"/>
    <k n="Image" t="r"/>
    <k n="Largest city" t="r"/>
    <k n="Leader(s)" t="r"/>
    <k n="LearnMoreOnLink" t="r"/>
    <k n="Life expectancy" t="r"/>
    <k n="Name" t="s"/>
    <k n="National anthem" t="s"/>
    <k n="Official language" t="r"/>
    <k n="Official name" t="s"/>
    <k n="Population" t="r"/>
    <k n="Subdivisions" t="r"/>
    <k n="Time zone(s)" t="r"/>
    <k n="Total tax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2 (County/district/other)" t="r"/>
    <k n="Area" t="r"/>
    <k n="Country/region" t="r"/>
    <k n="Description" t="s"/>
    <k n="Image" t="r"/>
    <k n="Latitude" t="r"/>
    <k n="Leader(s)"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Fertility rate" t="r"/>
    <k n="Forested area (%)" t="r"/>
    <k n="Gasoline price" t="r"/>
    <k n="GDP" t="r"/>
    <k n="Gross primary education enrollment (%)" t="r"/>
    <k n="Gross tertiary education enrollment (%)" t="r"/>
    <k n="Image"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rea" t="r"/>
    <k n="Country/region" t="r"/>
    <k n="Description" t="s"/>
    <k n="Image" t="r"/>
    <k n="Leader(s)" t="r"/>
    <k n="LearnMoreOnLink"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ternal mortality ratio"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Birth rate" t="r"/>
    <k n="Calling code" t="r"/>
    <k n="Capital/Major City" t="r"/>
    <k n="Carbon dioxide emissions" t="r"/>
    <k n="Currency code" t="s"/>
    <k n="Description" t="s"/>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inimum wage" t="r"/>
    <k n="Name" t="s"/>
    <k n="National anthem" t="s"/>
    <k n="Official language" t="r"/>
    <k n="Official name" t="s"/>
    <k n="Out of pocket health expenditure (%)" t="r"/>
    <k n="Physicians per thousand" t="r"/>
    <k n="Population" t="r"/>
    <k n="Subdivisions" t="r"/>
    <k n="Tax revenue (%)" t="r"/>
    <k n="Time zone(s)" t="r"/>
    <k n="Total tax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ountry/region" t="r"/>
    <k n="Description" t="s"/>
    <k n="Households" t="r"/>
    <k n="Image" t="r"/>
    <k n="Leader(s)" t="r"/>
    <k n="LearnMoreOnLink"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Country/region" t="r"/>
    <k n="Description" t="s"/>
    <k n="Image" t="r"/>
    <k n="Latitude"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Birth rate" t="r"/>
    <k n="Calling code" t="r"/>
    <k n="Capital/Major City" t="r"/>
    <k n="Carbon dioxide emissions" t="r"/>
    <k n="CPI" t="r"/>
    <k n="CPI Change (%)" t="r"/>
    <k n="Currency code" t="s"/>
    <k n="Description" t="s"/>
    <k n="Fertility rate" t="r"/>
    <k n="Forested area (%)" t="r"/>
    <k n="GDP" t="r"/>
    <k n="Gross primary education enrollment (%)" t="r"/>
    <k n="Gross tertiary education enrollment (%)" t="r"/>
    <k n="Image" t="r"/>
    <k n="Infant mortality" t="r"/>
    <k n="Largest city" t="r"/>
    <k n="Leader(s)" t="r"/>
    <k n="LearnMoreOnLink" t="r"/>
    <k n="Life expectancy" t="r"/>
    <k n="Maternal mortality ratio"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Subdivisions" t="r"/>
    <k n="Tax revenue (%)" t="r"/>
    <k n="Time zone(s)" t="r"/>
    <k n="Total tax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Birth rate" t="r"/>
    <k n="Calling code" t="r"/>
    <k n="Capital/Major City" t="r"/>
    <k n="Currency code" t="s"/>
    <k n="Description" t="s"/>
    <k n="Gasoline price" t="r"/>
    <k n="GDP" t="r"/>
    <k n="Image" t="r"/>
    <k n="Infant mortality" t="r"/>
    <k n="Largest city" t="r"/>
    <k n="Leader(s)" t="r"/>
    <k n="LearnMoreOnLink" t="r"/>
    <k n="Minimum wage" t="r"/>
    <k n="Name" t="s"/>
    <k n="National anthem" t="s"/>
    <k n="Official language" t="r"/>
    <k n="Official name" t="s"/>
    <k n="Out of pocket health expenditure (%)" t="r"/>
    <k n="Physicians per thousand" t="r"/>
    <k n="Population" t="r"/>
    <k n="Time zone(s)"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lling code" t="r"/>
    <k n="Capital/Major City" t="r"/>
    <k n="Currency code" t="s"/>
    <k n="Description" t="s"/>
    <k n="GDP" t="r"/>
    <k n="Image" t="r"/>
    <k n="Largest city" t="r"/>
    <k n="Leader(s)" t="r"/>
    <k n="LearnMoreOnLink" t="r"/>
    <k n="Name" t="s"/>
    <k n="National anthem" t="s"/>
    <k n="Official language" t="r"/>
    <k n="Official name" t="s"/>
    <k n="Population" t="r"/>
    <k n="Subdivisions"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rea" t="r"/>
    <k n="Country/region" t="r"/>
    <k n="Description" t="s"/>
    <k n="Image" t="r"/>
    <k n="Latitude" t="r"/>
    <k n="LearnMoreOnLink" t="r"/>
    <k n="Longitude" t="r"/>
    <k n="Name" t="s"/>
    <k n="Population" t="r"/>
    <k n="UniqueName"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ternal mortality ratio" t="r"/>
    <k n="Name" t="s"/>
    <k n="National anthem" t="s"/>
    <k n="Official language" t="r"/>
    <k n="Official name" t="s"/>
    <k n="Physicians per thousand" t="r"/>
    <k n="Population" t="r"/>
    <k n="Population: Labor force participation (%)" t="r"/>
    <k n="Subdivisions" t="r"/>
    <k n="Time zone(s)"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rea" t="r"/>
    <k n="Calling code" t="r"/>
    <k n="Capital/Major City" t="r"/>
    <k n="Currency code" t="s"/>
    <k n="Description" t="s"/>
    <k n="GDP" t="r"/>
    <k n="Image" t="r"/>
    <k n="Largest city" t="r"/>
    <k n="Leader(s)" t="r"/>
    <k n="LearnMoreOnLink" t="r"/>
    <k n="Name" t="s"/>
    <k n="National anthem" t="s"/>
    <k n="Official language" t="r"/>
    <k n="Official name" t="s"/>
    <k n="Out of pocket health expenditure (%)" t="r"/>
    <k n="Population" t="r"/>
    <k n="Subdivisions"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rea" t="r"/>
    <k n="Country/region" t="r"/>
    <k n="Description" t="s"/>
    <k n="Image" t="r"/>
    <k n="Latitude" t="r"/>
    <k n="LearnMoreOnLink" t="r"/>
    <k n="Longitude" t="r"/>
    <k n="Name" t="s"/>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Fertility rate" t="r"/>
    <k n="Forested area (%)"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rea" t="r"/>
    <k n="Country/region" t="r"/>
    <k n="Description" t="s"/>
    <k n="Image" t="r"/>
    <k n="LearnMoreOnLink"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ountry/region" t="r"/>
    <k n="Description" t="s"/>
    <k n="Image" t="r"/>
    <k n="LearnMoreOnLink"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Name" t="s"/>
    <k n="National anthem" t="s"/>
    <k n="Official language" t="r"/>
    <k n="Official name" t="s"/>
    <k n="Out of pocket health expenditure (%)" t="r"/>
    <k n="Physicians per thousand" t="r"/>
    <k n="Population"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Fertility rate" t="r"/>
    <k n="Forested area (%)"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Birth rate" t="r"/>
    <k n="Calling code" t="r"/>
    <k n="Capital/Major City" t="r"/>
    <k n="Carbon dioxide emissions" t="r"/>
    <k n="CPI" t="r"/>
    <k n="CPI Change (%)" t="r"/>
    <k n="Currency code" t="s"/>
    <k n="Description" t="s"/>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ternal mortality ratio"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Birth rate" t="r"/>
    <k n="Calling code" t="r"/>
    <k n="Capital/Major City" t="r"/>
    <k n="Carbon dioxide emissions" t="r"/>
    <k n="CPI" t="r"/>
    <k n="CPI Change (%)" t="r"/>
    <k n="Currency code" t="s"/>
    <k n="Description" t="s"/>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ountry/region" t="r"/>
    <k n="Description" t="s"/>
    <k n="Image" t="r"/>
    <k n="LearnMoreOnLink" t="r"/>
    <k n="Name" t="s"/>
    <k n="Official language" t="r"/>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Birth rate" t="r"/>
    <k n="Calling code" t="r"/>
    <k n="Capital/Major City" t="r"/>
    <k n="CPI" t="r"/>
    <k n="CPI Change (%)" t="r"/>
    <k n="Currency code" t="s"/>
    <k n="Description" t="s"/>
    <k n="Fertility rate" t="r"/>
    <k n="Forested area (%)" t="r"/>
    <k n="GDP" t="r"/>
    <k n="Gross primary education enrollment (%)" t="r"/>
    <k n="Gross tertiary education enrollment (%)" t="r"/>
    <k n="Image" t="r"/>
    <k n="Infant mortality" t="r"/>
    <k n="Largest city" t="r"/>
    <k n="Leader(s)" t="r"/>
    <k n="LearnMoreOnLink" t="r"/>
    <k n="Life expectancy" t="r"/>
    <k n="Name" t="s"/>
    <k n="National anthem" t="s"/>
    <k n="Official language" t="r"/>
    <k n="Official name" t="s"/>
    <k n="Out of pocket health expenditure (%)" t="r"/>
    <k n="Physicians per thousand" t="r"/>
    <k n="Population" t="r"/>
    <k n="Subdivisions" t="r"/>
    <k n="Tax revenue (%)" t="r"/>
    <k n="Time zone(s)" t="r"/>
    <k n="Total tax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Fertility rate" t="r"/>
    <k n="Forested area (%)" t="r"/>
    <k n="Fossil fuel energy consumption" t="r"/>
    <k n="GDP" t="r"/>
    <k n="Gross primary education enrollment (%)" t="r"/>
    <k n="Gross tertiary education enrollment (%)" t="r"/>
    <k n="Image" t="r"/>
    <k n="Infant mortality" t="r"/>
    <k n="Largest city" t="r"/>
    <k n="Leader(s)" t="r"/>
    <k n="LearnMoreOnLink" t="r"/>
    <k n="Life expectancy" t="r"/>
    <k n="Maternal mortality ratio"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Fertility rate" t="r"/>
    <k n="Forested area (%)" t="r"/>
    <k n="Fossil fuel energy consumption"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Subdivisions" t="r"/>
    <k n="Tax revenue (%)" t="r"/>
    <k n="Time zone(s)" t="r"/>
    <k n="Total tax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Birth rate" t="r"/>
    <k n="Calling code" t="r"/>
    <k n="Capital/Major City" t="r"/>
    <k n="Carbon dioxide emissions" t="r"/>
    <k n="CPI" t="r"/>
    <k n="CPI Change (%)" t="r"/>
    <k n="Currency code" t="s"/>
    <k n="Description" t="s"/>
    <k n="Fertility rate" t="r"/>
    <k n="Forested area (%)" t="r"/>
    <k n="Fossil fuel energy consumption" t="r"/>
    <k n="GDP" t="r"/>
    <k n="Gross primary education enrollment (%)" t="r"/>
    <k n="Image"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urrency code" t="s"/>
    <k n="Description" t="s"/>
    <k n="Fertility rate" t="r"/>
    <k n="Forested area (%)" t="r"/>
    <k n="Gasoline price" t="r"/>
    <k n="GDP" t="r"/>
    <k n="Gross primary education enrollment (%)" t="r"/>
    <k n="Gross tertiary education enrollment (%)" t="r"/>
    <k n="Image" t="r"/>
    <k n="Infant mortality" t="r"/>
    <k n="Largest city" t="r"/>
    <k n="Leader(s)" t="r"/>
    <k n="LearnMoreOnLink" t="r"/>
    <k n="Life expectancy" t="r"/>
    <k n="Maternal mortality ratio" t="r"/>
    <k n="Name" t="s"/>
    <k n="National anthem" t="s"/>
    <k n="Official language" t="r"/>
    <k n="Official name" t="s"/>
    <k n="Physicians per thousand" t="r"/>
    <k n="Population" t="r"/>
    <k n="Population: Labor force participation (%)" t="r"/>
    <k n="Subdivisions" t="r"/>
    <k n="Tax revenue (%)" t="r"/>
    <k n="Time zone(s)"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pital/Major City" t="r"/>
    <k n="Country/region" t="r"/>
    <k n="Description" t="s"/>
    <k n="Households" t="r"/>
    <k n="Housing units" t="r"/>
    <k n="Image" t="r"/>
    <k n="Leader(s)" t="r"/>
    <k n="LearnMoreOnLink" t="r"/>
    <k n="Name" t="s"/>
    <k n="Official language" t="r"/>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Armed forces size" t="r"/>
    <k n="Birth rate" t="r"/>
    <k n="Calling code" t="r"/>
    <k n="Capital/Major City" t="r"/>
    <k n="Carbon dioxide emissions" t="r"/>
    <k n="CPI" t="r"/>
    <k n="CPI Change (%)" t="r"/>
    <k n="Currency code" t="s"/>
    <k n="Description" t="s"/>
    <k n="Electric power consumption" t="r"/>
    <k n="Fertility rate" t="r"/>
    <k n="Fossil fuel energy consumption" t="r"/>
    <k n="Gasoline price" t="r"/>
    <k n="GDP" t="r"/>
    <k n="Gross primary education enrollment (%)" t="r"/>
    <k n="Image" t="r"/>
    <k n="Infant mortality" t="r"/>
    <k n="Largest city" t="r"/>
    <k n="Leader(s)" t="r"/>
    <k n="LearnMoreOnLink" t="r"/>
    <k n="Life expectancy" t="r"/>
    <k n="Maternal mortality ratio" t="r"/>
    <k n="Name" t="s"/>
    <k n="National anthem" t="s"/>
    <k n="Official language" t="r"/>
    <k n="Official name" t="s"/>
    <k n="Out of pocket health expenditure (%)"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Birth rate" t="r"/>
    <k n="Calling code" t="r"/>
    <k n="Capital/Major City" t="r"/>
    <k n="Carbon dioxide emissions" t="r"/>
    <k n="CPI" t="r"/>
    <k n="CPI Change (%)" t="r"/>
    <k n="Currency code" t="s"/>
    <k n="Description" t="s"/>
    <k n="Fertility rate" t="r"/>
    <k n="Forested area (%)" t="r"/>
    <k n="Fossil fuel energy consumption" t="r"/>
    <k n="GDP" t="r"/>
    <k n="Gross primary education enrollment (%)" t="r"/>
    <k n="Gross tertiary education enrollment (%)" t="r"/>
    <k n="Image"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ternal mortality ratio"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pital/Major City" t="s"/>
    <k n="Country/region" t="r"/>
    <k n="Description" t="s"/>
    <k n="Image" t="r"/>
    <k n="Leader(s)" t="r"/>
    <k n="LearnMoreOnLink"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rea" t="r"/>
    <k n="Country/region" t="r"/>
    <k n="Description" t="s"/>
    <k n="Image" t="r"/>
    <k n="Latitude" t="r"/>
    <k n="LearnMoreOnLink" t="r"/>
    <k n="Longitude"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Birth rate" t="r"/>
    <k n="Calling code" t="r"/>
    <k n="Capital/Major City" t="r"/>
    <k n="Carbon dioxide emissions" t="r"/>
    <k n="CPI" t="r"/>
    <k n="CPI Change (%)" t="r"/>
    <k n="Currency code" t="s"/>
    <k n="Description" t="s"/>
    <k n="Fertility rate" t="r"/>
    <k n="Forested area (%)" t="r"/>
    <k n="Fossil fuel energy consumption" t="r"/>
    <k n="GDP" t="r"/>
    <k n="Gross primary education enrollment (%)" t="r"/>
    <k n="Gross tertiary education enrollment (%)" t="r"/>
    <k n="Image" t="r"/>
    <k n="Infant mortality" t="r"/>
    <k n="Largest city" t="r"/>
    <k n="Leader(s)" t="r"/>
    <k n="LearnMoreOnLink" t="r"/>
    <k n="Life expectancy" t="r"/>
    <k n="Maternal mortality ratio"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urrency code" t="s"/>
    <k n="Description" t="s"/>
    <k n="Electric power consumption" t="r"/>
    <k n="Fertility rate" t="r"/>
    <k n="Forested area (%)" t="r"/>
    <k n="Gasoline price" t="r"/>
    <k n="GDP" t="r"/>
    <k n="Gross primary education enrollment (%)" t="r"/>
    <k n="Gross tertiary education enrollment (%)" t="r"/>
    <k n="Image"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ime zone(s)"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ountry/region" t="r"/>
    <k n="Description" t="s"/>
    <k n="Image" t="r"/>
    <k n="Largest city" t="r"/>
    <k n="LearnMoreOnLink"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Calling code" t="r"/>
    <k n="Capital/Major City" t="r"/>
    <k n="Carbon dioxide emissions" t="r"/>
    <k n="Currency code" t="s"/>
    <k n="Description" t="s"/>
    <k n="Forested area (%)" t="r"/>
    <k n="GDP" t="r"/>
    <k n="Gross primary education enrollment (%)" t="r"/>
    <k n="Image" t="r"/>
    <k n="Infant mortality" t="r"/>
    <k n="Largest city" t="r"/>
    <k n="Leader(s)" t="r"/>
    <k n="LearnMoreOnLink"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Time zone(s)"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rea" t="r"/>
    <k n="Capital/Major City" t="s"/>
    <k n="Country/region" t="r"/>
    <k n="Description" t="s"/>
    <k n="Image" t="r"/>
    <k n="Leader(s)" t="r"/>
    <k n="LearnMoreOnLink" t="r"/>
    <k n="Name" t="s"/>
    <k n="Official language" t="r"/>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Building permits" t="r"/>
    <k n="Country/region" t="r"/>
    <k n="Description" t="s"/>
    <k n="Households" t="r"/>
    <k n="Housing units" t="r"/>
    <k n="Image" t="r"/>
    <k n="Leader(s)" t="r"/>
    <k n="LearnMoreOnLink" t="r"/>
    <k n="Median gross rent" t="r"/>
    <k n="Median household income" t="r"/>
    <k n="Median value, owner-occupied housing units" t="r"/>
    <k n="Name" t="s"/>
    <k n="Persons per household" t="r"/>
    <k n="Population" t="r"/>
    <k n="Population change (%)" t="r"/>
    <k n="Population: Age 65+ (%)" t="r"/>
    <k n="Population: American Indian and Alaskan Native (%)" t="r"/>
    <k n="Population: Asian (%)" t="r"/>
    <k n="Population: Bachelor's degree or higher (%)" t="r"/>
    <k n="Population: Black or African American (%)" t="r"/>
    <k n="Population: Foreign born persons (%)" t="r"/>
    <k n="Population: High school graduate or higher (%)" t="r"/>
    <k n="Population: Hispanic or Latino (%)" t="r"/>
    <k n="Population: In civilian labor force (%)" t="r"/>
    <k n="Population: Native Hawaiian and Other Pacific Islander (%)" t="r"/>
    <k n="Population: Persons with a disability (%)" t="r"/>
    <k n="Population: Two or more races (%)" t="r"/>
    <k n="Population: Under age 18 (%)" t="r"/>
    <k n="Population: Under age 5 (%)" t="r"/>
    <k n="Population: White (%)"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pital/Major City" t="r"/>
    <k n="Country/region" t="r"/>
    <k n="Description" t="s"/>
    <k n="Image" t="r"/>
    <k n="LearnMoreOnLink" t="r"/>
    <k n="Name" t="s"/>
    <k n="Official language" t="r"/>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rea" t="r"/>
    <k n="Country/region" t="r"/>
    <k n="Description" t="s"/>
    <k n="Image" t="r"/>
    <k n="LearnMoreOnLink"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ternal mortality ratio"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ime zone(s)" t="r"/>
    <k n="Total tax rate" t="r"/>
    <k n="Unemployment rate" t="r"/>
    <k n="UniqueName" t="s"/>
    <k n="Urban population" t="r"/>
    <k n="VDPID/VSID" t="s"/>
  </s>
</rvStructures>
</file>

<file path=xl/richData/rdsupportingpropertybag.xml><?xml version="1.0" encoding="utf-8"?>
<supportingPropertyBags xmlns="http://schemas.microsoft.com/office/spreadsheetml/2017/richdata2">
  <spbArrays count="102">
    <a count="27">
      <v t="s">%EntityServiceId</v>
      <v t="s">%IsRefreshable</v>
      <v t="s">%EntityCulture</v>
      <v t="s">%EntityId</v>
      <v t="s">_Icon</v>
      <v t="s">_Provider</v>
      <v t="s">_Attribution</v>
      <v t="s">_Display</v>
      <v t="s">Name</v>
      <v t="s">_Format</v>
      <v t="s">Admin Division 2 (County/district/other)</v>
      <v t="s">Admin Division 1 (State/province/other)</v>
      <v t="s">Country/region</v>
      <v t="s">Leader(s)</v>
      <v t="s">_SubLabel</v>
      <v t="s">Population</v>
      <v t="s">Area</v>
      <v t="s">Latitude</v>
      <v t="s">Longitude</v>
      <v t="s">Time zone(s)</v>
      <v t="s">_Flags</v>
      <v t="s">VDPID/VSID</v>
      <v t="s">UniqueName</v>
      <v t="s">_DisplayString</v>
      <v t="s">LearnMoreOnLink</v>
      <v t="s">Image</v>
      <v t="s">Description</v>
    </a>
    <a count="54">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Gasoline price</v>
      <v t="s">CPI</v>
      <v t="s">CPI Change (%)</v>
      <v t="s">Population: Labor force participation (%)</v>
      <v t="s">Minimum wage</v>
      <v t="s">Tax revenue (%)</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26">
      <v t="s">%EntityServiceId</v>
      <v t="s">%IsRefreshable</v>
      <v t="s">%EntityCulture</v>
      <v t="s">%EntityId</v>
      <v t="s">_Icon</v>
      <v t="s">_Provider</v>
      <v t="s">_Attribution</v>
      <v t="s">_Display</v>
      <v t="s">Name</v>
      <v t="s">_Format</v>
      <v t="s">Admin Division 1 (State/province/other)</v>
      <v t="s">Country/region</v>
      <v t="s">Leader(s)</v>
      <v t="s">_SubLabel</v>
      <v t="s">Population</v>
      <v t="s">Area</v>
      <v t="s">Latitude</v>
      <v t="s">Longitude</v>
      <v t="s">Time zone(s)</v>
      <v t="s">_Flags</v>
      <v t="s">VDPID/VSID</v>
      <v t="s">UniqueName</v>
      <v t="s">_DisplayString</v>
      <v t="s">LearnMoreOnLink</v>
      <v t="s">Image</v>
      <v t="s">Description</v>
    </a>
    <a count="63">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64">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23">
      <v t="s">%EntityServiceId</v>
      <v t="s">%IsRefreshable</v>
      <v t="s">%EntityCulture</v>
      <v t="s">%EntityId</v>
      <v t="s">_Icon</v>
      <v t="s">_Provider</v>
      <v t="s">_Attribution</v>
      <v t="s">_Display</v>
      <v t="s">Name</v>
      <v t="s">_Format</v>
      <v t="s">Country/region</v>
      <v t="s">_SubLabel</v>
      <v t="s">Population</v>
      <v t="s">Area</v>
      <v t="s">Abbreviation</v>
      <v t="s">Time zone(s)</v>
      <v t="s">_Flags</v>
      <v t="s">VDPID/VSID</v>
      <v t="s">UniqueName</v>
      <v t="s">_DisplayString</v>
      <v t="s">LearnMoreOnLink</v>
      <v t="s">Image</v>
      <v t="s">Description</v>
    </a>
    <a count="44">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Birth rate</v>
      <v t="s">Fertility rate</v>
      <v t="s">Infant mortality</v>
      <v t="s">Urban population</v>
      <v t="s">Agricultural land (%)</v>
      <v t="s">Forested area (%)</v>
      <v t="s">Carbon dioxide emissions</v>
      <v t="s">Gasoline price</v>
      <v t="s">Minimum wage</v>
      <v t="s">Gross primary education enrollment (%)</v>
      <v t="s">Out of pocket health expenditure (%)</v>
      <v t="s">Physicians per thousand</v>
      <v t="s">Time zone(s)</v>
      <v t="s">Calling code</v>
      <v t="s">_Flags</v>
      <v t="s">VDPID/VSID</v>
      <v t="s">UniqueName</v>
      <v t="s">_DisplayString</v>
      <v t="s">LearnMoreOnLink</v>
      <v t="s">Image</v>
      <v t="s">Description</v>
    </a>
    <a count="26">
      <v t="s">%EntityServiceId</v>
      <v t="s">%IsRefreshable</v>
      <v t="s">%EntityCulture</v>
      <v t="s">%EntityId</v>
      <v t="s">_Icon</v>
      <v t="s">_Provider</v>
      <v t="s">_Attribution</v>
      <v t="s">_Display</v>
      <v t="s">Name</v>
      <v t="s">_Format</v>
      <v t="s">Admin Division 2 (County/district/other)</v>
      <v t="s">Admin Division 1 (State/province/other)</v>
      <v t="s">Country/region</v>
      <v t="s">_SubLabel</v>
      <v t="s">Population</v>
      <v t="s">Area</v>
      <v t="s">Latitude</v>
      <v t="s">Longitude</v>
      <v t="s">Time zone(s)</v>
      <v t="s">_Flags</v>
      <v t="s">VDPID/VSID</v>
      <v t="s">UniqueName</v>
      <v t="s">_DisplayString</v>
      <v t="s">LearnMoreOnLink</v>
      <v t="s">Image</v>
      <v t="s">Description</v>
    </a>
    <a count="24">
      <v t="s">%EntityServiceId</v>
      <v t="s">%IsRefreshable</v>
      <v t="s">%EntityCulture</v>
      <v t="s">%EntityId</v>
      <v t="s">_Icon</v>
      <v t="s">_Provider</v>
      <v t="s">_Attribution</v>
      <v t="s">_Display</v>
      <v t="s">Name</v>
      <v t="s">_Format</v>
      <v t="s">Admin Division 1 (State/province/other)</v>
      <v t="s">Country/region</v>
      <v t="s">_SubLabel</v>
      <v t="s">Population</v>
      <v t="s">Area</v>
      <v t="s">Latitude</v>
      <v t="s">Longitude</v>
      <v t="s">_Flags</v>
      <v t="s">VDPID/VSID</v>
      <v t="s">UniqueName</v>
      <v t="s">_DisplayString</v>
      <v t="s">LearnMoreOnLink</v>
      <v t="s">Image</v>
      <v t="s">Description</v>
    </a>
    <a count="53">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CPI</v>
      <v t="s">CPI Change (%)</v>
      <v t="s">Minimum wage</v>
      <v t="s">Tax revenue (%)</v>
      <v t="s">Total tax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24">
      <v t="s">%EntityServiceId</v>
      <v t="s">%IsRefreshable</v>
      <v t="s">%EntityCulture</v>
      <v t="s">%EntityId</v>
      <v t="s">_Icon</v>
      <v t="s">_Provider</v>
      <v t="s">_Attribution</v>
      <v t="s">_Display</v>
      <v t="s">Name</v>
      <v t="s">_Format</v>
      <v t="s">Leader(s)</v>
      <v t="s">Country/region</v>
      <v t="s">_SubLabel</v>
      <v t="s">Population</v>
      <v t="s">Area</v>
      <v t="s">Abbreviation</v>
      <v t="s">Time zone(s)</v>
      <v t="s">_Flags</v>
      <v t="s">VDPID/VSID</v>
      <v t="s">UniqueName</v>
      <v t="s">_DisplayString</v>
      <v t="s">LearnMoreOnLink</v>
      <v t="s">Image</v>
      <v t="s">Description</v>
    </a>
    <a count="25">
      <v t="s">%EntityServiceId</v>
      <v t="s">%IsRefreshable</v>
      <v t="s">%EntityCulture</v>
      <v t="s">%EntityId</v>
      <v t="s">_Icon</v>
      <v t="s">_Provider</v>
      <v t="s">_Attribution</v>
      <v t="s">_Display</v>
      <v t="s">Name</v>
      <v t="s">_Format</v>
      <v t="s">Admin Division 1 (State/province/other)</v>
      <v t="s">Country/region</v>
      <v t="s">_SubLabel</v>
      <v t="s">Population</v>
      <v t="s">Area</v>
      <v t="s">Latitude</v>
      <v t="s">Longitude</v>
      <v t="s">Time zone(s)</v>
      <v t="s">_Flags</v>
      <v t="s">VDPID/VSID</v>
      <v t="s">UniqueName</v>
      <v t="s">_DisplayString</v>
      <v t="s">LearnMoreOnLink</v>
      <v t="s">Image</v>
      <v t="s">Description</v>
    </a>
    <a count="25">
      <v t="s">%EntityServiceId</v>
      <v t="s">%IsRefreshable</v>
      <v t="s">%EntityCulture</v>
      <v t="s">%EntityId</v>
      <v t="s">_Icon</v>
      <v t="s">_Provider</v>
      <v t="s">_Attribution</v>
      <v t="s">_Display</v>
      <v t="s">Name</v>
      <v t="s">_Format</v>
      <v t="s">Leader(s)</v>
      <v t="s">Country/region</v>
      <v t="s">_SubLabel</v>
      <v t="s">Population</v>
      <v t="s">Area</v>
      <v t="s">Abbreviation</v>
      <v t="s">Official language</v>
      <v t="s">Time zone(s)</v>
      <v t="s">_Flags</v>
      <v t="s">VDPID/VSID</v>
      <v t="s">UniqueName</v>
      <v t="s">_DisplayString</v>
      <v t="s">LearnMoreOnLink</v>
      <v t="s">Image</v>
      <v t="s">Description</v>
    </a>
    <a count="24">
      <v t="s">%EntityServiceId</v>
      <v t="s">%IsRefreshable</v>
      <v t="s">%EntityCulture</v>
      <v t="s">%EntityId</v>
      <v t="s">_Icon</v>
      <v t="s">_Provider</v>
      <v t="s">_Attribution</v>
      <v t="s">_Display</v>
      <v t="s">Name</v>
      <v t="s">_Format</v>
      <v t="s">Country/region</v>
      <v t="s">_SubLabel</v>
      <v t="s">Population</v>
      <v t="s">Area</v>
      <v t="s">Latitude</v>
      <v t="s">Longitude</v>
      <v t="s">Time zone(s)</v>
      <v t="s">_Flags</v>
      <v t="s">VDPID/VSID</v>
      <v t="s">UniqueName</v>
      <v t="s">_DisplayString</v>
      <v t="s">LearnMoreOnLink</v>
      <v t="s">Image</v>
      <v t="s">Description</v>
    </a>
    <a count="55">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CPI</v>
      <v t="s">CPI Change (%)</v>
      <v t="s">Population: Labor force participation (%)</v>
      <v t="s">Minimum wage</v>
      <v t="s">Tax revenue (%)</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56">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CPI</v>
      <v t="s">CPI Change (%)</v>
      <v t="s">Population: Labor force participation (%)</v>
      <v t="s">Minimum wage</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63">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26">
      <v t="s">%EntityServiceId</v>
      <v t="s">%IsRefreshable</v>
      <v t="s">%EntityCulture</v>
      <v t="s">%EntityId</v>
      <v t="s">_Icon</v>
      <v t="s">_Provider</v>
      <v t="s">_Attribution</v>
      <v t="s">_Display</v>
      <v t="s">Name</v>
      <v t="s">_Format</v>
      <v t="s">Admin Division 2 (County/district/other)</v>
      <v t="s">Admin Division 1 (State/province/other)</v>
      <v t="s">Country/region</v>
      <v t="s">Leader(s)</v>
      <v t="s">_SubLabel</v>
      <v t="s">Population</v>
      <v t="s">Area</v>
      <v t="s">Latitude</v>
      <v t="s">Longitude</v>
      <v t="s">_Flags</v>
      <v t="s">VDPID/VSID</v>
      <v t="s">UniqueName</v>
      <v t="s">_DisplayString</v>
      <v t="s">LearnMoreOnLink</v>
      <v t="s">Image</v>
      <v t="s">Description</v>
    </a>
    <a count="25">
      <v t="s">%EntityServiceId</v>
      <v t="s">%IsRefreshable</v>
      <v t="s">%EntityCulture</v>
      <v t="s">%EntityId</v>
      <v t="s">_Icon</v>
      <v t="s">_Provider</v>
      <v t="s">_Attribution</v>
      <v t="s">_Display</v>
      <v t="s">Name</v>
      <v t="s">_Format</v>
      <v t="s">Admin Division 1 (State/province/other)</v>
      <v t="s">Country/region</v>
      <v t="s">Leader(s)</v>
      <v t="s">_SubLabel</v>
      <v t="s">Population</v>
      <v t="s">Area</v>
      <v t="s">Latitude</v>
      <v t="s">Longitude</v>
      <v t="s">_Flags</v>
      <v t="s">VDPID/VSID</v>
      <v t="s">UniqueName</v>
      <v t="s">_DisplayString</v>
      <v t="s">LearnMoreOnLink</v>
      <v t="s">Image</v>
      <v t="s">Description</v>
    </a>
    <a count="62">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62">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Gross primary education enrollment (%)</v>
      <v t="s">Out of pocket health expenditure (%)</v>
      <v t="s">Physicians per thousand</v>
      <v t="s">Armed forces size</v>
      <v t="s">Time zone(s)</v>
      <v t="s">Calling code</v>
      <v t="s">_Flags</v>
      <v t="s">VDPID/VSID</v>
      <v t="s">UniqueName</v>
      <v t="s">_DisplayString</v>
      <v t="s">LearnMoreOnLink</v>
      <v t="s">Image</v>
      <v t="s">Description</v>
    </a>
    <a count="62">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54">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Labor force participation (%)</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60">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Gasoline price</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Tax revenue (%)</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23">
      <v t="s">%EntityServiceId</v>
      <v t="s">%IsRefreshable</v>
      <v t="s">%EntityCulture</v>
      <v t="s">%EntityId</v>
      <v t="s">_Icon</v>
      <v t="s">_Provider</v>
      <v t="s">_Attribution</v>
      <v t="s">_Display</v>
      <v t="s">Name</v>
      <v t="s">_Format</v>
      <v t="s">Leader(s)</v>
      <v t="s">Country/region</v>
      <v t="s">_SubLabel</v>
      <v t="s">Population</v>
      <v t="s">Area</v>
      <v t="s">Abbreviation</v>
      <v t="s">_Flags</v>
      <v t="s">VDPID/VSID</v>
      <v t="s">UniqueName</v>
      <v t="s">_DisplayString</v>
      <v t="s">LearnMoreOnLink</v>
      <v t="s">Image</v>
      <v t="s">Description</v>
    </a>
    <a count="55">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Labor force participation (%)</v>
      <v t="s">Tax revenue (%)</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61">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Gasoline price</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60">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Gasoline price</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24">
      <v t="s">%EntityServiceId</v>
      <v t="s">%IsRefreshable</v>
      <v t="s">%EntityCulture</v>
      <v t="s">%EntityId</v>
      <v t="s">_Icon</v>
      <v t="s">_Provider</v>
      <v t="s">_Attribution</v>
      <v t="s">_Display</v>
      <v t="s">Name</v>
      <v t="s">_Format</v>
      <v t="s">Capital/Major City</v>
      <v t="s">Leader(s)</v>
      <v t="s">Country/region</v>
      <v t="s">_SubLabel</v>
      <v t="s">Population</v>
      <v t="s">Area</v>
      <v t="s">Abbreviation</v>
      <v t="s">_Flags</v>
      <v t="s">VDPID/VSID</v>
      <v t="s">UniqueName</v>
      <v t="s">_DisplayString</v>
      <v t="s">LearnMoreOnLink</v>
      <v t="s">Image</v>
      <v t="s">Description</v>
    </a>
    <a count="26">
      <v t="s">%EntityServiceId</v>
      <v t="s">%IsRefreshable</v>
      <v t="s">%EntityCulture</v>
      <v t="s">%EntityId</v>
      <v t="s">_Icon</v>
      <v t="s">_Provider</v>
      <v t="s">_Attribution</v>
      <v t="s">_Display</v>
      <v t="s">Name</v>
      <v t="s">_Format</v>
      <v t="s">Leader(s)</v>
      <v t="s">Country/region</v>
      <v t="s">_SubLabel</v>
      <v t="s">Population</v>
      <v t="s">Area</v>
      <v t="s">Abbreviation</v>
      <v t="s">Official language</v>
      <v t="s">Housing units</v>
      <v t="s">Time zone(s)</v>
      <v t="s">_Flags</v>
      <v t="s">VDPID/VSID</v>
      <v t="s">UniqueName</v>
      <v t="s">_DisplayString</v>
      <v t="s">LearnMoreOnLink</v>
      <v t="s">Image</v>
      <v t="s">Description</v>
    </a>
    <a count="59">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Total tax rate</v>
      <v t="s">Unemployment rate</v>
      <v t="s">Gross primary education enrollment (%)</v>
      <v t="s">Gross tertiary education enrollment (%)</v>
      <v t="s">Out of pocket health expenditure (%)</v>
      <v t="s">Physicians per thousand</v>
      <v t="s">Time zone(s)</v>
      <v t="s">Calling code</v>
      <v t="s">_Flags</v>
      <v t="s">VDPID/VSID</v>
      <v t="s">UniqueName</v>
      <v t="s">_DisplayString</v>
      <v t="s">LearnMoreOnLink</v>
      <v t="s">Image</v>
      <v t="s">Description</v>
    </a>
    <a count="62">
      <v t="s">%EntityServiceId</v>
      <v t="s">%IsRefreshable</v>
      <v t="s">%EntityCulture</v>
      <v t="s">%EntityId</v>
      <v t="s">_Icon</v>
      <v t="s">_Provider</v>
      <v t="s">_Attribution</v>
      <v t="s">_Display</v>
      <v t="s">Name</v>
      <v t="s">_Format</v>
      <v t="s">Capital/Major City</v>
      <v t="s">Leader(s)</v>
      <v t="s">_SubLabel</v>
      <v t="s">Population</v>
      <v t="s">Area</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62">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51">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Population: Labor force participation (%)</v>
      <v t="s">Minimum wage</v>
      <v t="s">Unemployment rate</v>
      <v t="s">Gross primary education enrollment (%)</v>
      <v t="s">Gross tertiary education enrollment (%)</v>
      <v t="s">Physicians per thousand</v>
      <v t="s">Armed forces size</v>
      <v t="s">Time zone(s)</v>
      <v t="s">Calling code</v>
      <v t="s">_Flags</v>
      <v t="s">VDPID/VSID</v>
      <v t="s">UniqueName</v>
      <v t="s">_DisplayString</v>
      <v t="s">LearnMoreOnLink</v>
      <v t="s">Image</v>
      <v t="s">Description</v>
    </a>
    <a count="63">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60">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23">
      <v t="s">%EntityServiceId</v>
      <v t="s">%IsRefreshable</v>
      <v t="s">%EntityCulture</v>
      <v t="s">%EntityId</v>
      <v t="s">_Icon</v>
      <v t="s">_Provider</v>
      <v t="s">_Attribution</v>
      <v t="s">_Display</v>
      <v t="s">Name</v>
      <v t="s">_Format</v>
      <v t="s">Admin Division 1 (State/province/other)</v>
      <v t="s">Country/region</v>
      <v t="s">_SubLabel</v>
      <v t="s">Population</v>
      <v t="s">Latitude</v>
      <v t="s">Longitude</v>
      <v t="s">_Flags</v>
      <v t="s">VDPID/VSID</v>
      <v t="s">UniqueName</v>
      <v t="s">_DisplayString</v>
      <v t="s">LearnMoreOnLink</v>
      <v t="s">Image</v>
      <v t="s">Description</v>
    </a>
    <a count="50">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Urban population</v>
      <v t="s">Agricultural land (%)</v>
      <v t="s">Forested area (%)</v>
      <v t="s">Carbon dioxide emissions</v>
      <v t="s">Fossil fuel energy consumption</v>
      <v t="s">CPI</v>
      <v t="s">CPI Change (%)</v>
      <v t="s">Minimum wage</v>
      <v t="s">Tax revenue (%)</v>
      <v t="s">Total tax rate</v>
      <v t="s">Gross primary education enrollment (%)</v>
      <v t="s">Gross tertiary education enrollment (%)</v>
      <v t="s">Out of pocket health expenditure (%)</v>
      <v t="s">Physicians per thousand</v>
      <v t="s">Time zone(s)</v>
      <v t="s">Calling code</v>
      <v t="s">_Flags</v>
      <v t="s">VDPID/VSID</v>
      <v t="s">UniqueName</v>
      <v t="s">_DisplayString</v>
      <v t="s">LearnMoreOnLink</v>
      <v t="s">Image</v>
      <v t="s">Description</v>
    </a>
    <a count="63">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25">
      <v t="s">%EntityServiceId</v>
      <v t="s">%IsRefreshable</v>
      <v t="s">%EntityCulture</v>
      <v t="s">%EntityId</v>
      <v t="s">_Icon</v>
      <v t="s">_Provider</v>
      <v t="s">_Attribution</v>
      <v t="s">_Display</v>
      <v t="s">Name</v>
      <v t="s">_Format</v>
      <v t="s">Country/region</v>
      <v t="s">Leader(s)</v>
      <v t="s">_SubLabel</v>
      <v t="s">Population</v>
      <v t="s">Area</v>
      <v t="s">Latitude</v>
      <v t="s">Longitude</v>
      <v t="s">Time zone(s)</v>
      <v t="s">_Flags</v>
      <v t="s">VDPID/VSID</v>
      <v t="s">UniqueName</v>
      <v t="s">_DisplayString</v>
      <v t="s">LearnMoreOnLink</v>
      <v t="s">Image</v>
      <v t="s">Description</v>
    </a>
    <a count="54">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CPI</v>
      <v t="s">CPI Change (%)</v>
      <v t="s">Population: Labor force participation (%)</v>
      <v t="s">Minimum wage</v>
      <v t="s">Tax revenue (%)</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62">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Tax revenue (%)</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33">
      <v t="s">%EntityServiceId</v>
      <v t="s">%IsRefreshable</v>
      <v t="s">%EntityCulture</v>
      <v t="s">%EntityId</v>
      <v t="s">_Icon</v>
      <v t="s">_Provider</v>
      <v t="s">_Attribution</v>
      <v t="s">_Display</v>
      <v t="s">Name</v>
      <v t="s">_Format</v>
      <v t="s">Capital/Major City</v>
      <v t="s">Leader(s)</v>
      <v t="s">_SubLabel</v>
      <v t="s">Population</v>
      <v t="s">Area</v>
      <v t="s">GDP</v>
      <v t="s">Currency code</v>
      <v t="s">Largest city</v>
      <v t="s">National anthem</v>
      <v t="s">Official language</v>
      <v t="s">Official name</v>
      <v t="s">Subdivisions</v>
      <v t="s">Tax revenue (%)</v>
      <v t="s">Out of pocket health expenditure (%)</v>
      <v t="s">Time zone(s)</v>
      <v t="s">Calling code</v>
      <v t="s">_Flags</v>
      <v t="s">VDPID/VSID</v>
      <v t="s">UniqueName</v>
      <v t="s">_DisplayString</v>
      <v t="s">LearnMoreOnLink</v>
      <v t="s">Image</v>
      <v t="s">Description</v>
    </a>
    <a count="25">
      <v t="s">%EntityServiceId</v>
      <v t="s">%IsRefreshable</v>
      <v t="s">%EntityCulture</v>
      <v t="s">%EntityId</v>
      <v t="s">_Icon</v>
      <v t="s">_Provider</v>
      <v t="s">_Attribution</v>
      <v t="s">_Display</v>
      <v t="s">Name</v>
      <v t="s">_Format</v>
      <v t="s">Admin Division 2 (County/district/other)</v>
      <v t="s">Admin Division 1 (State/province/other)</v>
      <v t="s">Country/region</v>
      <v t="s">_SubLabel</v>
      <v t="s">Population</v>
      <v t="s">Area</v>
      <v t="s">Latitude</v>
      <v t="s">Longitude</v>
      <v t="s">_Flags</v>
      <v t="s">VDPID/VSID</v>
      <v t="s">UniqueName</v>
      <v t="s">_DisplayString</v>
      <v t="s">LearnMoreOnLink</v>
      <v t="s">Image</v>
      <v t="s">Description</v>
    </a>
    <a count="24">
      <v t="s">%EntityServiceId</v>
      <v t="s">%IsRefreshable</v>
      <v t="s">%EntityCulture</v>
      <v t="s">%EntityId</v>
      <v t="s">_Icon</v>
      <v t="s">_Provider</v>
      <v t="s">_Attribution</v>
      <v t="s">_Display</v>
      <v t="s">Name</v>
      <v t="s">_Format</v>
      <v t="s">Leader(s)</v>
      <v t="s">Country/region</v>
      <v t="s">_SubLabel</v>
      <v t="s">Population</v>
      <v t="s">Area</v>
      <v t="s">Abbreviation</v>
      <v t="s">Official language</v>
      <v t="s">_Flags</v>
      <v t="s">VDPID/VSID</v>
      <v t="s">UniqueName</v>
      <v t="s">_DisplayString</v>
      <v t="s">LearnMoreOnLink</v>
      <v t="s">Image</v>
      <v t="s">Description</v>
    </a>
    <a count="27">
      <v t="s">%EntityServiceId</v>
      <v t="s">%IsRefreshable</v>
      <v t="s">%EntityCulture</v>
      <v t="s">%EntityId</v>
      <v t="s">_Icon</v>
      <v t="s">_Provider</v>
      <v t="s">_Attribution</v>
      <v t="s">_Display</v>
      <v t="s">Name</v>
      <v t="s">_Format</v>
      <v t="s">Leader(s)</v>
      <v t="s">Country/region</v>
      <v t="s">_SubLabel</v>
      <v t="s">Population</v>
      <v t="s">Area</v>
      <v t="s">Abbreviation</v>
      <v t="s">Official language</v>
      <v t="s">Households</v>
      <v t="s">Housing units</v>
      <v t="s">Persons per household</v>
      <v t="s">_Flags</v>
      <v t="s">VDPID/VSID</v>
      <v t="s">UniqueName</v>
      <v t="s">_DisplayString</v>
      <v t="s">LearnMoreOnLink</v>
      <v t="s">Image</v>
      <v t="s">Description</v>
    </a>
    <a count="51">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CPI</v>
      <v t="s">CPI Change (%)</v>
      <v t="s">Tax revenue (%)</v>
      <v t="s">Total tax rate</v>
      <v t="s">Gross primary education enrollment (%)</v>
      <v t="s">Gross tertiary education enrollment (%)</v>
      <v t="s">Out of pocket health expenditure (%)</v>
      <v t="s">Physicians per thousand</v>
      <v t="s">Time zone(s)</v>
      <v t="s">Calling code</v>
      <v t="s">_Flags</v>
      <v t="s">VDPID/VSID</v>
      <v t="s">UniqueName</v>
      <v t="s">_DisplayString</v>
      <v t="s">LearnMoreOnLink</v>
      <v t="s">Image</v>
      <v t="s">Description</v>
    </a>
    <a count="61">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61">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62">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24">
      <v t="s">%EntityServiceId</v>
      <v t="s">%IsRefreshable</v>
      <v t="s">%EntityCulture</v>
      <v t="s">%EntityId</v>
      <v t="s">_Icon</v>
      <v t="s">_Provider</v>
      <v t="s">_Attribution</v>
      <v t="s">_Display</v>
      <v t="s">Name</v>
      <v t="s">_Format</v>
      <v t="s">Country/region</v>
      <v t="s">Leader(s)</v>
      <v t="s">_SubLabel</v>
      <v t="s">Population</v>
      <v t="s">Area</v>
      <v t="s">Latitude</v>
      <v t="s">Longitude</v>
      <v t="s">_Flags</v>
      <v t="s">VDPID/VSID</v>
      <v t="s">UniqueName</v>
      <v t="s">_DisplayString</v>
      <v t="s">LearnMoreOnLink</v>
      <v t="s">Image</v>
      <v t="s">Description</v>
    </a>
    <a count="28">
      <v t="s">%EntityServiceId</v>
      <v t="s">%IsRefreshable</v>
      <v t="s">%EntityCulture</v>
      <v t="s">%EntityId</v>
      <v t="s">_Icon</v>
      <v t="s">_Provider</v>
      <v t="s">_Attribution</v>
      <v t="s">_Display</v>
      <v t="s">Name</v>
      <v t="s">_Format</v>
      <v t="s">Capital/Major City</v>
      <v t="s">Leader(s)</v>
      <v t="s">Country/region</v>
      <v t="s">_SubLabel</v>
      <v t="s">Population</v>
      <v t="s">Area</v>
      <v t="s">Abbreviation</v>
      <v t="s">Official language</v>
      <v t="s">Households</v>
      <v t="s">Persons per household</v>
      <v t="s">Time zone(s)</v>
      <v t="s">_Flags</v>
      <v t="s">VDPID/VSID</v>
      <v t="s">UniqueName</v>
      <v t="s">_DisplayString</v>
      <v t="s">LearnMoreOnLink</v>
      <v t="s">Image</v>
      <v t="s">Description</v>
    </a>
    <a count="63">
      <v t="s">%EntityServiceId</v>
      <v t="s">%IsRefreshable</v>
      <v t="s">%EntityCulture</v>
      <v t="s">%EntityId</v>
      <v t="s">_Icon</v>
      <v t="s">_Provider</v>
      <v t="s">_Attribution</v>
      <v t="s">_Display</v>
      <v t="s">Name</v>
      <v t="s">_Format</v>
      <v t="s">Capital/Major City</v>
      <v t="s">Leader(s)</v>
      <v t="s">_SubLabel</v>
      <v t="s">Population</v>
      <v t="s">Area</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26">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Time zone(s)</v>
      <v t="s">_Flags</v>
      <v t="s">VDPID/VSID</v>
      <v t="s">UniqueName</v>
      <v t="s">_DisplayString</v>
      <v t="s">LearnMoreOnLink</v>
      <v t="s">Image</v>
      <v t="s">Description</v>
    </a>
    <a count="22">
      <v t="s">%EntityServiceId</v>
      <v t="s">%IsRefreshable</v>
      <v t="s">%EntityCulture</v>
      <v t="s">%EntityId</v>
      <v t="s">_Icon</v>
      <v t="s">_Provider</v>
      <v t="s">_Attribution</v>
      <v t="s">_Display</v>
      <v t="s">Name</v>
      <v t="s">_Format</v>
      <v t="s">Country/region</v>
      <v t="s">_SubLabel</v>
      <v t="s">Population</v>
      <v t="s">Area</v>
      <v t="s">Official language</v>
      <v t="s">_Flags</v>
      <v t="s">VDPID/VSID</v>
      <v t="s">UniqueName</v>
      <v t="s">_DisplayString</v>
      <v t="s">LearnMoreOnLink</v>
      <v t="s">Image</v>
      <v t="s">Description</v>
    </a>
    <a count="57">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Labor force participation (%)</v>
      <v t="s">Minimum wage</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22">
      <v t="s">%EntityServiceId</v>
      <v t="s">%IsRefreshable</v>
      <v t="s">%EntityCulture</v>
      <v t="s">%EntityId</v>
      <v t="s">_Icon</v>
      <v t="s">_Provider</v>
      <v t="s">_Attribution</v>
      <v t="s">_Display</v>
      <v t="s">Name</v>
      <v t="s">_Format</v>
      <v t="s">Country/region</v>
      <v t="s">_SubLabel</v>
      <v t="s">Population</v>
      <v t="s">Area</v>
      <v t="s">Latitude</v>
      <v t="s">Longitude</v>
      <v t="s">_Flags</v>
      <v t="s">VDPID/VSID</v>
      <v t="s">UniqueName</v>
      <v t="s">_DisplayString</v>
      <v t="s">LearnMoreOnLink</v>
      <v t="s">Description</v>
    </a>
    <a count="55">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Labor force participation (%)</v>
      <v t="s">Minimum wage</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43">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Urban population</v>
      <v t="s">Agricultural land (%)</v>
      <v t="s">Forested area (%)</v>
      <v t="s">Carbon dioxide emissions</v>
      <v t="s">Gasoline price</v>
      <v t="s">Total tax rate</v>
      <v t="s">Gross primary education enrollment (%)</v>
      <v t="s">Gross tertiary education enrollment (%)</v>
      <v t="s">Time zone(s)</v>
      <v t="s">Calling code</v>
      <v t="s">_Flags</v>
      <v t="s">VDPID/VSID</v>
      <v t="s">UniqueName</v>
      <v t="s">_DisplayString</v>
      <v t="s">LearnMoreOnLink</v>
      <v t="s">Image</v>
      <v t="s">Description</v>
    </a>
    <a count="26">
      <v t="s">%EntityServiceId</v>
      <v t="s">%IsRefreshable</v>
      <v t="s">%EntityCulture</v>
      <v t="s">%EntityId</v>
      <v t="s">_Icon</v>
      <v t="s">_Provider</v>
      <v t="s">_Attribution</v>
      <v t="s">_Display</v>
      <v t="s">Name</v>
      <v t="s">_Format</v>
      <v t="s">Admin Division 2 (County/district/other)</v>
      <v t="s">Country/region</v>
      <v t="s">Leader(s)</v>
      <v t="s">_SubLabel</v>
      <v t="s">Population</v>
      <v t="s">Area</v>
      <v t="s">Latitude</v>
      <v t="s">Longitude</v>
      <v t="s">Time zone(s)</v>
      <v t="s">_Flags</v>
      <v t="s">VDPID/VSID</v>
      <v t="s">UniqueName</v>
      <v t="s">_DisplayString</v>
      <v t="s">LearnMoreOnLink</v>
      <v t="s">Image</v>
      <v t="s">Description</v>
    </a>
    <a count="60">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Life expectancy</v>
      <v t="s">Birth rate</v>
      <v t="s">Fertility rate</v>
      <v t="s">Infant mortality</v>
      <v t="s">Maternal mortality ratio</v>
      <v t="s">Urban population</v>
      <v t="s">Agricultural land (%)</v>
      <v t="s">Forested area (%)</v>
      <v t="s">Carbon dioxide emissions</v>
      <v t="s">Gasoline price</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23">
      <v t="s">%EntityServiceId</v>
      <v t="s">%IsRefreshable</v>
      <v t="s">%EntityCulture</v>
      <v t="s">%EntityId</v>
      <v t="s">_Icon</v>
      <v t="s">_Provider</v>
      <v t="s">_Attribution</v>
      <v t="s">_Display</v>
      <v t="s">Name</v>
      <v t="s">_Format</v>
      <v t="s">Leader(s)</v>
      <v t="s">Country/region</v>
      <v t="s">_SubLabel</v>
      <v t="s">Population</v>
      <v t="s">Area</v>
      <v t="s">Time zone(s)</v>
      <v t="s">_Flags</v>
      <v t="s">VDPID/VSID</v>
      <v t="s">UniqueName</v>
      <v t="s">_DisplayString</v>
      <v t="s">LearnMoreOnLink</v>
      <v t="s">Image</v>
      <v t="s">Description</v>
    </a>
    <a count="61">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Tax revenue (%)</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62">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National anthem</v>
      <v t="s">Official language</v>
      <v t="s">Official name</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49">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Urban population</v>
      <v t="s">Agricultural land (%)</v>
      <v t="s">Forested area (%)</v>
      <v t="s">Carbon dioxide emissions</v>
      <v t="s">Fossil fuel energy consumption</v>
      <v t="s">Gasoline price</v>
      <v t="s">Minimum wage</v>
      <v t="s">Tax revenue (%)</v>
      <v t="s">Total tax rate</v>
      <v t="s">Gross primary education enrollment (%)</v>
      <v t="s">Gross tertiary education enrollment (%)</v>
      <v t="s">Out of pocket health expenditure (%)</v>
      <v t="s">Physicians per thousand</v>
      <v t="s">Time zone(s)</v>
      <v t="s">Calling code</v>
      <v t="s">_Flags</v>
      <v t="s">VDPID/VSID</v>
      <v t="s">UniqueName</v>
      <v t="s">_DisplayString</v>
      <v t="s">LearnMoreOnLink</v>
      <v t="s">Image</v>
      <v t="s">Description</v>
    </a>
    <a count="25">
      <v t="s">%EntityServiceId</v>
      <v t="s">%IsRefreshable</v>
      <v t="s">%EntityCulture</v>
      <v t="s">%EntityId</v>
      <v t="s">_Icon</v>
      <v t="s">_Provider</v>
      <v t="s">_Attribution</v>
      <v t="s">_Display</v>
      <v t="s">Name</v>
      <v t="s">_Format</v>
      <v t="s">Leader(s)</v>
      <v t="s">Country/region</v>
      <v t="s">_SubLabel</v>
      <v t="s">Population</v>
      <v t="s">Area</v>
      <v t="s">Abbreviation</v>
      <v t="s">Households</v>
      <v t="s">Time zone(s)</v>
      <v t="s">_Flags</v>
      <v t="s">VDPID/VSID</v>
      <v t="s">UniqueName</v>
      <v t="s">_DisplayString</v>
      <v t="s">LearnMoreOnLink</v>
      <v t="s">Image</v>
      <v t="s">Description</v>
    </a>
    <a count="24">
      <v t="s">%EntityServiceId</v>
      <v t="s">%IsRefreshable</v>
      <v t="s">%EntityCulture</v>
      <v t="s">%EntityId</v>
      <v t="s">_Icon</v>
      <v t="s">_Provider</v>
      <v t="s">_Attribution</v>
      <v t="s">_Display</v>
      <v t="s">Name</v>
      <v t="s">_Format</v>
      <v t="s">Admin Division 1 (State/province/other)</v>
      <v t="s">Country/region</v>
      <v t="s">_SubLabel</v>
      <v t="s">Population</v>
      <v t="s">Latitude</v>
      <v t="s">Longitude</v>
      <v t="s">Time zone(s)</v>
      <v t="s">_Flags</v>
      <v t="s">VDPID/VSID</v>
      <v t="s">UniqueName</v>
      <v t="s">_DisplayString</v>
      <v t="s">LearnMoreOnLink</v>
      <v t="s">Image</v>
      <v t="s">Description</v>
    </a>
    <a count="56">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Tax revenue (%)</v>
      <v t="s">Total tax rate</v>
      <v t="s">Gross primary education enrollment (%)</v>
      <v t="s">Gross tertiary education enrollment (%)</v>
      <v t="s">Out of pocket health expenditure (%)</v>
      <v t="s">Physicians per thousand</v>
      <v t="s">Time zone(s)</v>
      <v t="s">Calling code</v>
      <v t="s">_Flags</v>
      <v t="s">VDPID/VSID</v>
      <v t="s">UniqueName</v>
      <v t="s">_DisplayString</v>
      <v t="s">LearnMoreOnLink</v>
      <v t="s">Image</v>
      <v t="s">Description</v>
    </a>
    <a count="38">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Birth rate</v>
      <v t="s">Infant mortality</v>
      <v t="s">Urban population</v>
      <v t="s">Gasoline price</v>
      <v t="s">Minimum wage</v>
      <v t="s">Out of pocket health expenditure (%)</v>
      <v t="s">Physicians per thousand</v>
      <v t="s">Time zone(s)</v>
      <v t="s">Calling code</v>
      <v t="s">_Flags</v>
      <v t="s">VDPID/VSID</v>
      <v t="s">UniqueName</v>
      <v t="s">_DisplayString</v>
      <v t="s">LearnMoreOnLink</v>
      <v t="s">Image</v>
      <v t="s">Description</v>
    </a>
    <a count="32">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Time zone(s)</v>
      <v t="s">Calling code</v>
      <v t="s">_Flags</v>
      <v t="s">VDPID/VSID</v>
      <v t="s">UniqueName</v>
      <v t="s">_DisplayString</v>
      <v t="s">LearnMoreOnLink</v>
      <v t="s">Image</v>
      <v t="s">Description</v>
    </a>
    <a count="23">
      <v t="s">%EntityServiceId</v>
      <v t="s">%IsRefreshable</v>
      <v t="s">%EntityCulture</v>
      <v t="s">%EntityId</v>
      <v t="s">_Icon</v>
      <v t="s">_Provider</v>
      <v t="s">_Attribution</v>
      <v t="s">_Display</v>
      <v t="s">Name</v>
      <v t="s">_Format</v>
      <v t="s">Admin Division 1 (State/province/other)</v>
      <v t="s">Country/region</v>
      <v t="s">_SubLabel</v>
      <v t="s">Population</v>
      <v t="s">Area</v>
      <v t="s">Latitude</v>
      <v t="s">Longitude</v>
      <v t="s">_Flags</v>
      <v t="s">UniqueName</v>
      <v t="s">_DisplayString</v>
      <v t="s">LearnMoreOnLink</v>
      <v t="s">Image</v>
      <v t="s">Description</v>
    </a>
    <a count="50">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Population: Labor force participation (%)</v>
      <v t="s">Unemployment rate</v>
      <v t="s">Gross primary education enrollment (%)</v>
      <v t="s">Gross tertiary education enrollment (%)</v>
      <v t="s">Physicians per thousand</v>
      <v t="s">Armed forces size</v>
      <v t="s">Time zone(s)</v>
      <v t="s">Calling code</v>
      <v t="s">_Flags</v>
      <v t="s">VDPID/VSID</v>
      <v t="s">UniqueName</v>
      <v t="s">_DisplayString</v>
      <v t="s">LearnMoreOnLink</v>
      <v t="s">Image</v>
      <v t="s">Description</v>
    </a>
    <a count="32">
      <v t="s">%EntityServiceId</v>
      <v t="s">%IsRefreshable</v>
      <v t="s">%EntityCulture</v>
      <v t="s">%EntityId</v>
      <v t="s">_Icon</v>
      <v t="s">_Provider</v>
      <v t="s">_Attribution</v>
      <v t="s">_Display</v>
      <v t="s">Name</v>
      <v t="s">_Format</v>
      <v t="s">Capital/Major City</v>
      <v t="s">Leader(s)</v>
      <v t="s">_SubLabel</v>
      <v t="s">Population</v>
      <v t="s">Area</v>
      <v t="s">GDP</v>
      <v t="s">Currency code</v>
      <v t="s">Largest city</v>
      <v t="s">National anthem</v>
      <v t="s">Official language</v>
      <v t="s">Official name</v>
      <v t="s">Subdivisions</v>
      <v t="s">Out of pocket health expenditure (%)</v>
      <v t="s">Time zone(s)</v>
      <v t="s">Calling code</v>
      <v t="s">_Flags</v>
      <v t="s">VDPID/VSID</v>
      <v t="s">UniqueName</v>
      <v t="s">_DisplayString</v>
      <v t="s">LearnMoreOnLink</v>
      <v t="s">Image</v>
      <v t="s">Description</v>
    </a>
    <a count="22">
      <v t="s">%EntityServiceId</v>
      <v t="s">%IsRefreshable</v>
      <v t="s">%EntityCulture</v>
      <v t="s">%EntityId</v>
      <v t="s">_Icon</v>
      <v t="s">_Provider</v>
      <v t="s">_Attribution</v>
      <v t="s">_Display</v>
      <v t="s">Name</v>
      <v t="s">_Format</v>
      <v t="s">Country/region</v>
      <v t="s">_SubLabel</v>
      <v t="s">Area</v>
      <v t="s">Latitude</v>
      <v t="s">Longitude</v>
      <v t="s">_Flags</v>
      <v t="s">VDPID/VSID</v>
      <v t="s">UniqueName</v>
      <v t="s">_DisplayString</v>
      <v t="s">LearnMoreOnLink</v>
      <v t="s">Image</v>
      <v t="s">Description</v>
    </a>
    <a count="62">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Gasoline price</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22">
      <v t="s">%EntityServiceId</v>
      <v t="s">%IsRefreshable</v>
      <v t="s">%EntityCulture</v>
      <v t="s">%EntityId</v>
      <v t="s">_Icon</v>
      <v t="s">_Provider</v>
      <v t="s">_Attribution</v>
      <v t="s">_Display</v>
      <v t="s">Name</v>
      <v t="s">_Format</v>
      <v t="s">Admin Division 1 (State/province/other)</v>
      <v t="s">Country/region</v>
      <v t="s">_SubLabel</v>
      <v t="s">Population</v>
      <v t="s">Area</v>
      <v t="s">_Flags</v>
      <v t="s">VDPID/VSID</v>
      <v t="s">UniqueName</v>
      <v t="s">_DisplayString</v>
      <v t="s">LearnMoreOnLink</v>
      <v t="s">Image</v>
      <v t="s">Description</v>
    </a>
    <a count="22">
      <v t="s">%EntityServiceId</v>
      <v t="s">%IsRefreshable</v>
      <v t="s">%EntityCulture</v>
      <v t="s">%EntityId</v>
      <v t="s">_Icon</v>
      <v t="s">_Provider</v>
      <v t="s">_Attribution</v>
      <v t="s">_Display</v>
      <v t="s">Name</v>
      <v t="s">_Format</v>
      <v t="s">Country/region</v>
      <v t="s">_SubLabel</v>
      <v t="s">Population</v>
      <v t="s">Area</v>
      <v t="s">Abbreviation</v>
      <v t="s">_Flags</v>
      <v t="s">VDPID/VSID</v>
      <v t="s">UniqueName</v>
      <v t="s">_DisplayString</v>
      <v t="s">LearnMoreOnLink</v>
      <v t="s">Image</v>
      <v t="s">Description</v>
    </a>
    <a count="56">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Labor force participation (%)</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61">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Gasoline price</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60">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Tax revenue (%)</v>
      <v t="s">Total tax rate</v>
      <v t="s">Unemployment rate</v>
      <v t="s">Gross primary education enrollment (%)</v>
      <v t="s">Gross tertiary education enrollment (%)</v>
      <v t="s">Out of pocket health expenditure (%)</v>
      <v t="s">Physicians per thousand</v>
      <v t="s">Time zone(s)</v>
      <v t="s">Calling code</v>
      <v t="s">_Flags</v>
      <v t="s">VDPID/VSID</v>
      <v t="s">UniqueName</v>
      <v t="s">_DisplayString</v>
      <v t="s">LearnMoreOnLink</v>
      <v t="s">Image</v>
      <v t="s">Description</v>
    </a>
    <a count="61">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Gross primary education enrollment (%)</v>
      <v t="s">Gross tertiary education enrollment (%)</v>
      <v t="s">Out of pocket health expenditure (%)</v>
      <v t="s">Physicians per thousand</v>
      <v t="s">Time zone(s)</v>
      <v t="s">Calling code</v>
      <v t="s">_Flags</v>
      <v t="s">VDPID/VSID</v>
      <v t="s">UniqueName</v>
      <v t="s">_DisplayString</v>
      <v t="s">LearnMoreOnLink</v>
      <v t="s">Image</v>
      <v t="s">Description</v>
    </a>
    <a count="23">
      <v t="s">%EntityServiceId</v>
      <v t="s">%IsRefreshable</v>
      <v t="s">%EntityCulture</v>
      <v t="s">%EntityId</v>
      <v t="s">_Icon</v>
      <v t="s">_Provider</v>
      <v t="s">_Attribution</v>
      <v t="s">_Display</v>
      <v t="s">Name</v>
      <v t="s">_Format</v>
      <v t="s">Country/region</v>
      <v t="s">_SubLabel</v>
      <v t="s">Population</v>
      <v t="s">Area</v>
      <v t="s">Abbreviation</v>
      <v t="s">Official language</v>
      <v t="s">_Flags</v>
      <v t="s">VDPID/VSID</v>
      <v t="s">UniqueName</v>
      <v t="s">_DisplayString</v>
      <v t="s">LearnMoreOnLink</v>
      <v t="s">Image</v>
      <v t="s">Description</v>
    </a>
    <a count="47">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Urban population</v>
      <v t="s">Agricultural land (%)</v>
      <v t="s">Forested area (%)</v>
      <v t="s">CPI</v>
      <v t="s">CPI Change (%)</v>
      <v t="s">Tax revenue (%)</v>
      <v t="s">Total tax rate</v>
      <v t="s">Gross primary education enrollment (%)</v>
      <v t="s">Gross tertiary education enrollment (%)</v>
      <v t="s">Out of pocket health expenditure (%)</v>
      <v t="s">Physicians per thousand</v>
      <v t="s">Time zone(s)</v>
      <v t="s">Calling code</v>
      <v t="s">_Flags</v>
      <v t="s">VDPID/VSID</v>
      <v t="s">UniqueName</v>
      <v t="s">_DisplayString</v>
      <v t="s">LearnMoreOnLink</v>
      <v t="s">Image</v>
      <v t="s">Description</v>
    </a>
    <a count="60">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Tax revenue (%)</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60">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Minimum wage</v>
      <v t="s">Tax revenue (%)</v>
      <v t="s">Total tax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59">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Gross primary education enrollment (%)</v>
      <v t="s">Out of pocket health expenditure (%)</v>
      <v t="s">Physicians per thousand</v>
      <v t="s">Time zone(s)</v>
      <v t="s">Calling code</v>
      <v t="s">_Flags</v>
      <v t="s">VDPID/VSID</v>
      <v t="s">UniqueName</v>
      <v t="s">_DisplayString</v>
      <v t="s">LearnMoreOnLink</v>
      <v t="s">Image</v>
      <v t="s">Description</v>
    </a>
    <a count="49">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Gasoline price</v>
      <v t="s">Population: Labor force participation (%)</v>
      <v t="s">Tax revenue (%)</v>
      <v t="s">Unemployment rate</v>
      <v t="s">Gross primary education enrollment (%)</v>
      <v t="s">Gross tertiary education enrollment (%)</v>
      <v t="s">Physicians per thousand</v>
      <v t="s">Armed forces size</v>
      <v t="s">Time zone(s)</v>
      <v t="s">Calling code</v>
      <v t="s">_Flags</v>
      <v t="s">VDPID/VSID</v>
      <v t="s">UniqueName</v>
      <v t="s">_DisplayString</v>
      <v t="s">LearnMoreOnLink</v>
      <v t="s">Image</v>
      <v t="s">Description</v>
    </a>
    <a count="28">
      <v t="s">%EntityServiceId</v>
      <v t="s">%IsRefreshable</v>
      <v t="s">%EntityCulture</v>
      <v t="s">%EntityId</v>
      <v t="s">_Icon</v>
      <v t="s">_Provider</v>
      <v t="s">_Attribution</v>
      <v t="s">_Display</v>
      <v t="s">Name</v>
      <v t="s">_Format</v>
      <v t="s">Capital/Major City</v>
      <v t="s">Leader(s)</v>
      <v t="s">Country/region</v>
      <v t="s">_SubLabel</v>
      <v t="s">Population</v>
      <v t="s">Area</v>
      <v t="s">Abbreviation</v>
      <v t="s">Official language</v>
      <v t="s">Households</v>
      <v t="s">Housing units</v>
      <v t="s">Time zone(s)</v>
      <v t="s">_Flags</v>
      <v t="s">VDPID/VSID</v>
      <v t="s">UniqueName</v>
      <v t="s">_DisplayString</v>
      <v t="s">LearnMoreOnLink</v>
      <v t="s">Image</v>
      <v t="s">Description</v>
    </a>
    <a count="57">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Total tax rate</v>
      <v t="s">Unemployment rate</v>
      <v t="s">Gross primary education enrollment (%)</v>
      <v t="s">Out of pocket health expenditure (%)</v>
      <v t="s">Armed forces size</v>
      <v t="s">Time zone(s)</v>
      <v t="s">Calling code</v>
      <v t="s">_Flags</v>
      <v t="s">VDPID/VSID</v>
      <v t="s">UniqueName</v>
      <v t="s">_DisplayString</v>
      <v t="s">LearnMoreOnLink</v>
      <v t="s">Image</v>
      <v t="s">Description</v>
    </a>
    <a count="63">
      <v t="s">%EntityServiceId</v>
      <v t="s">%IsRefreshable</v>
      <v t="s">%EntityCulture</v>
      <v t="s">%EntityId</v>
      <v t="s">_Icon</v>
      <v t="s">_Provider</v>
      <v t="s">_Attribution</v>
      <v t="s">_Display</v>
      <v t="s">Name</v>
      <v t="s">_Format</v>
      <v t="s">Capital/Major City</v>
      <v t="s">Leader(s)</v>
      <v t="s">_SubLabel</v>
      <v t="s">Population</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53">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CPI</v>
      <v t="s">CPI Change (%)</v>
      <v t="s">Population: Labor force participation (%)</v>
      <v t="s">Minimum wage</v>
      <v t="s">Tax revenue (%)</v>
      <v t="s">Total tax rate</v>
      <v t="s">Unemployment rate</v>
      <v t="s">Gross primary education enrollment (%)</v>
      <v t="s">Gross tertiary education enrollment (%)</v>
      <v t="s">Out of pocket health expenditure (%)</v>
      <v t="s">Physicians per thousand</v>
      <v t="s">Time zone(s)</v>
      <v t="s">Calling code</v>
      <v t="s">_Flags</v>
      <v t="s">VDPID/VSID</v>
      <v t="s">UniqueName</v>
      <v t="s">_DisplayString</v>
      <v t="s">LearnMoreOnLink</v>
      <v t="s">Image</v>
      <v t="s">Description</v>
    </a>
    <a count="61">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Labor force participation (%)</v>
      <v t="s">Tax revenue (%)</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23">
      <v t="s">%EntityServiceId</v>
      <v t="s">%IsRefreshable</v>
      <v t="s">%EntityCulture</v>
      <v t="s">%EntityId</v>
      <v t="s">_Icon</v>
      <v t="s">_Provider</v>
      <v t="s">_Attribution</v>
      <v t="s">_Display</v>
      <v t="s">Name</v>
      <v t="s">_Format</v>
      <v t="s">Country/region</v>
      <v t="s">_SubLabel</v>
      <v t="s">Population</v>
      <v t="s">Area</v>
      <v t="s">Latitude</v>
      <v t="s">Longitude</v>
      <v t="s">_Flags</v>
      <v t="s">VDPID/VSID</v>
      <v t="s">UniqueName</v>
      <v t="s">_DisplayString</v>
      <v t="s">LearnMoreOnLink</v>
      <v t="s">Image</v>
      <v t="s">Description</v>
    </a>
    <a count="58">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Life expectancy</v>
      <v t="s">Birth rate</v>
      <v t="s">Fertility rate</v>
      <v t="s">Infant mortality</v>
      <v t="s">Maternal mortality ratio</v>
      <v t="s">Urban population</v>
      <v t="s">Agricultural land (%)</v>
      <v t="s">Forested area (%)</v>
      <v t="s">Carbon dioxide emissions</v>
      <v t="s">Fossil fuel energy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Tax revenue (%)</v>
      <v t="s">Total tax rate</v>
      <v t="s">Unemployment rate</v>
      <v t="s">Gross primary education enrollment (%)</v>
      <v t="s">Gross tertiary education enrollment (%)</v>
      <v t="s">Out of pocket health expenditure (%)</v>
      <v t="s">Physicians per thousand</v>
      <v t="s">Time zone(s)</v>
      <v t="s">Calling code</v>
      <v t="s">_Flags</v>
      <v t="s">VDPID/VSID</v>
      <v t="s">UniqueName</v>
      <v t="s">_DisplayString</v>
      <v t="s">LearnMoreOnLink</v>
      <v t="s">Image</v>
      <v t="s">Description</v>
    </a>
    <a count="58">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Gasoline price</v>
      <v t="s">Electric power consumption</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24">
      <v t="s">%EntityServiceId</v>
      <v t="s">%IsRefreshable</v>
      <v t="s">%EntityCulture</v>
      <v t="s">%EntityId</v>
      <v t="s">_Icon</v>
      <v t="s">_Provider</v>
      <v t="s">_Attribution</v>
      <v t="s">_Display</v>
      <v t="s">Name</v>
      <v t="s">_Format</v>
      <v t="s">Country/region</v>
      <v t="s">_SubLabel</v>
      <v t="s">Population</v>
      <v t="s">Area</v>
      <v t="s">Abbreviation</v>
      <v t="s">Largest city</v>
      <v t="s">Time zone(s)</v>
      <v t="s">_Flags</v>
      <v t="s">VDPID/VSID</v>
      <v t="s">UniqueName</v>
      <v t="s">_DisplayString</v>
      <v t="s">LearnMoreOnLink</v>
      <v t="s">Image</v>
      <v t="s">Description</v>
    </a>
    <a count="46">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Infant mortality</v>
      <v t="s">Urban population</v>
      <v t="s">Agricultural land (%)</v>
      <v t="s">Forested area (%)</v>
      <v t="s">Carbon dioxide emissions</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Gross primary education enrollment (%)</v>
      <v t="s">Out of pocket health expenditure (%)</v>
      <v t="s">Physicians per thousand</v>
      <v t="s">Time zone(s)</v>
      <v t="s">Calling code</v>
      <v t="s">_Flags</v>
      <v t="s">VDPID/VSID</v>
      <v t="s">UniqueName</v>
      <v t="s">_DisplayString</v>
      <v t="s">LearnMoreOnLink</v>
      <v t="s">Image</v>
      <v t="s">Description</v>
    </a>
    <a count="25">
      <v t="s">%EntityServiceId</v>
      <v t="s">%IsRefreshable</v>
      <v t="s">%EntityCulture</v>
      <v t="s">%EntityId</v>
      <v t="s">_Icon</v>
      <v t="s">_Provider</v>
      <v t="s">_Attribution</v>
      <v t="s">_Display</v>
      <v t="s">Name</v>
      <v t="s">_Format</v>
      <v t="s">Capital/Major City</v>
      <v t="s">Leader(s)</v>
      <v t="s">Country/region</v>
      <v t="s">_SubLabel</v>
      <v t="s">Population</v>
      <v t="s">Area</v>
      <v t="s">Official language</v>
      <v t="s">Time zone(s)</v>
      <v t="s">_Flags</v>
      <v t="s">VDPID/VSID</v>
      <v t="s">UniqueName</v>
      <v t="s">_DisplayString</v>
      <v t="s">LearnMoreOnLink</v>
      <v t="s">Image</v>
      <v t="s">Description</v>
    </a>
    <a count="47">
      <v t="s">%EntityServiceId</v>
      <v t="s">%IsRefreshable</v>
      <v t="s">%EntityCulture</v>
      <v t="s">%EntityId</v>
      <v t="s">_Icon</v>
      <v t="s">_Provider</v>
      <v t="s">_Attribution</v>
      <v t="s">_Display</v>
      <v t="s">Name</v>
      <v t="s">_Format</v>
      <v t="s">Leader(s)</v>
      <v t="s">Country/region</v>
      <v t="s">_SubLabel</v>
      <v t="s">Population</v>
      <v t="s">Area</v>
      <v t="s">Abbreviation</v>
      <v t="s">Population change (%)</v>
      <v t="s">Households</v>
      <v t="s">Housing units</v>
      <v t="s">Persons per household</v>
      <v t="s">Median household income</v>
      <v t="s">Median value, owner-occupied housing units</v>
      <v t="s">Median gross rent</v>
      <v t="s">Building permits</v>
      <v t="s">Population: Under age 5 (%)</v>
      <v t="s">Population: Under age 18 (%)</v>
      <v t="s">Population: Age 65+ (%)</v>
      <v t="s">Population: Persons with a disability (%)</v>
      <v t="s">Population: Bachelor's degree or higher (%)</v>
      <v t="s">Population: High school graduate or higher (%)</v>
      <v t="s">Population: In civilian labor force (%)</v>
      <v t="s">Population: Foreign born persons (%)</v>
      <v t="s">Population: American Indian and Alaskan Native (%)</v>
      <v t="s">Population: Asian (%)</v>
      <v t="s">Population: Black or African American (%)</v>
      <v t="s">Population: Hispanic or Latino (%)</v>
      <v t="s">Population: Native Hawaiian and Other Pacific Islander (%)</v>
      <v t="s">Population: White (%)</v>
      <v t="s">Population: Two or more races (%)</v>
      <v t="s">Time zone(s)</v>
      <v t="s">_Flags</v>
      <v t="s">VDPID/VSID</v>
      <v t="s">UniqueName</v>
      <v t="s">_DisplayString</v>
      <v t="s">LearnMoreOnLink</v>
      <v t="s">Image</v>
      <v t="s">Description</v>
    </a>
    <a count="25">
      <v t="s">%EntityServiceId</v>
      <v t="s">%IsRefreshable</v>
      <v t="s">%EntityCulture</v>
      <v t="s">%EntityId</v>
      <v t="s">_Icon</v>
      <v t="s">_Provider</v>
      <v t="s">_Attribution</v>
      <v t="s">_Display</v>
      <v t="s">Name</v>
      <v t="s">_Format</v>
      <v t="s">Capital/Major City</v>
      <v t="s">Country/region</v>
      <v t="s">_SubLabel</v>
      <v t="s">Population</v>
      <v t="s">Area</v>
      <v t="s">Abbreviation</v>
      <v t="s">Official language</v>
      <v t="s">Time zone(s)</v>
      <v t="s">_Flags</v>
      <v t="s">VDPID/VSID</v>
      <v t="s">UniqueName</v>
      <v t="s">_DisplayString</v>
      <v t="s">LearnMoreOnLink</v>
      <v t="s">Image</v>
      <v t="s">Description</v>
    </a>
    <a count="22">
      <v t="s">%EntityServiceId</v>
      <v t="s">%IsRefreshable</v>
      <v t="s">%EntityCulture</v>
      <v t="s">%EntityId</v>
      <v t="s">_Icon</v>
      <v t="s">_Provider</v>
      <v t="s">_Attribution</v>
      <v t="s">_Display</v>
      <v t="s">Name</v>
      <v t="s">_Format</v>
      <v t="s">Country/region</v>
      <v t="s">_SubLabel</v>
      <v t="s">Population</v>
      <v t="s">Area</v>
      <v t="s">Time zone(s)</v>
      <v t="s">_Flags</v>
      <v t="s">VDPID/VSID</v>
      <v t="s">UniqueName</v>
      <v t="s">_DisplayString</v>
      <v t="s">LearnMoreOnLink</v>
      <v t="s">Image</v>
      <v t="s">Description</v>
    </a>
    <a count="61">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spbArrays>
  <spbData count="1638">
    <spb s="0">
      <v>1</v>
    </spb>
    <spb s="1">
      <v xml:space="preserve">Wikipedia	</v>
      <v xml:space="preserve">CC BY-SA 3.0	</v>
      <v xml:space="preserve">https://en.wikipedia.org/wiki/Kabul	</v>
      <v xml:space="preserve">https://creativecommons.org/licenses/by-sa/3.0	</v>
    </spb>
    <spb s="2">
      <v>1</v>
      <v>1</v>
      <v>1</v>
      <v>1</v>
      <v>1</v>
      <v>1</v>
      <v>1</v>
      <v>1</v>
      <v>1</v>
      <v>1</v>
    </spb>
    <spb s="3">
      <v>0</v>
      <v>Name</v>
      <v>LearnMoreOnLink</v>
    </spb>
    <spb s="4">
      <v>0</v>
      <v>0</v>
      <v>0</v>
    </spb>
    <spb s="5">
      <v>4</v>
      <v>4</v>
      <v>4</v>
    </spb>
    <spb s="6">
      <v>2</v>
      <v>3</v>
    </spb>
    <spb s="7">
      <v>https://www.bing.com</v>
      <v>https://www.bing.com/th?id=Ga%5Cbing_yt.png&amp;w=100&amp;h=40&amp;c=0&amp;pid=0.1</v>
      <v>Powered by Bing</v>
    </spb>
    <spb s="8">
      <v>square km</v>
      <v>2020</v>
    </spb>
    <spb s="0">
      <v>4</v>
    </spb>
    <spb s="1">
      <v xml:space="preserve">data.worldbank.org	</v>
      <v xml:space="preserve">	</v>
      <v xml:space="preserve">http://data.worldbank.org/indicator/FP.CPI.TOTL	</v>
      <v xml:space="preserve">	</v>
    </spb>
    <spb s="1">
      <v xml:space="preserve">Wikipedia	Cia	travel.state.gov	</v>
      <v xml:space="preserve">CC-BY-SA			</v>
      <v xml:space="preserve">http://en.wikipedia.org/wiki/Afghanistan	https://www.cia.gov/library/publications/the-world-factbook/geos/af.html?Transportation	https://travel.state.gov/content/travel/en/international-travel/International-Travel-Country-Information-Pages/Afghanistan.html	</v>
      <v xml:space="preserve">http://creativecommons.org/licenses/by-sa/3.0/			</v>
    </spb>
    <spb s="1">
      <v xml:space="preserve">Wikipedia	</v>
      <v xml:space="preserve">CC BY-SA 3.0	</v>
      <v xml:space="preserve">https://en.wikipedia.org/wiki/Afghanistan	</v>
      <v xml:space="preserve">https://creativecommons.org/licenses/by-sa/3.0	</v>
    </spb>
    <spb s="1">
      <v xml:space="preserve">data.worldbank.org	</v>
      <v xml:space="preserve">	</v>
      <v xml:space="preserve">http://data.worldbank.org/indicator/SP.DYN.CBRT.IN	</v>
      <v xml:space="preserve">	</v>
    </spb>
    <spb s="1">
      <v xml:space="preserve">Wikipedia	</v>
      <v xml:space="preserve">CC-BY-SA	</v>
      <v xml:space="preserve">http://en.wikipedia.org/wiki/Afghanistan	</v>
      <v xml:space="preserve">http://creativecommons.org/licenses/by-sa/3.0/	</v>
    </spb>
    <spb s="1">
      <v xml:space="preserve">Cia	</v>
      <v xml:space="preserve">	</v>
      <v xml:space="preserve">https://www.cia.gov/library/publications/the-world-factbook/geos/af.html?Transportation	</v>
      <v xml:space="preserve">	</v>
    </spb>
    <spb s="1">
      <v xml:space="preserve">data.worldbank.org	</v>
      <v xml:space="preserve">	</v>
      <v xml:space="preserve">http://data.worldbank.org/indicator/SP.DYN.TFRT.IN	</v>
      <v xml:space="preserve">	</v>
    </spb>
    <spb s="1">
      <v xml:space="preserve">data.worldbank.org	</v>
      <v xml:space="preserve">	</v>
      <v xml:space="preserve">http://data.worldbank.org/indicator/SP.DYN.LE00.IN	</v>
      <v xml:space="preserve">	</v>
    </spb>
    <spb s="1">
      <v xml:space="preserve">data.worldbank.org	</v>
      <v xml:space="preserve">	</v>
      <v xml:space="preserve">http://data.worldbank.org/indicator/SP.DYN.IMRT.IN	</v>
      <v xml:space="preserve">	</v>
    </spb>
    <spb s="1">
      <v xml:space="preserve">data.worldbank.org	</v>
      <v xml:space="preserve">	</v>
      <v xml:space="preserve">http://data.worldbank.org/indicator/SP.URB.TOTL	</v>
      <v xml:space="preserve">	</v>
    </spb>
    <spb s="1">
      <v xml:space="preserve">data.worldbank.org	</v>
      <v xml:space="preserve">	</v>
      <v xml:space="preserve">http://data.worldbank.org/indicator/MS.MIL.TOTL.P1	</v>
      <v xml:space="preserve">	</v>
    </spb>
    <spb s="1">
      <v xml:space="preserve">data.worldbank.org	</v>
      <v xml:space="preserve">	</v>
      <v xml:space="preserve">http://data.worldbank.org/indicator/SH.MED.PHYS.ZS	</v>
      <v xml:space="preserve">	</v>
    </spb>
    <spb s="1">
      <v xml:space="preserve">data.worldbank.org	</v>
      <v xml:space="preserve">	</v>
      <v xml:space="preserve">http://data.worldbank.org/indicator/EN.ATM.CO2E.KT	</v>
      <v xml:space="preserve">	</v>
    </spb>
    <spb s="1">
      <v xml:space="preserve">data.worldbank.org	</v>
      <v xml:space="preserve">	</v>
      <v xml:space="preserve">http://data.worldbank.org/indicator/SH.STA.MMRT	</v>
      <v xml:space="preserve">	</v>
    </spb>
    <spb s="1">
      <v xml:space="preserve">data.worldbank.org	</v>
      <v xml:space="preserve">	</v>
      <v xml:space="preserve">http://data.worldbank.org/indicator/SL.TLF.CACT.ZS	</v>
      <v xml:space="preserve">	</v>
    </spb>
    <spb s="9">
      <v>10</v>
      <v>11</v>
      <v>12</v>
      <v>12</v>
      <v>13</v>
      <v>12</v>
      <v>12</v>
      <v>12</v>
      <v>14</v>
      <v>12</v>
      <v>12</v>
      <v>14</v>
      <v>12</v>
      <v>12</v>
      <v>15</v>
      <v>16</v>
      <v>11</v>
      <v>15</v>
      <v>17</v>
      <v>12</v>
      <v>15</v>
      <v>18</v>
      <v>19</v>
      <v>20</v>
      <v>15</v>
      <v>15</v>
      <v>12</v>
      <v>15</v>
      <v>21</v>
      <v>22</v>
      <v>23</v>
      <v>15</v>
      <v>15</v>
      <v>15</v>
      <v>24</v>
    </spb>
    <spb s="3">
      <v>1</v>
      <v>Name</v>
      <v>LearnMoreOnLink</v>
    </spb>
    <spb s="10">
      <v>2019</v>
      <v>2019</v>
      <v>square km</v>
      <v>per thousand (2018)</v>
      <v>2022</v>
      <v>2019</v>
      <v>2018</v>
      <v>per liter (2016)</v>
      <v>2019</v>
      <v>years (2018)</v>
      <v>2017</v>
      <v>per thousand (2018)</v>
      <v>2019</v>
      <v>2017</v>
      <v>2016</v>
      <v>2019</v>
      <v>2016</v>
      <v>2016</v>
      <v>kilotons per year (2016)</v>
      <v>deaths per 100,000 (2017)</v>
      <v>2015</v>
      <v>2018</v>
      <v>2018</v>
      <v>2019</v>
    </spb>
    <spb s="0">
      <v>5</v>
    </spb>
    <spb s="0">
      <v>6</v>
    </spb>
    <spb s="0">
      <v>7</v>
    </spb>
    <spb s="0">
      <v>8</v>
    </spb>
    <spb s="0">
      <v>9</v>
    </spb>
    <spb s="0">
      <v>10</v>
    </spb>
    <spb s="0">
      <v>11</v>
    </spb>
    <spb s="0">
      <v>12</v>
    </spb>
    <spb s="1">
      <v xml:space="preserve">Wikipedia	</v>
      <v xml:space="preserve">CC BY-SA 3.0	</v>
      <v xml:space="preserve">https://en.wikipedia.org/wiki/Tirana	</v>
      <v xml:space="preserve">https://creativecommons.org/licenses/by-sa/3.0	</v>
    </spb>
    <spb s="11">
      <v>36</v>
      <v>36</v>
      <v>36</v>
      <v>36</v>
      <v>36</v>
      <v>36</v>
      <v>36</v>
      <v>36</v>
      <v>36</v>
    </spb>
    <spb s="3">
      <v>2</v>
      <v>Name</v>
      <v>LearnMoreOnLink</v>
    </spb>
    <spb s="8">
      <v>square km</v>
      <v>2011</v>
    </spb>
    <spb s="1">
      <v xml:space="preserve">Wikipedia	Cia	travel.state.gov	</v>
      <v xml:space="preserve">CC-BY-SA			</v>
      <v xml:space="preserve">http://en.wikipedia.org/wiki/Albania	https://www.cia.gov/library/publications/the-world-factbook/geos/al.html?Transportation	https://travel.state.gov/content/travel/en/international-travel/International-Travel-Country-Information-Pages/Albania.html	</v>
      <v xml:space="preserve">http://creativecommons.org/licenses/by-sa/3.0/			</v>
    </spb>
    <spb s="1">
      <v xml:space="preserve">Wikipedia	</v>
      <v xml:space="preserve">CC BY-SA 3.0	</v>
      <v xml:space="preserve">https://en.wikipedia.org/wiki/Albania	</v>
      <v xml:space="preserve">https://creativecommons.org/licenses/by-sa/3.0	</v>
    </spb>
    <spb s="1">
      <v xml:space="preserve">Wikipedia	</v>
      <v xml:space="preserve">CC-BY-SA	</v>
      <v xml:space="preserve">http://en.wikipedia.org/wiki/Albania	</v>
      <v xml:space="preserve">http://creativecommons.org/licenses/by-sa/3.0/	</v>
    </spb>
    <spb s="1">
      <v xml:space="preserve">Cia	</v>
      <v xml:space="preserve">	</v>
      <v xml:space="preserve">https://www.cia.gov/library/publications/the-world-factbook/geos/al.html?Transportation	</v>
      <v xml:space="preserve">	</v>
    </spb>
    <spb s="1">
      <v xml:space="preserve">data.worldbank.org	</v>
      <v xml:space="preserve">	</v>
      <v xml:space="preserve">http://data.worldbank.org/indicator/EG.USE.ELEC.KH.PC	</v>
      <v xml:space="preserve">	</v>
    </spb>
    <spb s="12">
      <v>10</v>
      <v>40</v>
      <v>41</v>
      <v>41</v>
      <v>13</v>
      <v>41</v>
      <v>41</v>
      <v>41</v>
      <v>42</v>
      <v>41</v>
      <v>41</v>
      <v>42</v>
      <v>41</v>
      <v>41</v>
      <v>43</v>
      <v>16</v>
      <v>40</v>
      <v>43</v>
      <v>17</v>
      <v>41</v>
      <v>43</v>
      <v>18</v>
      <v>19</v>
      <v>20</v>
      <v>43</v>
      <v>43</v>
      <v>41</v>
      <v>43</v>
      <v>21</v>
      <v>22</v>
      <v>23</v>
      <v>44</v>
      <v>43</v>
      <v>43</v>
      <v>43</v>
      <v>43</v>
      <v>43</v>
      <v>43</v>
      <v>43</v>
      <v>43</v>
      <v>43</v>
      <v>43</v>
      <v>43</v>
      <v>24</v>
    </spb>
    <spb s="3">
      <v>3</v>
      <v>Name</v>
      <v>LearnMoreOnLink</v>
    </spb>
    <spb s="13">
      <v>2019</v>
      <v>2019</v>
      <v>square km</v>
      <v>per thousand (2018)</v>
      <v>2022</v>
      <v>2019</v>
      <v>2018</v>
      <v>per liter (2016)</v>
      <v>2019</v>
      <v>years (2018)</v>
      <v>2018</v>
      <v>per thousand (2018)</v>
      <v>2019</v>
      <v>2017</v>
      <v>2016</v>
      <v>2019</v>
      <v>2016</v>
      <v>2016</v>
      <v>kilotons per year (2016)</v>
      <v>deaths per 100,000 (2017)</v>
      <v>kWh (2014)</v>
      <v>2014</v>
      <v>2017</v>
      <v>2017</v>
      <v>2017</v>
      <v>2017</v>
      <v>2017</v>
      <v>2015</v>
      <v>2017</v>
      <v>2017</v>
      <v>2018</v>
      <v>2018</v>
      <v>2019</v>
    </spb>
    <spb s="1">
      <v xml:space="preserve">Wikipedia	</v>
      <v xml:space="preserve">CC BY-SA 3.0	</v>
      <v xml:space="preserve">https://en.wikipedia.org/wiki/Algiers	</v>
      <v xml:space="preserve">https://creativecommons.org/licenses/by-sa/3.0	</v>
    </spb>
    <spb s="11">
      <v>48</v>
      <v>48</v>
      <v>48</v>
      <v>48</v>
      <v>48</v>
      <v>48</v>
      <v>48</v>
      <v>48</v>
      <v>48</v>
    </spb>
    <spb s="1">
      <v xml:space="preserve">Wikipedia	Cia	travel.state.gov	</v>
      <v xml:space="preserve">CC-BY-SA			</v>
      <v xml:space="preserve">http://en.wikipedia.org/wiki/Algeria	https://www.cia.gov/library/publications/the-world-factbook/geos/ag.html?Transportation	https://travel.state.gov/content/travel/en/international-travel/International-Travel-Country-Information-Pages/Algeria.html	</v>
      <v xml:space="preserve">http://creativecommons.org/licenses/by-sa/3.0/			</v>
    </spb>
    <spb s="1">
      <v xml:space="preserve">Wikipedia	</v>
      <v xml:space="preserve">CC BY-SA 3.0	</v>
      <v xml:space="preserve">https://en.wikipedia.org/wiki/Algeria	</v>
      <v xml:space="preserve">https://creativecommons.org/licenses/by-sa/3.0	</v>
    </spb>
    <spb s="1">
      <v xml:space="preserve">Wikipedia	</v>
      <v xml:space="preserve">CC-BY-SA	</v>
      <v xml:space="preserve">http://en.wikipedia.org/wiki/Algeria	</v>
      <v xml:space="preserve">http://creativecommons.org/licenses/by-sa/3.0/	</v>
    </spb>
    <spb s="1">
      <v xml:space="preserve">Cia	</v>
      <v xml:space="preserve">	</v>
      <v xml:space="preserve">https://www.cia.gov/library/publications/the-world-factbook/geos/ag.html?Transportation	</v>
      <v xml:space="preserve">	</v>
    </spb>
    <spb s="14">
      <v>10</v>
      <v>50</v>
      <v>51</v>
      <v>51</v>
      <v>13</v>
      <v>51</v>
      <v>51</v>
      <v>51</v>
      <v>52</v>
      <v>51</v>
      <v>51</v>
      <v>52</v>
      <v>51</v>
      <v>51</v>
      <v>53</v>
      <v>16</v>
      <v>50</v>
      <v>53</v>
      <v>17</v>
      <v>51</v>
      <v>53</v>
      <v>18</v>
      <v>19</v>
      <v>20</v>
      <v>53</v>
      <v>53</v>
      <v>51</v>
      <v>53</v>
      <v>21</v>
      <v>22</v>
      <v>23</v>
      <v>44</v>
      <v>53</v>
      <v>50</v>
      <v>53</v>
      <v>53</v>
      <v>53</v>
      <v>53</v>
      <v>53</v>
      <v>53</v>
      <v>53</v>
      <v>53</v>
      <v>53</v>
      <v>53</v>
      <v>24</v>
    </spb>
    <spb s="3">
      <v>4</v>
      <v>Name</v>
      <v>LearnMoreOnLink</v>
    </spb>
    <spb s="15">
      <v>2019</v>
      <v>2019</v>
      <v>square km</v>
      <v>per thousand (2018)</v>
      <v>2022</v>
      <v>2019</v>
      <v>2018</v>
      <v>per liter (2016)</v>
      <v>2019</v>
      <v>years (2018)</v>
      <v>2011</v>
      <v>per thousand (2018)</v>
      <v>2019</v>
      <v>2017</v>
      <v>2016</v>
      <v>2019</v>
      <v>2016</v>
      <v>2018</v>
      <v>kilotons per year (2016)</v>
      <v>deaths per 100,000 (2017)</v>
      <v>kWh (2014)</v>
      <v>2014</v>
      <v>2018</v>
      <v>2011</v>
      <v>2011</v>
      <v>2011</v>
      <v>2011</v>
      <v>2011</v>
      <v>2015</v>
      <v>2011</v>
      <v>2011</v>
      <v>2018</v>
      <v>2018</v>
      <v>2019</v>
    </spb>
    <spb s="1">
      <v xml:space="preserve">Wikipedia	</v>
      <v xml:space="preserve">CC BY-SA 3.0	</v>
      <v xml:space="preserve">https://en.wikipedia.org/wiki/Andorra_la_Vella	</v>
      <v xml:space="preserve">https://creativecommons.org/licenses/by-sa/3.0	</v>
    </spb>
    <spb s="1">
      <v xml:space="preserve">Wikipedia	</v>
      <v xml:space="preserve">CC-BY-SA	</v>
      <v xml:space="preserve">http://en.wikipedia.org/wiki/Andorra_la_Vella	</v>
      <v xml:space="preserve">http://creativecommons.org/licenses/by-sa/3.0/	</v>
    </spb>
    <spb s="16">
      <v>57</v>
      <v>57</v>
      <v>57</v>
      <v>57</v>
      <v>57</v>
      <v>58</v>
      <v>57</v>
    </spb>
    <spb s="3">
      <v>5</v>
      <v>Name</v>
      <v>LearnMoreOnLink</v>
    </spb>
    <spb s="8">
      <v>square km</v>
      <v>2022</v>
    </spb>
    <spb s="1">
      <v xml:space="preserve">Wikipedia	Cia	travel.state.gov	</v>
      <v xml:space="preserve">CC-BY-SA			</v>
      <v xml:space="preserve">http://en.wikipedia.org/wiki/Andorra	https://www.cia.gov/library/publications/the-world-factbook/geos/an.html?Transportation	https://travel.state.gov/content/travel/en/international-travel/International-Travel-Country-Information-Pages/Andorra.html	</v>
      <v xml:space="preserve">http://creativecommons.org/licenses/by-sa/3.0/			</v>
    </spb>
    <spb s="1">
      <v xml:space="preserve">Wikipedia	</v>
      <v xml:space="preserve">CC BY-SA 3.0	</v>
      <v xml:space="preserve">https://en.wikipedia.org/wiki/Andorra	</v>
      <v xml:space="preserve">https://creativecommons.org/licenses/by-sa/3.0	</v>
    </spb>
    <spb s="1">
      <v xml:space="preserve">Wikipedia	</v>
      <v xml:space="preserve">CC-BY-SA	</v>
      <v xml:space="preserve">http://en.wikipedia.org/wiki/Andorra	</v>
      <v xml:space="preserve">http://creativecommons.org/licenses/by-sa/3.0/	</v>
    </spb>
    <spb s="1">
      <v xml:space="preserve">Cia	</v>
      <v xml:space="preserve">	</v>
      <v xml:space="preserve">https://www.cia.gov/library/publications/the-world-factbook/geos/an.html?Transportation	</v>
      <v xml:space="preserve">	</v>
    </spb>
    <spb s="17">
      <v>62</v>
      <v>63</v>
      <v>63</v>
      <v>13</v>
      <v>63</v>
      <v>63</v>
      <v>63</v>
      <v>64</v>
      <v>63</v>
      <v>63</v>
      <v>64</v>
      <v>63</v>
      <v>63</v>
      <v>16</v>
      <v>62</v>
      <v>63</v>
      <v>18</v>
      <v>19</v>
      <v>65</v>
      <v>63</v>
      <v>65</v>
      <v>21</v>
      <v>22</v>
      <v>65</v>
      <v>65</v>
    </spb>
    <spb s="3">
      <v>6</v>
      <v>Name</v>
      <v>LearnMoreOnLink</v>
    </spb>
    <spb s="18">
      <v>2019</v>
      <v>square km</v>
      <v>per thousand (2018)</v>
      <v>2022</v>
      <v>2010</v>
      <v>per liter (2014)</v>
      <v>per thousand (2018)</v>
      <v>2019</v>
      <v>2016</v>
      <v>2016</v>
      <v>2015</v>
      <v>kilotons per year (2016)</v>
      <v>2015</v>
      <v>1983</v>
    </spb>
    <spb s="1">
      <v xml:space="preserve">Wikipedia	</v>
      <v xml:space="preserve">CC-BY-SA	</v>
      <v xml:space="preserve">http://en.wikipedia.org/wiki/Luanda	</v>
      <v xml:space="preserve">http://creativecommons.org/licenses/by-sa/3.0/	</v>
    </spb>
    <spb s="1">
      <v xml:space="preserve">Wikipedia	</v>
      <v xml:space="preserve">CC BY-SA 3.0	</v>
      <v xml:space="preserve">https://en.wikipedia.org/wiki/Luanda	</v>
      <v xml:space="preserve">https://creativecommons.org/licenses/by-sa/3.0	</v>
    </spb>
    <spb s="2">
      <v>69</v>
      <v>70</v>
      <v>70</v>
      <v>70</v>
      <v>70</v>
      <v>70</v>
      <v>70</v>
      <v>70</v>
      <v>70</v>
      <v>70</v>
    </spb>
    <spb s="3">
      <v>7</v>
      <v>Name</v>
      <v>LearnMoreOnLink</v>
    </spb>
    <spb s="1">
      <v xml:space="preserve">Wikipedia	Cia	travel.state.gov	</v>
      <v xml:space="preserve">CC-BY-SA			</v>
      <v xml:space="preserve">http://en.wikipedia.org/wiki/Angola	https://www.cia.gov/library/publications/the-world-factbook/geos/ao.html?Transportation	https://travel.state.gov/content/travel/en/international-travel/International-Travel-Country-Information-Pages/Angola.html	</v>
      <v xml:space="preserve">http://creativecommons.org/licenses/by-sa/3.0/			</v>
    </spb>
    <spb s="1">
      <v xml:space="preserve">Wikipedia	</v>
      <v xml:space="preserve">CC BY-SA 3.0	</v>
      <v xml:space="preserve">https://en.wikipedia.org/wiki/Angola	</v>
      <v xml:space="preserve">https://creativecommons.org/licenses/by-sa/3.0	</v>
    </spb>
    <spb s="1">
      <v xml:space="preserve">Wikipedia	</v>
      <v xml:space="preserve">CC-BY-SA	</v>
      <v xml:space="preserve">http://en.wikipedia.org/wiki/Angola	</v>
      <v xml:space="preserve">http://creativecommons.org/licenses/by-sa/3.0/	</v>
    </spb>
    <spb s="1">
      <v xml:space="preserve">Cia	</v>
      <v xml:space="preserve">	</v>
      <v xml:space="preserve">https://www.cia.gov/library/publications/the-world-factbook/geos/ao.html?Transportation	</v>
      <v xml:space="preserve">	</v>
    </spb>
    <spb s="12">
      <v>10</v>
      <v>73</v>
      <v>74</v>
      <v>74</v>
      <v>13</v>
      <v>74</v>
      <v>74</v>
      <v>74</v>
      <v>75</v>
      <v>74</v>
      <v>74</v>
      <v>75</v>
      <v>74</v>
      <v>74</v>
      <v>76</v>
      <v>16</v>
      <v>73</v>
      <v>76</v>
      <v>17</v>
      <v>74</v>
      <v>76</v>
      <v>18</v>
      <v>19</v>
      <v>20</v>
      <v>76</v>
      <v>76</v>
      <v>74</v>
      <v>76</v>
      <v>21</v>
      <v>22</v>
      <v>23</v>
      <v>44</v>
      <v>76</v>
      <v>76</v>
      <v>76</v>
      <v>76</v>
      <v>76</v>
      <v>76</v>
      <v>76</v>
      <v>76</v>
      <v>76</v>
      <v>76</v>
      <v>76</v>
      <v>24</v>
    </spb>
    <spb s="13">
      <v>2019</v>
      <v>2019</v>
      <v>square km</v>
      <v>per thousand (2018)</v>
      <v>2022</v>
      <v>2019</v>
      <v>2018</v>
      <v>per liter (2016)</v>
      <v>2019</v>
      <v>years (2018)</v>
      <v>2017</v>
      <v>per thousand (2018)</v>
      <v>2019</v>
      <v>2017</v>
      <v>2016</v>
      <v>2019</v>
      <v>2016</v>
      <v>2017</v>
      <v>kilotons per year (2016)</v>
      <v>deaths per 100,000 (2017)</v>
      <v>kWh (2014)</v>
      <v>2014</v>
      <v>2018</v>
      <v>2018</v>
      <v>2018</v>
      <v>2018</v>
      <v>2018</v>
      <v>2015</v>
      <v>2018</v>
      <v>2018</v>
      <v>2015</v>
      <v>2016</v>
      <v>2019</v>
    </spb>
    <spb s="1">
      <v xml:space="preserve">Wikipedia	</v>
      <v xml:space="preserve">CC BY-SA 3.0	</v>
      <v xml:space="preserve">https://en.wikipedia.org/wiki/St._John%27s,_Antigua_and_Barbuda	</v>
      <v xml:space="preserve">https://creativecommons.org/licenses/by-sa/3.0	</v>
    </spb>
    <spb s="11">
      <v>79</v>
      <v>79</v>
      <v>79</v>
      <v>79</v>
      <v>79</v>
      <v>79</v>
      <v>79</v>
      <v>79</v>
      <v>79</v>
    </spb>
    <spb s="3">
      <v>8</v>
      <v>Name</v>
      <v>LearnMoreOnLink</v>
    </spb>
    <spb s="1">
      <v xml:space="preserve">Wikipedia	Cia	travel.state.gov	</v>
      <v xml:space="preserve">CC-BY-SA			</v>
      <v xml:space="preserve">http://en.wikipedia.org/wiki/Antigua_and_Barbuda	https://www.cia.gov/library/publications/the-world-factbook/geos/ac.html?Transportation	https://travel.state.gov/content/travel/en/international-travel/International-Travel-Country-Information-Pages/AntiguaandBarbuda.html	</v>
      <v xml:space="preserve">http://creativecommons.org/licenses/by-sa/3.0/			</v>
    </spb>
    <spb s="1">
      <v xml:space="preserve">Wikipedia	</v>
      <v xml:space="preserve">CC BY-SA 3.0	</v>
      <v xml:space="preserve">https://en.wikipedia.org/wiki/Antigua_and_Barbuda	</v>
      <v xml:space="preserve">https://creativecommons.org/licenses/by-sa/3.0	</v>
    </spb>
    <spb s="1">
      <v xml:space="preserve">Wikipedia	</v>
      <v xml:space="preserve">CC-BY-SA	</v>
      <v xml:space="preserve">http://en.wikipedia.org/wiki/Antigua_and_Barbuda	</v>
      <v xml:space="preserve">http://creativecommons.org/licenses/by-sa/3.0/	</v>
    </spb>
    <spb s="1">
      <v xml:space="preserve">Cia	</v>
      <v xml:space="preserve">	</v>
      <v xml:space="preserve">https://www.cia.gov/library/publications/the-world-factbook/geos/ac.html?Transportation	</v>
      <v xml:space="preserve">	</v>
    </spb>
    <spb s="19">
      <v>10</v>
      <v>82</v>
      <v>83</v>
      <v>83</v>
      <v>13</v>
      <v>83</v>
      <v>83</v>
      <v>83</v>
      <v>84</v>
      <v>83</v>
      <v>83</v>
      <v>84</v>
      <v>83</v>
      <v>83</v>
      <v>85</v>
      <v>16</v>
      <v>82</v>
      <v>85</v>
      <v>17</v>
      <v>83</v>
      <v>85</v>
      <v>18</v>
      <v>19</v>
      <v>20</v>
      <v>85</v>
      <v>83</v>
      <v>85</v>
      <v>21</v>
      <v>22</v>
      <v>23</v>
      <v>85</v>
      <v>85</v>
      <v>85</v>
      <v>85</v>
    </spb>
    <spb s="3">
      <v>9</v>
      <v>Name</v>
      <v>LearnMoreOnLink</v>
    </spb>
    <spb s="20">
      <v>2018</v>
      <v>2019</v>
      <v>square km</v>
      <v>per thousand (2018)</v>
      <v>2022</v>
      <v>2018</v>
      <v>2018</v>
      <v>per liter (2010)</v>
      <v>2019</v>
      <v>years (2018)</v>
      <v>2014</v>
      <v>per thousand (2018)</v>
      <v>2019</v>
      <v>2017</v>
      <v>2016</v>
      <v>2016</v>
      <v>2017</v>
      <v>kilotons per year (2016)</v>
      <v>deaths per 100,000 (2017)</v>
      <v>2007</v>
      <v>2015</v>
      <v>2018</v>
      <v>2012</v>
    </spb>
    <spb s="1">
      <v xml:space="preserve">Wikipedia	</v>
      <v xml:space="preserve">CC BY-SA 3.0	</v>
      <v xml:space="preserve">https://en.wikipedia.org/wiki/Buenos_Aires	</v>
      <v xml:space="preserve">https://creativecommons.org/licenses/by-sa/3.0	</v>
    </spb>
    <spb s="1">
      <v xml:space="preserve">Wikipedia	</v>
      <v xml:space="preserve">CC-BY-SA	</v>
      <v xml:space="preserve">http://en.wikipedia.org/wiki/Buenos_Aires	</v>
      <v xml:space="preserve">http://creativecommons.org/licenses/by-sa/3.0/	</v>
    </spb>
    <spb s="16">
      <v>89</v>
      <v>89</v>
      <v>89</v>
      <v>89</v>
      <v>89</v>
      <v>90</v>
      <v>89</v>
    </spb>
    <spb s="3">
      <v>10</v>
      <v>Name</v>
      <v>LearnMoreOnLink</v>
    </spb>
    <spb s="1">
      <v xml:space="preserve">Wikipedia	Cia	travel.state.gov	</v>
      <v xml:space="preserve">CC-BY-SA			</v>
      <v xml:space="preserve">http://en.wikipedia.org/wiki/Argentina	https://www.cia.gov/library/publications/the-world-factbook/geos/ar.html?Transportation	https://travel.state.gov/content/travel/en/international-travel/International-Travel-Country-Information-Pages/Argentina.html	</v>
      <v xml:space="preserve">http://creativecommons.org/licenses/by-sa/3.0/			</v>
    </spb>
    <spb s="1">
      <v xml:space="preserve">Wikipedia	</v>
      <v xml:space="preserve">CC BY-SA 3.0	</v>
      <v xml:space="preserve">https://en.wikipedia.org/wiki/Argentina	</v>
      <v xml:space="preserve">https://creativecommons.org/licenses/by-sa/3.0	</v>
    </spb>
    <spb s="1">
      <v xml:space="preserve">Wikipedia	</v>
      <v xml:space="preserve">CC-BY-SA	</v>
      <v xml:space="preserve">http://en.wikipedia.org/wiki/Argentina	</v>
      <v xml:space="preserve">http://creativecommons.org/licenses/by-sa/3.0/	</v>
    </spb>
    <spb s="1">
      <v xml:space="preserve">Cia	</v>
      <v xml:space="preserve">	</v>
      <v xml:space="preserve">https://www.cia.gov/library/publications/the-world-factbook/geos/ar.html?Transportation	</v>
      <v xml:space="preserve">	</v>
    </spb>
    <spb s="14">
      <v>10</v>
      <v>93</v>
      <v>94</v>
      <v>94</v>
      <v>13</v>
      <v>94</v>
      <v>94</v>
      <v>94</v>
      <v>95</v>
      <v>94</v>
      <v>94</v>
      <v>95</v>
      <v>94</v>
      <v>94</v>
      <v>96</v>
      <v>16</v>
      <v>93</v>
      <v>96</v>
      <v>17</v>
      <v>94</v>
      <v>96</v>
      <v>18</v>
      <v>19</v>
      <v>20</v>
      <v>96</v>
      <v>96</v>
      <v>94</v>
      <v>96</v>
      <v>21</v>
      <v>22</v>
      <v>23</v>
      <v>44</v>
      <v>96</v>
      <v>93</v>
      <v>96</v>
      <v>96</v>
      <v>96</v>
      <v>96</v>
      <v>96</v>
      <v>96</v>
      <v>96</v>
      <v>96</v>
      <v>96</v>
      <v>96</v>
      <v>24</v>
    </spb>
    <spb s="15">
      <v>2019</v>
      <v>2019</v>
      <v>square km</v>
      <v>per thousand (2018)</v>
      <v>2022</v>
      <v>2019</v>
      <v>2018</v>
      <v>per liter (2016)</v>
      <v>2019</v>
      <v>years (2018)</v>
      <v>2018</v>
      <v>per thousand (2018)</v>
      <v>2019</v>
      <v>2017</v>
      <v>2016</v>
      <v>2019</v>
      <v>2016</v>
      <v>2017</v>
      <v>kilotons per year (2016)</v>
      <v>deaths per 100,000 (2017)</v>
      <v>kWh (2014)</v>
      <v>2014</v>
      <v>2019</v>
      <v>2018</v>
      <v>2018</v>
      <v>2018</v>
      <v>2018</v>
      <v>2018</v>
      <v>2015</v>
      <v>2018</v>
      <v>2018</v>
      <v>2017</v>
      <v>2017</v>
      <v>2019</v>
    </spb>
    <spb s="1">
      <v xml:space="preserve">Wikipedia	</v>
      <v xml:space="preserve">CC BY-SA 3.0	</v>
      <v xml:space="preserve">https://en.wikipedia.org/wiki/Yerevan	</v>
      <v xml:space="preserve">https://creativecommons.org/licenses/by-sa/3.0	</v>
    </spb>
    <spb s="1">
      <v xml:space="preserve">Wikipedia	</v>
      <v xml:space="preserve">CC-BY-SA	</v>
      <v xml:space="preserve">http://en.wikipedia.org/wiki/Yerevan	</v>
      <v xml:space="preserve">http://creativecommons.org/licenses/by-sa/3.0/	</v>
    </spb>
    <spb s="16">
      <v>99</v>
      <v>99</v>
      <v>99</v>
      <v>99</v>
      <v>99</v>
      <v>100</v>
      <v>99</v>
    </spb>
    <spb s="1">
      <v xml:space="preserve">Wikipedia	Cia	travel.state.gov	</v>
      <v xml:space="preserve">CC-BY-SA			</v>
      <v xml:space="preserve">http://en.wikipedia.org/wiki/Armenia	https://www.cia.gov/library/publications/the-world-factbook/geos/am.html?Transportation	https://travel.state.gov/content/travel/en/international-travel/International-Travel-Country-Information-Pages/Armenia.html	</v>
      <v xml:space="preserve">http://creativecommons.org/licenses/by-sa/3.0/			</v>
    </spb>
    <spb s="1">
      <v xml:space="preserve">Wikipedia	</v>
      <v xml:space="preserve">CC BY-SA 3.0	</v>
      <v xml:space="preserve">https://en.wikipedia.org/wiki/Armenia	</v>
      <v xml:space="preserve">https://creativecommons.org/licenses/by-sa/3.0	</v>
    </spb>
    <spb s="1">
      <v xml:space="preserve">Wikipedia	</v>
      <v xml:space="preserve">CC-BY-SA	</v>
      <v xml:space="preserve">http://en.wikipedia.org/wiki/Armenia	</v>
      <v xml:space="preserve">http://creativecommons.org/licenses/by-sa/3.0/	</v>
    </spb>
    <spb s="1">
      <v xml:space="preserve">Cia	</v>
      <v xml:space="preserve">	</v>
      <v xml:space="preserve">https://www.cia.gov/library/publications/the-world-factbook/geos/am.html?Transportation	</v>
      <v xml:space="preserve">	</v>
    </spb>
    <spb s="12">
      <v>10</v>
      <v>102</v>
      <v>103</v>
      <v>103</v>
      <v>13</v>
      <v>103</v>
      <v>103</v>
      <v>103</v>
      <v>104</v>
      <v>103</v>
      <v>103</v>
      <v>104</v>
      <v>103</v>
      <v>103</v>
      <v>105</v>
      <v>16</v>
      <v>102</v>
      <v>105</v>
      <v>17</v>
      <v>103</v>
      <v>105</v>
      <v>18</v>
      <v>19</v>
      <v>20</v>
      <v>105</v>
      <v>105</v>
      <v>103</v>
      <v>105</v>
      <v>21</v>
      <v>22</v>
      <v>23</v>
      <v>44</v>
      <v>105</v>
      <v>105</v>
      <v>105</v>
      <v>105</v>
      <v>105</v>
      <v>105</v>
      <v>105</v>
      <v>105</v>
      <v>105</v>
      <v>105</v>
      <v>105</v>
      <v>24</v>
    </spb>
    <spb s="13">
      <v>2019</v>
      <v>2019</v>
      <v>square km</v>
      <v>per thousand (2018)</v>
      <v>2022</v>
      <v>2019</v>
      <v>2018</v>
      <v>per liter (2016)</v>
      <v>2019</v>
      <v>years (2018)</v>
      <v>2018</v>
      <v>per thousand (2018)</v>
      <v>2019</v>
      <v>2017</v>
      <v>2016</v>
      <v>2019</v>
      <v>2016</v>
      <v>2017</v>
      <v>kilotons per year (2016)</v>
      <v>deaths per 100,000 (2017)</v>
      <v>kWh (2014)</v>
      <v>2014</v>
      <v>2018</v>
      <v>2018</v>
      <v>2018</v>
      <v>2018</v>
      <v>2018</v>
      <v>2015</v>
      <v>2018</v>
      <v>2018</v>
      <v>2018</v>
      <v>2018</v>
      <v>2019</v>
    </spb>
    <spb s="1">
      <v xml:space="preserve">Wikipedia	</v>
      <v xml:space="preserve">CC BY-SA 3.0	</v>
      <v xml:space="preserve">https://en.wikipedia.org/wiki/Canberra	</v>
      <v xml:space="preserve">https://creativecommons.org/licenses/by-sa/3.0	</v>
    </spb>
    <spb s="11">
      <v>108</v>
      <v>108</v>
      <v>108</v>
      <v>108</v>
      <v>108</v>
      <v>108</v>
      <v>108</v>
      <v>108</v>
      <v>108</v>
    </spb>
    <spb s="3">
      <v>11</v>
      <v>Name</v>
      <v>LearnMoreOnLink</v>
    </spb>
    <spb s="8">
      <v>square km</v>
      <v>2023</v>
    </spb>
    <spb s="1">
      <v xml:space="preserve">Wikipedia	Cia	travel.state.gov	</v>
      <v xml:space="preserve">CC-BY-SA			</v>
      <v xml:space="preserve">http://en.wikipedia.org/wiki/Australia	https://www.cia.gov/library/publications/the-world-factbook/geos/as.html?Transportation	https://travel.state.gov/content/travel/en/international-travel/International-Travel-Country-Information-Pages/Australia.html	</v>
      <v xml:space="preserve">http://creativecommons.org/licenses/by-sa/3.0/			</v>
    </spb>
    <spb s="1">
      <v xml:space="preserve">Wikipedia	</v>
      <v xml:space="preserve">CC BY-SA 3.0	</v>
      <v xml:space="preserve">https://en.wikipedia.org/wiki/Australia	</v>
      <v xml:space="preserve">https://creativecommons.org/licenses/by-sa/3.0	</v>
    </spb>
    <spb s="1">
      <v xml:space="preserve">Wikipedia	</v>
      <v xml:space="preserve">CC-BY-SA	</v>
      <v xml:space="preserve">http://en.wikipedia.org/wiki/Australia	</v>
      <v xml:space="preserve">http://creativecommons.org/licenses/by-sa/3.0/	</v>
    </spb>
    <spb s="1">
      <v xml:space="preserve">Cia	</v>
      <v xml:space="preserve">	</v>
      <v xml:space="preserve">https://www.cia.gov/library/publications/the-world-factbook/geos/as.html?Transportation	</v>
      <v xml:space="preserve">	</v>
    </spb>
    <spb s="14">
      <v>10</v>
      <v>112</v>
      <v>113</v>
      <v>113</v>
      <v>13</v>
      <v>113</v>
      <v>113</v>
      <v>113</v>
      <v>114</v>
      <v>113</v>
      <v>113</v>
      <v>114</v>
      <v>113</v>
      <v>113</v>
      <v>115</v>
      <v>16</v>
      <v>112</v>
      <v>115</v>
      <v>17</v>
      <v>113</v>
      <v>115</v>
      <v>18</v>
      <v>19</v>
      <v>20</v>
      <v>115</v>
      <v>115</v>
      <v>113</v>
      <v>115</v>
      <v>21</v>
      <v>22</v>
      <v>23</v>
      <v>44</v>
      <v>115</v>
      <v>112</v>
      <v>115</v>
      <v>115</v>
      <v>115</v>
      <v>115</v>
      <v>115</v>
      <v>115</v>
      <v>115</v>
      <v>115</v>
      <v>115</v>
      <v>115</v>
      <v>24</v>
    </spb>
    <spb s="15">
      <v>2019</v>
      <v>2019</v>
      <v>square km</v>
      <v>per thousand (2018)</v>
      <v>2022</v>
      <v>2019</v>
      <v>2018</v>
      <v>per liter (2016)</v>
      <v>2019</v>
      <v>years (2018)</v>
      <v>2018</v>
      <v>per thousand (2018)</v>
      <v>2019</v>
      <v>2017</v>
      <v>2016</v>
      <v>2019</v>
      <v>2016</v>
      <v>2017</v>
      <v>kilotons per year (2016)</v>
      <v>deaths per 100,000 (2017)</v>
      <v>kWh (2014)</v>
      <v>2015</v>
      <v>2019</v>
      <v>2014</v>
      <v>2014</v>
      <v>2014</v>
      <v>2014</v>
      <v>2014</v>
      <v>2014</v>
      <v>2014</v>
      <v>2014</v>
      <v>2017</v>
      <v>2017</v>
      <v>2019</v>
    </spb>
    <spb s="1">
      <v xml:space="preserve">Wikipedia	</v>
      <v xml:space="preserve">CC BY-SA 3.0	</v>
      <v xml:space="preserve">https://en.wikipedia.org/wiki/Vienna	</v>
      <v xml:space="preserve">https://creativecommons.org/licenses/by-sa/3.0	</v>
    </spb>
    <spb s="1">
      <v xml:space="preserve">Wikipedia	</v>
      <v xml:space="preserve">CC-BY-SA	</v>
      <v xml:space="preserve">http://en.wikipedia.org/wiki/Vienna	</v>
      <v xml:space="preserve">http://creativecommons.org/licenses/by-sa/3.0/	</v>
    </spb>
    <spb s="16">
      <v>118</v>
      <v>118</v>
      <v>118</v>
      <v>118</v>
      <v>118</v>
      <v>119</v>
      <v>118</v>
    </spb>
    <spb s="1">
      <v xml:space="preserve">Wikipedia	</v>
      <v xml:space="preserve">CC BY-SA 3.0	</v>
      <v xml:space="preserve">https://en.wikipedia.org/wiki/Baku	</v>
      <v xml:space="preserve">https://creativecommons.org/licenses/by-sa/3.0	</v>
    </spb>
    <spb s="1">
      <v xml:space="preserve">Wikipedia	</v>
      <v xml:space="preserve">CC-BY-SA	</v>
      <v xml:space="preserve">http://en.wikipedia.org/wiki/Baku	</v>
      <v xml:space="preserve">http://creativecommons.org/licenses/by-sa/3.0/	</v>
    </spb>
    <spb s="16">
      <v>121</v>
      <v>121</v>
      <v>121</v>
      <v>121</v>
      <v>121</v>
      <v>122</v>
      <v>121</v>
    </spb>
    <spb s="3">
      <v>12</v>
      <v>Name</v>
      <v>LearnMoreOnLink</v>
    </spb>
    <spb s="8">
      <v>square km</v>
      <v>2019</v>
    </spb>
    <spb s="1">
      <v xml:space="preserve">Wikipedia	travel.state.gov	</v>
      <v xml:space="preserve">CC-BY-SA		</v>
      <v xml:space="preserve">http://en.wikipedia.org/wiki/Azerbaijan	https://travel.state.gov/content/travel/en/international-travel/International-Travel-Country-Information-Pages/Azerbaijan.html	</v>
      <v xml:space="preserve">http://creativecommons.org/licenses/by-sa/3.0/		</v>
    </spb>
    <spb s="1">
      <v xml:space="preserve">Wikipedia	</v>
      <v xml:space="preserve">CC BY-SA 3.0	</v>
      <v xml:space="preserve">https://en.wikipedia.org/wiki/Azerbaijan	</v>
      <v xml:space="preserve">https://creativecommons.org/licenses/by-sa/3.0	</v>
    </spb>
    <spb s="1">
      <v xml:space="preserve">Wikipedia	</v>
      <v xml:space="preserve">CC-BY-SA	</v>
      <v xml:space="preserve">http://en.wikipedia.org/wiki/Azerbaijan	</v>
      <v xml:space="preserve">http://creativecommons.org/licenses/by-sa/3.0/	</v>
    </spb>
    <spb s="1">
      <v xml:space="preserve">Cia	</v>
      <v xml:space="preserve">	</v>
      <v xml:space="preserve">https://www.cia.gov/library/publications/the-world-factbook/geos/aj.html?Transportation	</v>
      <v xml:space="preserve">	</v>
    </spb>
    <spb s="1">
      <v xml:space="preserve">Wikipedia	Cia	travel.state.gov	</v>
      <v xml:space="preserve">CC-BY-SA			</v>
      <v xml:space="preserve">http://en.wikipedia.org/wiki/Azerbaijan	https://www.cia.gov/library/publications/the-world-factbook/geos/aj.html?Transportation	https://travel.state.gov/content/travel/en/international-travel/International-Travel-Country-Information-Pages/Azerbaijan.html	</v>
      <v xml:space="preserve">http://creativecommons.org/licenses/by-sa/3.0/			</v>
    </spb>
    <spb s="14">
      <v>10</v>
      <v>126</v>
      <v>127</v>
      <v>127</v>
      <v>13</v>
      <v>127</v>
      <v>127</v>
      <v>127</v>
      <v>128</v>
      <v>127</v>
      <v>127</v>
      <v>128</v>
      <v>127</v>
      <v>127</v>
      <v>129</v>
      <v>16</v>
      <v>130</v>
      <v>129</v>
      <v>17</v>
      <v>127</v>
      <v>129</v>
      <v>18</v>
      <v>19</v>
      <v>20</v>
      <v>129</v>
      <v>129</v>
      <v>127</v>
      <v>129</v>
      <v>21</v>
      <v>22</v>
      <v>23</v>
      <v>44</v>
      <v>129</v>
      <v>130</v>
      <v>129</v>
      <v>129</v>
      <v>129</v>
      <v>129</v>
      <v>129</v>
      <v>129</v>
      <v>129</v>
      <v>129</v>
      <v>129</v>
      <v>129</v>
      <v>24</v>
    </spb>
    <spb s="15">
      <v>2019</v>
      <v>2018</v>
      <v>square km</v>
      <v>per thousand (2018)</v>
      <v>2022</v>
      <v>2019</v>
      <v>2018</v>
      <v>per liter (2016)</v>
      <v>2019</v>
      <v>years (2018)</v>
      <v>2018</v>
      <v>per thousand (2018)</v>
      <v>2019</v>
      <v>2017</v>
      <v>2016</v>
      <v>2019</v>
      <v>2016</v>
      <v>2014</v>
      <v>kilotons per year (2016)</v>
      <v>deaths per 100,000 (2017)</v>
      <v>kWh (2014)</v>
      <v>2014</v>
      <v>1999</v>
      <v>2005</v>
      <v>2005</v>
      <v>2005</v>
      <v>2005</v>
      <v>2005</v>
      <v>2015</v>
      <v>2005</v>
      <v>2005</v>
      <v>2018</v>
      <v>2018</v>
      <v>2019</v>
    </spb>
    <spb s="1">
      <v xml:space="preserve">Wikipedia	</v>
      <v xml:space="preserve">CC BY-SA 3.0	</v>
      <v xml:space="preserve">https://en.wikipedia.org/wiki/Nassau,_The_Bahamas	</v>
      <v xml:space="preserve">https://creativecommons.org/licenses/by-sa/3.0	</v>
    </spb>
    <spb s="21">
      <v>133</v>
      <v>133</v>
      <v>133</v>
      <v>133</v>
      <v>133</v>
      <v>133</v>
      <v>133</v>
      <v>133</v>
    </spb>
    <spb s="3">
      <v>13</v>
      <v>Name</v>
      <v>LearnMoreOnLink</v>
    </spb>
    <spb s="8">
      <v>square km</v>
      <v>2010</v>
    </spb>
    <spb s="1">
      <v xml:space="preserve">Wikipedia	Cia	travel.state.gov	</v>
      <v xml:space="preserve">CC-BY-SA			</v>
      <v xml:space="preserve">http://en.wikipedia.org/wiki/The_Bahamas	https://www.cia.gov/library/publications/the-world-factbook/geos/bf.html?Transportation	https://travel.state.gov/content/travel/en/international-travel/International-Travel-Country-Information-Pages/Bahamas.html	</v>
      <v xml:space="preserve">http://creativecommons.org/licenses/by-sa/3.0/			</v>
    </spb>
    <spb s="1">
      <v xml:space="preserve">Wikipedia	</v>
      <v xml:space="preserve">CC BY-SA 3.0	</v>
      <v xml:space="preserve">https://en.wikipedia.org/wiki/The_Bahamas	</v>
      <v xml:space="preserve">https://creativecommons.org/licenses/by-sa/3.0	</v>
    </spb>
    <spb s="1">
      <v xml:space="preserve">Wikipedia	</v>
      <v xml:space="preserve">CC-BY-SA	</v>
      <v xml:space="preserve">http://en.wikipedia.org/wiki/The_Bahamas	</v>
      <v xml:space="preserve">http://creativecommons.org/licenses/by-sa/3.0/	</v>
    </spb>
    <spb s="1">
      <v xml:space="preserve">Cia	</v>
      <v xml:space="preserve">	</v>
      <v xml:space="preserve">https://www.cia.gov/library/publications/the-world-factbook/geos/bf.html?Transportation	</v>
      <v xml:space="preserve">	</v>
    </spb>
    <spb s="22">
      <v>10</v>
      <v>137</v>
      <v>138</v>
      <v>138</v>
      <v>13</v>
      <v>138</v>
      <v>138</v>
      <v>138</v>
      <v>139</v>
      <v>138</v>
      <v>138</v>
      <v>139</v>
      <v>138</v>
      <v>138</v>
      <v>140</v>
      <v>16</v>
      <v>137</v>
      <v>140</v>
      <v>17</v>
      <v>138</v>
      <v>140</v>
      <v>18</v>
      <v>19</v>
      <v>20</v>
      <v>140</v>
      <v>140</v>
      <v>138</v>
      <v>140</v>
      <v>21</v>
      <v>22</v>
      <v>23</v>
      <v>140</v>
      <v>140</v>
      <v>140</v>
      <v>140</v>
      <v>24</v>
    </spb>
    <spb s="3">
      <v>14</v>
      <v>Name</v>
      <v>LearnMoreOnLink</v>
    </spb>
    <spb s="23">
      <v>2019</v>
      <v>2019</v>
      <v>square km</v>
      <v>per thousand (2018)</v>
      <v>2022</v>
      <v>2019</v>
      <v>2018</v>
      <v>per liter (2016)</v>
      <v>2019</v>
      <v>years (2018)</v>
      <v>2018</v>
      <v>per thousand (2018)</v>
      <v>2019</v>
      <v>2017</v>
      <v>2016</v>
      <v>2019</v>
      <v>2016</v>
      <v>2017</v>
      <v>kilotons per year (2016)</v>
      <v>deaths per 100,000 (2017)</v>
      <v>2007</v>
      <v>2015</v>
      <v>2018</v>
      <v>1995</v>
      <v>2019</v>
    </spb>
    <spb s="1">
      <v xml:space="preserve">Wikipedia	</v>
      <v xml:space="preserve">CC BY-SA 3.0	</v>
      <v xml:space="preserve">https://en.wikipedia.org/wiki/Manama	</v>
      <v xml:space="preserve">https://creativecommons.org/licenses/by-sa/3.0	</v>
    </spb>
    <spb s="11">
      <v>144</v>
      <v>144</v>
      <v>144</v>
      <v>144</v>
      <v>144</v>
      <v>144</v>
      <v>144</v>
      <v>144</v>
      <v>144</v>
    </spb>
    <spb s="1">
      <v xml:space="preserve">Wikipedia	</v>
      <v xml:space="preserve">CC BY-SA 3.0	</v>
      <v xml:space="preserve">https://en.wikipedia.org/wiki/Dhaka	</v>
      <v xml:space="preserve">https://creativecommons.org/licenses/by-sa/3.0	</v>
    </spb>
    <spb s="2">
      <v>146</v>
      <v>146</v>
      <v>146</v>
      <v>146</v>
      <v>146</v>
      <v>146</v>
      <v>146</v>
      <v>146</v>
      <v>146</v>
      <v>146</v>
    </spb>
    <spb s="8">
      <v>square km</v>
      <v>2017</v>
    </spb>
    <spb s="1">
      <v xml:space="preserve">Wikipedia	Cia	travel.state.gov	</v>
      <v xml:space="preserve">CC-BY-SA			</v>
      <v xml:space="preserve">http://en.wikipedia.org/wiki/Bangladesh	https://www.cia.gov/library/publications/the-world-factbook/geos/bg.html?Transportation	https://travel.state.gov/content/travel/en/international-travel/International-Travel-Country-Information-Pages/Bangladesh.html	</v>
      <v xml:space="preserve">http://creativecommons.org/licenses/by-sa/3.0/			</v>
    </spb>
    <spb s="1">
      <v xml:space="preserve">Wikipedia	</v>
      <v xml:space="preserve">CC BY-SA 3.0	</v>
      <v xml:space="preserve">https://en.wikipedia.org/wiki/Bangladesh	</v>
      <v xml:space="preserve">https://creativecommons.org/licenses/by-sa/3.0	</v>
    </spb>
    <spb s="1">
      <v xml:space="preserve">Wikipedia	</v>
      <v xml:space="preserve">CC-BY-SA	</v>
      <v xml:space="preserve">http://en.wikipedia.org/wiki/Bangladesh	</v>
      <v xml:space="preserve">http://creativecommons.org/licenses/by-sa/3.0/	</v>
    </spb>
    <spb s="1">
      <v xml:space="preserve">Cia	</v>
      <v xml:space="preserve">	</v>
      <v xml:space="preserve">https://www.cia.gov/library/publications/the-world-factbook/geos/bg.html?Transportation	</v>
      <v xml:space="preserve">	</v>
    </spb>
    <spb s="14">
      <v>10</v>
      <v>149</v>
      <v>150</v>
      <v>150</v>
      <v>13</v>
      <v>150</v>
      <v>150</v>
      <v>150</v>
      <v>151</v>
      <v>150</v>
      <v>150</v>
      <v>151</v>
      <v>150</v>
      <v>150</v>
      <v>152</v>
      <v>16</v>
      <v>149</v>
      <v>152</v>
      <v>17</v>
      <v>150</v>
      <v>152</v>
      <v>18</v>
      <v>19</v>
      <v>20</v>
      <v>152</v>
      <v>152</v>
      <v>150</v>
      <v>152</v>
      <v>21</v>
      <v>22</v>
      <v>23</v>
      <v>44</v>
      <v>152</v>
      <v>149</v>
      <v>152</v>
      <v>152</v>
      <v>152</v>
      <v>152</v>
      <v>152</v>
      <v>152</v>
      <v>152</v>
      <v>152</v>
      <v>152</v>
      <v>152</v>
      <v>24</v>
    </spb>
    <spb s="15">
      <v>2019</v>
      <v>2019</v>
      <v>square km</v>
      <v>per thousand (2018)</v>
      <v>2022</v>
      <v>2019</v>
      <v>2018</v>
      <v>per liter (2016)</v>
      <v>2019</v>
      <v>years (2018)</v>
      <v>2016</v>
      <v>per thousand (2018)</v>
      <v>2019</v>
      <v>2017</v>
      <v>2016</v>
      <v>2019</v>
      <v>2016</v>
      <v>2018</v>
      <v>kilotons per year (2016)</v>
      <v>deaths per 100,000 (2017)</v>
      <v>kWh (2014)</v>
      <v>2014</v>
      <v>2018</v>
      <v>2016</v>
      <v>2016</v>
      <v>2016</v>
      <v>2016</v>
      <v>2016</v>
      <v>2015</v>
      <v>2016</v>
      <v>2016</v>
      <v>2018</v>
      <v>2018</v>
      <v>2019</v>
    </spb>
    <spb s="1">
      <v xml:space="preserve">Wikipedia	</v>
      <v xml:space="preserve">CC-BY-SA	</v>
      <v xml:space="preserve">http://en.wikipedia.org/wiki/Bridgetown	</v>
      <v xml:space="preserve">http://creativecommons.org/licenses/by-sa/3.0/	</v>
    </spb>
    <spb s="1">
      <v xml:space="preserve">Wikipedia	</v>
      <v xml:space="preserve">CC BY-SA 3.0	</v>
      <v xml:space="preserve">https://en.wikipedia.org/wiki/Bridgetown	</v>
      <v xml:space="preserve">https://creativecommons.org/licenses/by-sa/3.0	</v>
    </spb>
    <spb s="11">
      <v>155</v>
      <v>156</v>
      <v>156</v>
      <v>156</v>
      <v>156</v>
      <v>156</v>
      <v>156</v>
      <v>156</v>
      <v>156</v>
    </spb>
    <spb s="8">
      <v>square km</v>
      <v>2014</v>
    </spb>
    <spb s="1">
      <v xml:space="preserve">Wikipedia	Cia	travel.state.gov	</v>
      <v xml:space="preserve">CC-BY-SA			</v>
      <v xml:space="preserve">http://en.wikipedia.org/wiki/Barbados	https://www.cia.gov/library/publications/the-world-factbook/geos/bb.html?Transportation	https://travel.state.gov/content/travel/en/international-travel/International-Travel-Country-Information-Pages/Barbados.html	</v>
      <v xml:space="preserve">http://creativecommons.org/licenses/by-sa/3.0/			</v>
    </spb>
    <spb s="1">
      <v xml:space="preserve">Wikipedia	</v>
      <v xml:space="preserve">CC BY-SA 3.0	</v>
      <v xml:space="preserve">https://en.wikipedia.org/wiki/Barbados	</v>
      <v xml:space="preserve">https://creativecommons.org/licenses/by-sa/3.0	</v>
    </spb>
    <spb s="1">
      <v xml:space="preserve">Wikipedia	</v>
      <v xml:space="preserve">CC-BY-SA	</v>
      <v xml:space="preserve">http://en.wikipedia.org/wiki/Barbados	</v>
      <v xml:space="preserve">http://creativecommons.org/licenses/by-sa/3.0/	</v>
    </spb>
    <spb s="1">
      <v xml:space="preserve">Cia	</v>
      <v xml:space="preserve">	</v>
      <v xml:space="preserve">https://www.cia.gov/library/publications/the-world-factbook/geos/bb.html?Transportation	</v>
      <v xml:space="preserve">	</v>
    </spb>
    <spb s="24">
      <v>10</v>
      <v>159</v>
      <v>160</v>
      <v>160</v>
      <v>13</v>
      <v>160</v>
      <v>160</v>
      <v>160</v>
      <v>161</v>
      <v>160</v>
      <v>160</v>
      <v>161</v>
      <v>160</v>
      <v>160</v>
      <v>162</v>
      <v>16</v>
      <v>159</v>
      <v>162</v>
      <v>17</v>
      <v>160</v>
      <v>162</v>
      <v>18</v>
      <v>19</v>
      <v>20</v>
      <v>162</v>
      <v>162</v>
      <v>160</v>
      <v>162</v>
      <v>21</v>
      <v>22</v>
      <v>23</v>
      <v>162</v>
      <v>159</v>
      <v>162</v>
      <v>162</v>
      <v>162</v>
      <v>24</v>
    </spb>
    <spb s="3">
      <v>15</v>
      <v>Name</v>
      <v>LearnMoreOnLink</v>
    </spb>
    <spb s="25">
      <v>2019</v>
      <v>2019</v>
      <v>square km</v>
      <v>per thousand (2018)</v>
      <v>2022</v>
      <v>2019</v>
      <v>2018</v>
      <v>per liter (2014)</v>
      <v>2019</v>
      <v>years (2018)</v>
      <v>2016</v>
      <v>per thousand (2018)</v>
      <v>2019</v>
      <v>2017</v>
      <v>2016</v>
      <v>2019</v>
      <v>2016</v>
      <v>2017</v>
      <v>kilotons per year (2016)</v>
      <v>deaths per 100,000 (2017)</v>
      <v>2007</v>
      <v>2019</v>
      <v>2015</v>
      <v>2018</v>
      <v>2011</v>
      <v>2019</v>
    </spb>
    <spb s="1">
      <v xml:space="preserve">Wikipedia	</v>
      <v xml:space="preserve">CC BY-SA 3.0	</v>
      <v xml:space="preserve">https://en.wikipedia.org/wiki/Minsk	</v>
      <v xml:space="preserve">https://creativecommons.org/licenses/by-sa/3.0	</v>
    </spb>
    <spb s="1">
      <v xml:space="preserve">Wikipedia	</v>
      <v xml:space="preserve">CC-BY-SA	</v>
      <v xml:space="preserve">http://en.wikipedia.org/wiki/Minsk	</v>
      <v xml:space="preserve">http://creativecommons.org/licenses/by-sa/3.0/	</v>
    </spb>
    <spb s="16">
      <v>166</v>
      <v>166</v>
      <v>166</v>
      <v>166</v>
      <v>166</v>
      <v>167</v>
      <v>166</v>
    </spb>
    <spb s="8">
      <v>square km</v>
      <v>2024</v>
    </spb>
    <spb s="1">
      <v xml:space="preserve">Wikipedia	Cia	travel.state.gov	</v>
      <v xml:space="preserve">CC-BY-SA			</v>
      <v xml:space="preserve">http://en.wikipedia.org/wiki/Belarus	https://www.cia.gov/library/publications/the-world-factbook/geos/bo.html?Transportation	https://travel.state.gov/content/travel/en/international-travel/International-Travel-Country-Information-Pages/Belarus.html	</v>
      <v xml:space="preserve">http://creativecommons.org/licenses/by-sa/3.0/			</v>
    </spb>
    <spb s="1">
      <v xml:space="preserve">Wikipedia	</v>
      <v xml:space="preserve">CC BY-SA 3.0	</v>
      <v xml:space="preserve">https://en.wikipedia.org/wiki/Belarus	</v>
      <v xml:space="preserve">https://creativecommons.org/licenses/by-sa/3.0	</v>
    </spb>
    <spb s="1">
      <v xml:space="preserve">Wikipedia	</v>
      <v xml:space="preserve">CC-BY-SA	</v>
      <v xml:space="preserve">http://en.wikipedia.org/wiki/Belarus	</v>
      <v xml:space="preserve">http://creativecommons.org/licenses/by-sa/3.0/	</v>
    </spb>
    <spb s="1">
      <v xml:space="preserve">Cia	</v>
      <v xml:space="preserve">	</v>
      <v xml:space="preserve">https://www.cia.gov/library/publications/the-world-factbook/geos/bo.html?Transportation	</v>
      <v xml:space="preserve">	</v>
    </spb>
    <spb s="26">
      <v>170</v>
      <v>171</v>
      <v>171</v>
      <v>13</v>
      <v>171</v>
      <v>171</v>
      <v>171</v>
      <v>172</v>
      <v>171</v>
      <v>171</v>
      <v>172</v>
      <v>171</v>
      <v>171</v>
      <v>173</v>
      <v>16</v>
      <v>170</v>
      <v>173</v>
      <v>17</v>
      <v>171</v>
      <v>173</v>
      <v>18</v>
      <v>19</v>
      <v>20</v>
      <v>173</v>
      <v>173</v>
      <v>171</v>
      <v>173</v>
      <v>21</v>
      <v>22</v>
      <v>23</v>
      <v>44</v>
      <v>173</v>
      <v>170</v>
      <v>173</v>
      <v>173</v>
      <v>173</v>
      <v>173</v>
      <v>173</v>
      <v>173</v>
      <v>173</v>
      <v>173</v>
      <v>173</v>
      <v>173</v>
      <v>24</v>
    </spb>
    <spb s="3">
      <v>16</v>
      <v>Name</v>
      <v>LearnMoreOnLink</v>
    </spb>
    <spb s="27">
      <v>2019</v>
      <v>square km</v>
      <v>per thousand (2018)</v>
      <v>2022</v>
      <v>2019</v>
      <v>2018</v>
      <v>per liter (2016)</v>
      <v>2019</v>
      <v>years (2018)</v>
      <v>2018</v>
      <v>per thousand (2018)</v>
      <v>2019</v>
      <v>2017</v>
      <v>2016</v>
      <v>2019</v>
      <v>2016</v>
      <v>2015</v>
      <v>kilotons per year (2016)</v>
      <v>deaths per 100,000 (2017)</v>
      <v>kWh (2014)</v>
      <v>2014</v>
      <v>2019</v>
      <v>2018</v>
      <v>2018</v>
      <v>2018</v>
      <v>2018</v>
      <v>2018</v>
      <v>2015</v>
      <v>2018</v>
      <v>2018</v>
      <v>2018</v>
      <v>2018</v>
      <v>2019</v>
    </spb>
    <spb s="1">
      <v xml:space="preserve">Wikipedia	</v>
      <v xml:space="preserve">CC BY-SA 3.0	</v>
      <v xml:space="preserve">https://en.wikipedia.org/wiki/City_of_Brussels	</v>
      <v xml:space="preserve">https://creativecommons.org/licenses/by-sa/3.0	</v>
    </spb>
    <spb s="2">
      <v>177</v>
      <v>177</v>
      <v>177</v>
      <v>177</v>
      <v>177</v>
      <v>177</v>
      <v>177</v>
      <v>177</v>
      <v>177</v>
      <v>177</v>
    </spb>
    <spb s="3">
      <v>17</v>
      <v>Name</v>
      <v>LearnMoreOnLink</v>
    </spb>
    <spb s="1">
      <v xml:space="preserve">Wikipedia	Cia	travel.state.gov	</v>
      <v xml:space="preserve">CC-BY-SA			</v>
      <v xml:space="preserve">http://en.wikipedia.org/wiki/Belgium	https://www.cia.gov/library/publications/the-world-factbook/geos/be.html?Transportation	https://travel.state.gov/content/travel/en/international-travel/International-Travel-Country-Information-Pages/Belgium.html	</v>
      <v xml:space="preserve">http://creativecommons.org/licenses/by-sa/3.0/			</v>
    </spb>
    <spb s="1">
      <v xml:space="preserve">Wikipedia	</v>
      <v xml:space="preserve">CC BY-SA 3.0	</v>
      <v xml:space="preserve">https://en.wikipedia.org/wiki/Belgium	</v>
      <v xml:space="preserve">https://creativecommons.org/licenses/by-sa/3.0	</v>
    </spb>
    <spb s="1">
      <v xml:space="preserve">Wikipedia	</v>
      <v xml:space="preserve">CC-BY-SA	</v>
      <v xml:space="preserve">http://en.wikipedia.org/wiki/Belgium	</v>
      <v xml:space="preserve">http://creativecommons.org/licenses/by-sa/3.0/	</v>
    </spb>
    <spb s="1">
      <v xml:space="preserve">Cia	</v>
      <v xml:space="preserve">	</v>
      <v xml:space="preserve">https://www.cia.gov/library/publications/the-world-factbook/geos/be.html?Transportation	</v>
      <v xml:space="preserve">	</v>
    </spb>
    <spb s="14">
      <v>10</v>
      <v>180</v>
      <v>181</v>
      <v>181</v>
      <v>13</v>
      <v>181</v>
      <v>181</v>
      <v>181</v>
      <v>182</v>
      <v>181</v>
      <v>181</v>
      <v>182</v>
      <v>181</v>
      <v>181</v>
      <v>183</v>
      <v>16</v>
      <v>180</v>
      <v>183</v>
      <v>17</v>
      <v>181</v>
      <v>183</v>
      <v>18</v>
      <v>19</v>
      <v>20</v>
      <v>183</v>
      <v>183</v>
      <v>181</v>
      <v>183</v>
      <v>21</v>
      <v>22</v>
      <v>23</v>
      <v>44</v>
      <v>183</v>
      <v>180</v>
      <v>183</v>
      <v>183</v>
      <v>183</v>
      <v>183</v>
      <v>183</v>
      <v>183</v>
      <v>183</v>
      <v>183</v>
      <v>183</v>
      <v>183</v>
      <v>24</v>
    </spb>
    <spb s="15">
      <v>2019</v>
      <v>2019</v>
      <v>square km</v>
      <v>per thousand (2018)</v>
      <v>2022</v>
      <v>2019</v>
      <v>2018</v>
      <v>per liter (2016)</v>
      <v>2019</v>
      <v>years (2018)</v>
      <v>2018</v>
      <v>per thousand (2018)</v>
      <v>2019</v>
      <v>2017</v>
      <v>2016</v>
      <v>2019</v>
      <v>2016</v>
      <v>2017</v>
      <v>kilotons per year (2016)</v>
      <v>deaths per 100,000 (2017)</v>
      <v>kWh (2014)</v>
      <v>2015</v>
      <v>2018</v>
      <v>2017</v>
      <v>2017</v>
      <v>2017</v>
      <v>2017</v>
      <v>2017</v>
      <v>2015</v>
      <v>2017</v>
      <v>2017</v>
      <v>2017</v>
      <v>2017</v>
      <v>2019</v>
    </spb>
    <spb s="1">
      <v xml:space="preserve">Wikipedia	Wikipedia	</v>
      <v xml:space="preserve">CC-BY-SA	CC-BY-SA	</v>
      <v xml:space="preserve">http://en.wikipedia.org/wiki/Belmopan	http://fr.wikipedia.org/wiki/Belmopan	</v>
      <v xml:space="preserve">http://creativecommons.org/licenses/by-sa/3.0/	http://creativecommons.org/licenses/by-sa/3.0/	</v>
    </spb>
    <spb s="1">
      <v xml:space="preserve">Wikipedia	</v>
      <v xml:space="preserve">CC BY-SA 3.0	</v>
      <v xml:space="preserve">https://en.wikipedia.org/wiki/Belmopan	</v>
      <v xml:space="preserve">https://creativecommons.org/licenses/by-sa/3.0	</v>
    </spb>
    <spb s="11">
      <v>186</v>
      <v>187</v>
      <v>187</v>
      <v>187</v>
      <v>187</v>
      <v>187</v>
      <v>187</v>
      <v>187</v>
      <v>187</v>
    </spb>
    <spb s="3">
      <v>18</v>
      <v>Name</v>
      <v>LearnMoreOnLink</v>
    </spb>
    <spb s="8">
      <v>square km</v>
      <v>2013</v>
    </spb>
    <spb s="1">
      <v xml:space="preserve">Wikipedia	Cia	travel.state.gov	</v>
      <v xml:space="preserve">CC-BY-SA			</v>
      <v xml:space="preserve">http://en.wikipedia.org/wiki/Belize	https://www.cia.gov/library/publications/the-world-factbook/geos/bh.html?Transportation	https://travel.state.gov/content/travel/en/international-travel/International-Travel-Country-Information-Pages/Belize.html	</v>
      <v xml:space="preserve">http://creativecommons.org/licenses/by-sa/3.0/			</v>
    </spb>
    <spb s="1">
      <v xml:space="preserve">Wikipedia	</v>
      <v xml:space="preserve">CC BY-SA 3.0	</v>
      <v xml:space="preserve">https://en.wikipedia.org/wiki/Belize	</v>
      <v xml:space="preserve">https://creativecommons.org/licenses/by-sa/3.0	</v>
    </spb>
    <spb s="1">
      <v xml:space="preserve">Wikipedia	</v>
      <v xml:space="preserve">CC-BY-SA	</v>
      <v xml:space="preserve">http://en.wikipedia.org/wiki/Belize	</v>
      <v xml:space="preserve">http://creativecommons.org/licenses/by-sa/3.0/	</v>
    </spb>
    <spb s="1">
      <v xml:space="preserve">Cia	</v>
      <v xml:space="preserve">	</v>
      <v xml:space="preserve">https://www.cia.gov/library/publications/the-world-factbook/geos/bh.html?Transportation	</v>
      <v xml:space="preserve">	</v>
    </spb>
    <spb s="28">
      <v>10</v>
      <v>191</v>
      <v>192</v>
      <v>192</v>
      <v>13</v>
      <v>192</v>
      <v>192</v>
      <v>192</v>
      <v>193</v>
      <v>192</v>
      <v>192</v>
      <v>193</v>
      <v>192</v>
      <v>192</v>
      <v>194</v>
      <v>16</v>
      <v>191</v>
      <v>194</v>
      <v>17</v>
      <v>192</v>
      <v>194</v>
      <v>18</v>
      <v>19</v>
      <v>20</v>
      <v>194</v>
      <v>194</v>
      <v>192</v>
      <v>194</v>
      <v>21</v>
      <v>22</v>
      <v>23</v>
      <v>194</v>
      <v>194</v>
      <v>194</v>
      <v>194</v>
      <v>194</v>
      <v>194</v>
      <v>194</v>
      <v>194</v>
      <v>194</v>
      <v>194</v>
      <v>194</v>
      <v>24</v>
    </spb>
    <spb s="3">
      <v>19</v>
      <v>Name</v>
      <v>LearnMoreOnLink</v>
    </spb>
    <spb s="29">
      <v>2017</v>
      <v>2019</v>
      <v>square km</v>
      <v>per thousand (2018)</v>
      <v>2022</v>
      <v>2015</v>
      <v>2018</v>
      <v>per liter (2016)</v>
      <v>2019</v>
      <v>years (2018)</v>
      <v>2017</v>
      <v>per thousand (2018)</v>
      <v>2019</v>
      <v>2017</v>
      <v>2016</v>
      <v>2019</v>
      <v>2016</v>
      <v>2017</v>
      <v>kilotons per year (2016)</v>
      <v>deaths per 100,000 (2017)</v>
      <v>2007</v>
      <v>1999</v>
      <v>1999</v>
      <v>1999</v>
      <v>1999</v>
      <v>1999</v>
      <v>2015</v>
      <v>1999</v>
      <v>1999</v>
      <v>2018</v>
      <v>2017</v>
      <v>2019</v>
    </spb>
    <spb s="1">
      <v xml:space="preserve">Wikipedia	</v>
      <v xml:space="preserve">CC BY-SA 3.0	</v>
      <v xml:space="preserve">https://en.wikipedia.org/wiki/Porto-Novo	</v>
      <v xml:space="preserve">https://creativecommons.org/licenses/by-sa/3.0	</v>
    </spb>
    <spb s="2">
      <v>198</v>
      <v>198</v>
      <v>198</v>
      <v>198</v>
      <v>198</v>
      <v>198</v>
      <v>198</v>
      <v>198</v>
      <v>198</v>
      <v>198</v>
    </spb>
    <spb s="1">
      <v xml:space="preserve">Wikipedia	Cia	travel.state.gov	</v>
      <v xml:space="preserve">CC-BY-SA			</v>
      <v xml:space="preserve">http://en.wikipedia.org/wiki/Benin	https://www.cia.gov/library/publications/the-world-factbook/geos/bn.html?Transportation	https://travel.state.gov/content/travel/en/international-travel/International-Travel-Country-Information-Pages/Benin.html	</v>
      <v xml:space="preserve">http://creativecommons.org/licenses/by-sa/3.0/			</v>
    </spb>
    <spb s="1">
      <v xml:space="preserve">Wikipedia	</v>
      <v xml:space="preserve">CC BY-SA 3.0	</v>
      <v xml:space="preserve">https://en.wikipedia.org/wiki/Benin	</v>
      <v xml:space="preserve">https://creativecommons.org/licenses/by-sa/3.0	</v>
    </spb>
    <spb s="1">
      <v xml:space="preserve">Wikipedia	</v>
      <v xml:space="preserve">CC-BY-SA	</v>
      <v xml:space="preserve">http://en.wikipedia.org/wiki/Benin	</v>
      <v xml:space="preserve">http://creativecommons.org/licenses/by-sa/3.0/	</v>
    </spb>
    <spb s="1">
      <v xml:space="preserve">Cia	</v>
      <v xml:space="preserve">	</v>
      <v xml:space="preserve">https://www.cia.gov/library/publications/the-world-factbook/geos/bn.html?Transportation	</v>
      <v xml:space="preserve">	</v>
    </spb>
    <spb s="12">
      <v>10</v>
      <v>200</v>
      <v>201</v>
      <v>201</v>
      <v>13</v>
      <v>201</v>
      <v>201</v>
      <v>201</v>
      <v>202</v>
      <v>201</v>
      <v>201</v>
      <v>202</v>
      <v>201</v>
      <v>201</v>
      <v>203</v>
      <v>16</v>
      <v>200</v>
      <v>203</v>
      <v>17</v>
      <v>201</v>
      <v>203</v>
      <v>18</v>
      <v>19</v>
      <v>20</v>
      <v>203</v>
      <v>203</v>
      <v>201</v>
      <v>203</v>
      <v>21</v>
      <v>22</v>
      <v>23</v>
      <v>44</v>
      <v>203</v>
      <v>203</v>
      <v>203</v>
      <v>203</v>
      <v>203</v>
      <v>203</v>
      <v>203</v>
      <v>203</v>
      <v>203</v>
      <v>203</v>
      <v>203</v>
      <v>24</v>
    </spb>
    <spb s="13">
      <v>2019</v>
      <v>2019</v>
      <v>square km</v>
      <v>per thousand (2018)</v>
      <v>2022</v>
      <v>2019</v>
      <v>2018</v>
      <v>per liter (2016)</v>
      <v>2019</v>
      <v>years (2018)</v>
      <v>1979</v>
      <v>per thousand (2018)</v>
      <v>2019</v>
      <v>2017</v>
      <v>2016</v>
      <v>2019</v>
      <v>2016</v>
      <v>2018</v>
      <v>kilotons per year (2016)</v>
      <v>deaths per 100,000 (2017)</v>
      <v>kWh (2014)</v>
      <v>2014</v>
      <v>2015</v>
      <v>2015</v>
      <v>2015</v>
      <v>2015</v>
      <v>2015</v>
      <v>2015</v>
      <v>2015</v>
      <v>2015</v>
      <v>2018</v>
      <v>2017</v>
      <v>2019</v>
    </spb>
    <spb s="1">
      <v xml:space="preserve">Wikipedia	</v>
      <v xml:space="preserve">CC BY-SA 3.0	</v>
      <v xml:space="preserve">https://en.wikipedia.org/wiki/Thimphu	</v>
      <v xml:space="preserve">https://creativecommons.org/licenses/by-sa/3.0	</v>
    </spb>
    <spb s="11">
      <v>206</v>
      <v>206</v>
      <v>206</v>
      <v>206</v>
      <v>206</v>
      <v>206</v>
      <v>206</v>
      <v>206</v>
      <v>206</v>
    </spb>
    <spb s="1">
      <v xml:space="preserve">Wikipedia	Cia	travel.state.gov	</v>
      <v xml:space="preserve">CC-BY-SA			</v>
      <v xml:space="preserve">http://en.wikipedia.org/wiki/Bhutan	https://www.cia.gov/library/publications/the-world-factbook/geos/bt.html?Transportation	https://travel.state.gov/content/travel/en/international-travel/International-Travel-Country-Information-Pages/Bhutan.html	</v>
      <v xml:space="preserve">http://creativecommons.org/licenses/by-sa/3.0/			</v>
    </spb>
    <spb s="1">
      <v xml:space="preserve">Wikipedia	</v>
      <v xml:space="preserve">CC BY-SA 3.0	</v>
      <v xml:space="preserve">https://en.wikipedia.org/wiki/Bhutan	</v>
      <v xml:space="preserve">https://creativecommons.org/licenses/by-sa/3.0	</v>
    </spb>
    <spb s="1">
      <v xml:space="preserve">Wikipedia	</v>
      <v xml:space="preserve">CC-BY-SA	</v>
      <v xml:space="preserve">http://en.wikipedia.org/wiki/Bhutan	</v>
      <v xml:space="preserve">http://creativecommons.org/licenses/by-sa/3.0/	</v>
    </spb>
    <spb s="1">
      <v xml:space="preserve">Cia	</v>
      <v xml:space="preserve">	</v>
      <v xml:space="preserve">https://www.cia.gov/library/publications/the-world-factbook/geos/bt.html?Transportation	</v>
      <v xml:space="preserve">	</v>
    </spb>
    <spb s="28">
      <v>10</v>
      <v>208</v>
      <v>209</v>
      <v>209</v>
      <v>13</v>
      <v>209</v>
      <v>209</v>
      <v>209</v>
      <v>210</v>
      <v>209</v>
      <v>209</v>
      <v>210</v>
      <v>209</v>
      <v>209</v>
      <v>211</v>
      <v>16</v>
      <v>208</v>
      <v>211</v>
      <v>17</v>
      <v>209</v>
      <v>211</v>
      <v>18</v>
      <v>19</v>
      <v>20</v>
      <v>211</v>
      <v>211</v>
      <v>209</v>
      <v>211</v>
      <v>21</v>
      <v>22</v>
      <v>23</v>
      <v>211</v>
      <v>211</v>
      <v>211</v>
      <v>211</v>
      <v>211</v>
      <v>211</v>
      <v>211</v>
      <v>211</v>
      <v>211</v>
      <v>211</v>
      <v>211</v>
      <v>24</v>
    </spb>
    <spb s="29">
      <v>2019</v>
      <v>2018</v>
      <v>square km</v>
      <v>per thousand (2018)</v>
      <v>2022</v>
      <v>2019</v>
      <v>2018</v>
      <v>per liter (2016)</v>
      <v>2019</v>
      <v>years (2018)</v>
      <v>2018</v>
      <v>per thousand (2018)</v>
      <v>2019</v>
      <v>2000</v>
      <v>2016</v>
      <v>2019</v>
      <v>2016</v>
      <v>2018</v>
      <v>kilotons per year (2016)</v>
      <v>deaths per 100,000 (2017)</v>
      <v>2007</v>
      <v>2017</v>
      <v>2017</v>
      <v>2017</v>
      <v>2017</v>
      <v>2017</v>
      <v>2015</v>
      <v>2017</v>
      <v>2017</v>
      <v>2018</v>
      <v>2018</v>
      <v>2019</v>
    </spb>
    <spb s="1">
      <v xml:space="preserve">Wikipedia	</v>
      <v xml:space="preserve">CC BY-SA 3.0	</v>
      <v xml:space="preserve">https://en.wikipedia.org/wiki/Sucre	</v>
      <v xml:space="preserve">https://creativecommons.org/licenses/by-sa/3.0	</v>
    </spb>
    <spb s="11">
      <v>214</v>
      <v>214</v>
      <v>214</v>
      <v>214</v>
      <v>214</v>
      <v>214</v>
      <v>214</v>
      <v>214</v>
      <v>214</v>
    </spb>
    <spb s="8">
      <v>square km</v>
      <v>2021</v>
    </spb>
    <spb s="1">
      <v xml:space="preserve">Wikipedia	Cia	travel.state.gov	</v>
      <v xml:space="preserve">CC-BY-SA			</v>
      <v xml:space="preserve">http://en.wikipedia.org/wiki/Bolivia	https://www.cia.gov/library/publications/the-world-factbook/geos/bl.html?Transportation	https://travel.state.gov/content/travel/en/international-travel/International-Travel-Country-Information-Pages/Bolivia.html	</v>
      <v xml:space="preserve">http://creativecommons.org/licenses/by-sa/3.0/			</v>
    </spb>
    <spb s="1">
      <v xml:space="preserve">Wikipedia	</v>
      <v xml:space="preserve">CC BY-SA 3.0	</v>
      <v xml:space="preserve">https://en.wikipedia.org/wiki/Bolivia	</v>
      <v xml:space="preserve">https://creativecommons.org/licenses/by-sa/3.0	</v>
    </spb>
    <spb s="1">
      <v xml:space="preserve">Wikipedia	</v>
      <v xml:space="preserve">CC-BY-SA	</v>
      <v xml:space="preserve">http://en.wikipedia.org/wiki/Bolivia	</v>
      <v xml:space="preserve">http://creativecommons.org/licenses/by-sa/3.0/	</v>
    </spb>
    <spb s="1">
      <v xml:space="preserve">Cia	</v>
      <v xml:space="preserve">	</v>
      <v xml:space="preserve">https://www.cia.gov/library/publications/the-world-factbook/geos/bl.html?Transportation	</v>
      <v xml:space="preserve">	</v>
    </spb>
    <spb s="30">
      <v>10</v>
      <v>217</v>
      <v>218</v>
      <v>218</v>
      <v>13</v>
      <v>218</v>
      <v>218</v>
      <v>218</v>
      <v>219</v>
      <v>218</v>
      <v>218</v>
      <v>219</v>
      <v>218</v>
      <v>218</v>
      <v>220</v>
      <v>16</v>
      <v>217</v>
      <v>220</v>
      <v>17</v>
      <v>218</v>
      <v>220</v>
      <v>18</v>
      <v>19</v>
      <v>20</v>
      <v>220</v>
      <v>220</v>
      <v>218</v>
      <v>220</v>
      <v>21</v>
      <v>22</v>
      <v>23</v>
      <v>44</v>
      <v>220</v>
      <v>220</v>
      <v>220</v>
      <v>220</v>
      <v>220</v>
      <v>220</v>
      <v>220</v>
      <v>220</v>
      <v>220</v>
      <v>220</v>
      <v>24</v>
    </spb>
    <spb s="3">
      <v>20</v>
      <v>Name</v>
      <v>LearnMoreOnLink</v>
    </spb>
    <spb s="31">
      <v>2019</v>
      <v>2019</v>
      <v>square km</v>
      <v>per thousand (2018)</v>
      <v>2022</v>
      <v>2019</v>
      <v>2018</v>
      <v>per liter (2016)</v>
      <v>2019</v>
      <v>years (2018)</v>
      <v>2007</v>
      <v>per thousand (2018)</v>
      <v>2019</v>
      <v>2017</v>
      <v>2016</v>
      <v>2019</v>
      <v>2016</v>
      <v>2016</v>
      <v>kilotons per year (2016)</v>
      <v>deaths per 100,000 (2017)</v>
      <v>kWh (2014)</v>
      <v>2014</v>
      <v>2018</v>
      <v>2018</v>
      <v>2018</v>
      <v>2018</v>
      <v>2018</v>
      <v>2015</v>
      <v>2018</v>
      <v>2018</v>
      <v>2018</v>
      <v>2019</v>
    </spb>
    <spb s="1">
      <v xml:space="preserve">Wikipedia	</v>
      <v xml:space="preserve">CC BY-SA 3.0	</v>
      <v xml:space="preserve">https://en.wikipedia.org/wiki/Sarajevo	</v>
      <v xml:space="preserve">https://creativecommons.org/licenses/by-sa/3.0	</v>
    </spb>
    <spb s="11">
      <v>224</v>
      <v>224</v>
      <v>224</v>
      <v>224</v>
      <v>224</v>
      <v>224</v>
      <v>224</v>
      <v>224</v>
      <v>224</v>
    </spb>
    <spb s="1">
      <v xml:space="preserve">Wikipedia	Cia	travel.state.gov	</v>
      <v xml:space="preserve">CC-BY-SA			</v>
      <v xml:space="preserve">http://en.wikipedia.org/wiki/Bosnia_and_Herzegovina	https://www.cia.gov/library/publications/the-world-factbook/geos/bk.html?Transportation	https://travel.state.gov/content/travel/en/international-travel/International-Travel-Country-Information-Pages/BosniaandHerzegovina.html	</v>
      <v xml:space="preserve">http://creativecommons.org/licenses/by-sa/3.0/			</v>
    </spb>
    <spb s="1">
      <v xml:space="preserve">Wikipedia	</v>
      <v xml:space="preserve">CC BY-SA 3.0	</v>
      <v xml:space="preserve">https://en.wikipedia.org/wiki/Bosnia_and_Herzegovina	</v>
      <v xml:space="preserve">https://creativecommons.org/licenses/by-sa/3.0	</v>
    </spb>
    <spb s="1">
      <v xml:space="preserve">Wikipedia	</v>
      <v xml:space="preserve">CC-BY-SA	</v>
      <v xml:space="preserve">http://en.wikipedia.org/wiki/Bosnia_and_Herzegovina	</v>
      <v xml:space="preserve">http://creativecommons.org/licenses/by-sa/3.0/	</v>
    </spb>
    <spb s="1">
      <v xml:space="preserve">Cia	</v>
      <v xml:space="preserve">	</v>
      <v xml:space="preserve">https://www.cia.gov/library/publications/the-world-factbook/geos/bk.html?Transportation	</v>
      <v xml:space="preserve">	</v>
    </spb>
    <spb s="32">
      <v>10</v>
      <v>226</v>
      <v>227</v>
      <v>227</v>
      <v>13</v>
      <v>227</v>
      <v>227</v>
      <v>227</v>
      <v>228</v>
      <v>227</v>
      <v>227</v>
      <v>228</v>
      <v>227</v>
      <v>227</v>
      <v>229</v>
      <v>16</v>
      <v>226</v>
      <v>229</v>
      <v>17</v>
      <v>227</v>
      <v>229</v>
      <v>18</v>
      <v>19</v>
      <v>20</v>
      <v>229</v>
      <v>229</v>
      <v>227</v>
      <v>229</v>
      <v>21</v>
      <v>22</v>
      <v>23</v>
      <v>44</v>
      <v>229</v>
      <v>229</v>
      <v>229</v>
      <v>229</v>
      <v>229</v>
      <v>229</v>
      <v>229</v>
      <v>229</v>
      <v>229</v>
      <v>229</v>
      <v>24</v>
    </spb>
    <spb s="3">
      <v>21</v>
      <v>Name</v>
      <v>LearnMoreOnLink</v>
    </spb>
    <spb s="33">
      <v>2019</v>
      <v>2019</v>
      <v>square km</v>
      <v>per thousand (2018)</v>
      <v>2022</v>
      <v>2019</v>
      <v>2018</v>
      <v>per liter (2016)</v>
      <v>2019</v>
      <v>years (2018)</v>
      <v>2018</v>
      <v>per thousand (2018)</v>
      <v>2019</v>
      <v>2017</v>
      <v>2016</v>
      <v>2019</v>
      <v>2016</v>
      <v>2015</v>
      <v>kilotons per year (2016)</v>
      <v>deaths per 100,000 (2017)</v>
      <v>kWh (2014)</v>
      <v>2014</v>
      <v>2011</v>
      <v>2011</v>
      <v>2011</v>
      <v>2011</v>
      <v>2011</v>
      <v>2015</v>
      <v>2011</v>
      <v>2011</v>
      <v>2002</v>
      <v>2019</v>
    </spb>
    <spb s="1">
      <v xml:space="preserve">Wikipedia	</v>
      <v xml:space="preserve">CC BY-SA 3.0	</v>
      <v xml:space="preserve">https://en.wikipedia.org/wiki/Gaborone	</v>
      <v xml:space="preserve">https://creativecommons.org/licenses/by-sa/3.0	</v>
    </spb>
    <spb s="1">
      <v xml:space="preserve">Wikipedia	</v>
      <v xml:space="preserve">CC-BY-SA	</v>
      <v xml:space="preserve">http://en.wikipedia.org/wiki/Gaborone	</v>
      <v xml:space="preserve">http://creativecommons.org/licenses/by-sa/3.0/	</v>
    </spb>
    <spb s="16">
      <v>233</v>
      <v>233</v>
      <v>233</v>
      <v>233</v>
      <v>233</v>
      <v>234</v>
      <v>233</v>
    </spb>
    <spb s="1">
      <v xml:space="preserve">Wikipedia	Cia	travel.state.gov	</v>
      <v xml:space="preserve">CC-BY-SA			</v>
      <v xml:space="preserve">http://en.wikipedia.org/wiki/Botswana	https://www.cia.gov/library/publications/the-world-factbook/geos/bc.html?Transportation	https://travel.state.gov/content/travel/en/international-travel/International-Travel-Country-Information-Pages/Botswana.html	</v>
      <v xml:space="preserve">http://creativecommons.org/licenses/by-sa/3.0/			</v>
    </spb>
    <spb s="1">
      <v xml:space="preserve">Wikipedia	</v>
      <v xml:space="preserve">CC BY-SA 3.0	</v>
      <v xml:space="preserve">https://en.wikipedia.org/wiki/Botswana	</v>
      <v xml:space="preserve">https://creativecommons.org/licenses/by-sa/3.0	</v>
    </spb>
    <spb s="1">
      <v xml:space="preserve">Wikipedia	</v>
      <v xml:space="preserve">CC-BY-SA	</v>
      <v xml:space="preserve">http://en.wikipedia.org/wiki/Botswana	</v>
      <v xml:space="preserve">http://creativecommons.org/licenses/by-sa/3.0/	</v>
    </spb>
    <spb s="1">
      <v xml:space="preserve">Cia	</v>
      <v xml:space="preserve">	</v>
      <v xml:space="preserve">https://www.cia.gov/library/publications/the-world-factbook/geos/bc.html?Transportation	</v>
      <v xml:space="preserve">	</v>
    </spb>
    <spb s="14">
      <v>10</v>
      <v>236</v>
      <v>237</v>
      <v>237</v>
      <v>13</v>
      <v>237</v>
      <v>237</v>
      <v>237</v>
      <v>238</v>
      <v>237</v>
      <v>237</v>
      <v>238</v>
      <v>237</v>
      <v>237</v>
      <v>239</v>
      <v>16</v>
      <v>236</v>
      <v>239</v>
      <v>17</v>
      <v>237</v>
      <v>239</v>
      <v>18</v>
      <v>19</v>
      <v>20</v>
      <v>239</v>
      <v>239</v>
      <v>237</v>
      <v>239</v>
      <v>21</v>
      <v>22</v>
      <v>23</v>
      <v>44</v>
      <v>239</v>
      <v>236</v>
      <v>239</v>
      <v>239</v>
      <v>239</v>
      <v>239</v>
      <v>239</v>
      <v>239</v>
      <v>239</v>
      <v>239</v>
      <v>239</v>
      <v>239</v>
      <v>24</v>
    </spb>
    <spb s="15">
      <v>2019</v>
      <v>2019</v>
      <v>square km</v>
      <v>per thousand (2018)</v>
      <v>2022</v>
      <v>2019</v>
      <v>2018</v>
      <v>per liter (2016)</v>
      <v>2019</v>
      <v>years (2018)</v>
      <v>2018</v>
      <v>per thousand (2018)</v>
      <v>2019</v>
      <v>2017</v>
      <v>2016</v>
      <v>2019</v>
      <v>2016</v>
      <v>2016</v>
      <v>kilotons per year (2016)</v>
      <v>deaths per 100,000 (2017)</v>
      <v>kWh (2014)</v>
      <v>2014</v>
      <v>2000</v>
      <v>2015</v>
      <v>2015</v>
      <v>2015</v>
      <v>2015</v>
      <v>2015</v>
      <v>2015</v>
      <v>2015</v>
      <v>2015</v>
      <v>2015</v>
      <v>2017</v>
      <v>2019</v>
    </spb>
    <spb s="1">
      <v xml:space="preserve">Wikipedia	</v>
      <v xml:space="preserve">CC BY-SA 3.0	</v>
      <v xml:space="preserve">https://en.wikipedia.org/wiki/Bras%C3%ADlia	</v>
      <v xml:space="preserve">https://creativecommons.org/licenses/by-sa/3.0	</v>
    </spb>
    <spb s="11">
      <v>242</v>
      <v>242</v>
      <v>242</v>
      <v>242</v>
      <v>242</v>
      <v>242</v>
      <v>242</v>
      <v>242</v>
      <v>242</v>
    </spb>
    <spb s="1">
      <v xml:space="preserve">Wikipedia	Cia	travel.state.gov	</v>
      <v xml:space="preserve">CC-BY-SA			</v>
      <v xml:space="preserve">http://en.wikipedia.org/wiki/Brazil	https://www.cia.gov/library/publications/the-world-factbook/geos/br.html?Transportation	https://travel.state.gov/content/travel/en/international-travel/International-Travel-Country-Information-Pages/Brazil.html	</v>
      <v xml:space="preserve">http://creativecommons.org/licenses/by-sa/3.0/			</v>
    </spb>
    <spb s="1">
      <v xml:space="preserve">Wikipedia	</v>
      <v xml:space="preserve">CC BY-SA 3.0	</v>
      <v xml:space="preserve">https://en.wikipedia.org/wiki/Brazil	</v>
      <v xml:space="preserve">https://creativecommons.org/licenses/by-sa/3.0	</v>
    </spb>
    <spb s="1">
      <v xml:space="preserve">Wikipedia	</v>
      <v xml:space="preserve">CC-BY-SA	</v>
      <v xml:space="preserve">http://en.wikipedia.org/wiki/Brazil	</v>
      <v xml:space="preserve">http://creativecommons.org/licenses/by-sa/3.0/	</v>
    </spb>
    <spb s="1">
      <v xml:space="preserve">Cia	</v>
      <v xml:space="preserve">	</v>
      <v xml:space="preserve">https://www.cia.gov/library/publications/the-world-factbook/geos/br.html?Transportation	</v>
      <v xml:space="preserve">	</v>
    </spb>
    <spb s="14">
      <v>10</v>
      <v>244</v>
      <v>245</v>
      <v>245</v>
      <v>13</v>
      <v>245</v>
      <v>245</v>
      <v>245</v>
      <v>246</v>
      <v>245</v>
      <v>245</v>
      <v>246</v>
      <v>245</v>
      <v>245</v>
      <v>247</v>
      <v>16</v>
      <v>244</v>
      <v>247</v>
      <v>17</v>
      <v>245</v>
      <v>247</v>
      <v>18</v>
      <v>19</v>
      <v>20</v>
      <v>247</v>
      <v>247</v>
      <v>245</v>
      <v>247</v>
      <v>21</v>
      <v>22</v>
      <v>23</v>
      <v>44</v>
      <v>247</v>
      <v>244</v>
      <v>247</v>
      <v>247</v>
      <v>247</v>
      <v>247</v>
      <v>247</v>
      <v>247</v>
      <v>247</v>
      <v>247</v>
      <v>247</v>
      <v>247</v>
      <v>24</v>
    </spb>
    <spb s="15">
      <v>2019</v>
      <v>2019</v>
      <v>square km</v>
      <v>per thousand (2018)</v>
      <v>2022</v>
      <v>2019</v>
      <v>2018</v>
      <v>per liter (2016)</v>
      <v>2019</v>
      <v>years (2018)</v>
      <v>2018</v>
      <v>per thousand (2018)</v>
      <v>2019</v>
      <v>2017</v>
      <v>2016</v>
      <v>2019</v>
      <v>2016</v>
      <v>2018</v>
      <v>kilotons per year (2016)</v>
      <v>deaths per 100,000 (2017)</v>
      <v>kWh (2014)</v>
      <v>2014</v>
      <v>2019</v>
      <v>2018</v>
      <v>2018</v>
      <v>2018</v>
      <v>2018</v>
      <v>2018</v>
      <v>2015</v>
      <v>2018</v>
      <v>2018</v>
      <v>2017</v>
      <v>2017</v>
      <v>2019</v>
    </spb>
    <spb s="1">
      <v xml:space="preserve">Wikipedia	Wikipedia	Wikipedia	</v>
      <v xml:space="preserve">CC-BY-SA	CC-BY-SA	CC-BY-SA	</v>
      <v xml:space="preserve">http://en.wikipedia.org/wiki/Bandar_Seri_Begawan	http://de.wikipedia.org/wiki/Bandar_Seri_Begawan	http://es.wikipedia.org/wiki/Bandar_Seri_Begawan	</v>
      <v xml:space="preserve">http://creativecommons.org/licenses/by-sa/3.0/	http://creativecommons.org/licenses/by-sa/3.0/	http://creativecommons.org/licenses/by-sa/3.0/	</v>
    </spb>
    <spb s="1">
      <v xml:space="preserve">Wikipedia	</v>
      <v xml:space="preserve">CC BY-SA 3.0	</v>
      <v xml:space="preserve">https://en.wikipedia.org/wiki/Bandar_Seri_Begawan	</v>
      <v xml:space="preserve">https://creativecommons.org/licenses/by-sa/3.0	</v>
    </spb>
    <spb s="11">
      <v>250</v>
      <v>251</v>
      <v>251</v>
      <v>251</v>
      <v>251</v>
      <v>251</v>
      <v>251</v>
      <v>251</v>
      <v>251</v>
    </spb>
    <spb s="8">
      <v>square km</v>
      <v>2015</v>
    </spb>
    <spb s="1">
      <v xml:space="preserve">Wikipedia	Cia	travel.state.gov	</v>
      <v xml:space="preserve">CC-BY-SA			</v>
      <v xml:space="preserve">http://en.wikipedia.org/wiki/Brunei	https://www.cia.gov/library/publications/the-world-factbook/geos/bx.html?Transportation	https://travel.state.gov/content/travel/en/international-travel/International-Travel-Country-Information-Pages/brunei.html	</v>
      <v xml:space="preserve">http://creativecommons.org/licenses/by-sa/3.0/			</v>
    </spb>
    <spb s="1">
      <v xml:space="preserve">Wikipedia	</v>
      <v xml:space="preserve">CC BY-SA 3.0	</v>
      <v xml:space="preserve">https://en.wikipedia.org/wiki/Brunei	</v>
      <v xml:space="preserve">https://creativecommons.org/licenses/by-sa/3.0	</v>
    </spb>
    <spb s="1">
      <v xml:space="preserve">Wikipedia	</v>
      <v xml:space="preserve">CC-BY-SA	</v>
      <v xml:space="preserve">http://en.wikipedia.org/wiki/Brunei	</v>
      <v xml:space="preserve">http://creativecommons.org/licenses/by-sa/3.0/	</v>
    </spb>
    <spb s="1">
      <v xml:space="preserve">Cia	</v>
      <v xml:space="preserve">	</v>
      <v xml:space="preserve">https://www.cia.gov/library/publications/the-world-factbook/geos/bx.html?Transportation	</v>
      <v xml:space="preserve">	</v>
    </spb>
    <spb s="34">
      <v>10</v>
      <v>254</v>
      <v>255</v>
      <v>255</v>
      <v>13</v>
      <v>255</v>
      <v>255</v>
      <v>255</v>
      <v>256</v>
      <v>255</v>
      <v>255</v>
      <v>255</v>
      <v>255</v>
      <v>257</v>
      <v>16</v>
      <v>254</v>
      <v>257</v>
      <v>17</v>
      <v>255</v>
      <v>18</v>
      <v>19</v>
      <v>20</v>
      <v>257</v>
      <v>257</v>
      <v>255</v>
      <v>257</v>
      <v>21</v>
      <v>22</v>
      <v>23</v>
      <v>44</v>
      <v>257</v>
      <v>257</v>
      <v>257</v>
      <v>257</v>
      <v>24</v>
    </spb>
    <spb s="3">
      <v>22</v>
      <v>Name</v>
      <v>LearnMoreOnLink</v>
    </spb>
    <spb s="35">
      <v>2019</v>
      <v>2019</v>
      <v>square km</v>
      <v>per thousand (2018)</v>
      <v>2022</v>
      <v>2019</v>
      <v>2018</v>
      <v>per liter (2016)</v>
      <v>2019</v>
      <v>years (2018)</v>
      <v>per thousand (2018)</v>
      <v>2019</v>
      <v>2017</v>
      <v>2016</v>
      <v>2019</v>
      <v>2016</v>
      <v>2017</v>
      <v>kilotons per year (2016)</v>
      <v>deaths per 100,000 (2017)</v>
      <v>kWh (2014)</v>
      <v>2014</v>
      <v>2015</v>
      <v>2018</v>
      <v>2018</v>
      <v>2019</v>
    </spb>
    <spb s="1">
      <v xml:space="preserve">Wikipedia	</v>
      <v xml:space="preserve">CC BY-SA 3.0	</v>
      <v xml:space="preserve">https://en.wikipedia.org/wiki/Sofia	</v>
      <v xml:space="preserve">https://creativecommons.org/licenses/by-sa/3.0	</v>
    </spb>
    <spb s="11">
      <v>261</v>
      <v>261</v>
      <v>261</v>
      <v>261</v>
      <v>261</v>
      <v>261</v>
      <v>261</v>
      <v>261</v>
      <v>261</v>
    </spb>
    <spb s="1">
      <v xml:space="preserve">Wikipedia	travel.state.gov	</v>
      <v xml:space="preserve">CC-BY-SA		</v>
      <v xml:space="preserve">http://en.wikipedia.org/wiki/Bulgaria	https://travel.state.gov/content/travel/en/international-travel/International-Travel-Country-Information-Pages/Bulgaria.html	</v>
      <v xml:space="preserve">http://creativecommons.org/licenses/by-sa/3.0/		</v>
    </spb>
    <spb s="1">
      <v xml:space="preserve">Wikipedia	</v>
      <v xml:space="preserve">CC BY-SA 3.0	</v>
      <v xml:space="preserve">https://en.wikipedia.org/wiki/Bulgaria	</v>
      <v xml:space="preserve">https://creativecommons.org/licenses/by-sa/3.0	</v>
    </spb>
    <spb s="1">
      <v xml:space="preserve">Wikipedia	</v>
      <v xml:space="preserve">CC-BY-SA	</v>
      <v xml:space="preserve">http://en.wikipedia.org/wiki/Bulgaria	</v>
      <v xml:space="preserve">http://creativecommons.org/licenses/by-sa/3.0/	</v>
    </spb>
    <spb s="1">
      <v xml:space="preserve">Cia	</v>
      <v xml:space="preserve">	</v>
      <v xml:space="preserve">https://www.cia.gov/library/publications/the-world-factbook/geos/bu.html?Transportation	</v>
      <v xml:space="preserve">	</v>
    </spb>
    <spb s="1">
      <v xml:space="preserve">Wikipedia	Cia	travel.state.gov	</v>
      <v xml:space="preserve">CC-BY-SA			</v>
      <v xml:space="preserve">http://en.wikipedia.org/wiki/Bulgaria	https://www.cia.gov/library/publications/the-world-factbook/geos/bu.html?Transportation	https://travel.state.gov/content/travel/en/international-travel/International-Travel-Country-Information-Pages/Bulgaria.html	</v>
      <v xml:space="preserve">http://creativecommons.org/licenses/by-sa/3.0/			</v>
    </spb>
    <spb s="14">
      <v>10</v>
      <v>263</v>
      <v>264</v>
      <v>264</v>
      <v>13</v>
      <v>264</v>
      <v>264</v>
      <v>264</v>
      <v>265</v>
      <v>264</v>
      <v>264</v>
      <v>265</v>
      <v>264</v>
      <v>264</v>
      <v>266</v>
      <v>16</v>
      <v>267</v>
      <v>266</v>
      <v>17</v>
      <v>264</v>
      <v>266</v>
      <v>18</v>
      <v>19</v>
      <v>20</v>
      <v>266</v>
      <v>266</v>
      <v>264</v>
      <v>266</v>
      <v>21</v>
      <v>22</v>
      <v>23</v>
      <v>44</v>
      <v>266</v>
      <v>267</v>
      <v>266</v>
      <v>266</v>
      <v>266</v>
      <v>266</v>
      <v>266</v>
      <v>266</v>
      <v>266</v>
      <v>266</v>
      <v>266</v>
      <v>266</v>
      <v>24</v>
    </spb>
    <spb s="15">
      <v>2019</v>
      <v>2022</v>
      <v>square km</v>
      <v>per thousand (2018)</v>
      <v>2022</v>
      <v>2019</v>
      <v>2018</v>
      <v>per liter (2016)</v>
      <v>2019</v>
      <v>years (2018)</v>
      <v>2018</v>
      <v>per thousand (2018)</v>
      <v>2019</v>
      <v>2017</v>
      <v>2016</v>
      <v>2019</v>
      <v>2016</v>
      <v>2015</v>
      <v>kilotons per year (2016)</v>
      <v>deaths per 100,000 (2017)</v>
      <v>kWh (2014)</v>
      <v>2014</v>
      <v>2011</v>
      <v>2017</v>
      <v>2017</v>
      <v>2017</v>
      <v>2017</v>
      <v>2017</v>
      <v>2015</v>
      <v>2017</v>
      <v>2017</v>
      <v>2017</v>
      <v>2017</v>
      <v>2019</v>
    </spb>
    <spb s="1">
      <v xml:space="preserve">Wikipedia	</v>
      <v xml:space="preserve">CC-BY-SA	</v>
      <v xml:space="preserve">http://en.wikipedia.org/wiki/Ouagadougou	</v>
      <v xml:space="preserve">http://creativecommons.org/licenses/by-sa/3.0/	</v>
    </spb>
    <spb s="1">
      <v xml:space="preserve">Wikipedia	</v>
      <v xml:space="preserve">CC BY-SA 3.0	</v>
      <v xml:space="preserve">https://en.wikipedia.org/wiki/Ouagadougou	</v>
      <v xml:space="preserve">https://creativecommons.org/licenses/by-sa/3.0	</v>
    </spb>
    <spb s="2">
      <v>270</v>
      <v>271</v>
      <v>271</v>
      <v>271</v>
      <v>271</v>
      <v>271</v>
      <v>271</v>
      <v>271</v>
      <v>271</v>
      <v>271</v>
    </spb>
    <spb s="1">
      <v xml:space="preserve">Wikipedia	</v>
      <v xml:space="preserve">CC-BY-SA	</v>
      <v xml:space="preserve">http://en.wikipedia.org/wiki/Gitega	</v>
      <v xml:space="preserve">http://creativecommons.org/licenses/by-sa/3.0/	</v>
    </spb>
    <spb s="1">
      <v xml:space="preserve">Wikipedia	</v>
      <v xml:space="preserve">CC BY-SA 3.0	</v>
      <v xml:space="preserve">https://en.wikipedia.org/wiki/Gitega	</v>
      <v xml:space="preserve">https://creativecommons.org/licenses/by-sa/3.0	</v>
    </spb>
    <spb s="11">
      <v>273</v>
      <v>274</v>
      <v>274</v>
      <v>274</v>
      <v>274</v>
      <v>274</v>
      <v>274</v>
      <v>274</v>
      <v>274</v>
    </spb>
    <spb s="1">
      <v xml:space="preserve">Wikipedia	Cia	travel.state.gov	</v>
      <v xml:space="preserve">CC-BY-SA			</v>
      <v xml:space="preserve">http://en.wikipedia.org/wiki/Burundi	https://www.cia.gov/library/publications/the-world-factbook/geos/by.html?Transportation	https://travel.state.gov/content/travel/en/international-travel/International-Travel-Country-Information-Pages/Burundi.html	</v>
      <v xml:space="preserve">http://creativecommons.org/licenses/by-sa/3.0/			</v>
    </spb>
    <spb s="1">
      <v xml:space="preserve">Wikipedia	</v>
      <v xml:space="preserve">CC BY-SA 3.0	</v>
      <v xml:space="preserve">https://en.wikipedia.org/wiki/Burundi	</v>
      <v xml:space="preserve">https://creativecommons.org/licenses/by-sa/3.0	</v>
    </spb>
    <spb s="1">
      <v xml:space="preserve">Wikipedia	</v>
      <v xml:space="preserve">CC-BY-SA	</v>
      <v xml:space="preserve">http://en.wikipedia.org/wiki/Burundi	</v>
      <v xml:space="preserve">http://creativecommons.org/licenses/by-sa/3.0/	</v>
    </spb>
    <spb s="1">
      <v xml:space="preserve">Cia	</v>
      <v xml:space="preserve">	</v>
      <v xml:space="preserve">https://www.cia.gov/library/publications/the-world-factbook/geos/by.html?Transportation	</v>
      <v xml:space="preserve">	</v>
    </spb>
    <spb s="36">
      <v>10</v>
      <v>276</v>
      <v>277</v>
      <v>277</v>
      <v>13</v>
      <v>277</v>
      <v>277</v>
      <v>277</v>
      <v>278</v>
      <v>277</v>
      <v>277</v>
      <v>277</v>
      <v>277</v>
      <v>279</v>
      <v>16</v>
      <v>276</v>
      <v>279</v>
      <v>17</v>
      <v>277</v>
      <v>279</v>
      <v>18</v>
      <v>19</v>
      <v>20</v>
      <v>279</v>
      <v>279</v>
      <v>277</v>
      <v>279</v>
      <v>21</v>
      <v>22</v>
      <v>23</v>
      <v>279</v>
      <v>279</v>
      <v>279</v>
      <v>279</v>
      <v>279</v>
      <v>279</v>
      <v>279</v>
      <v>279</v>
      <v>279</v>
      <v>279</v>
      <v>24</v>
    </spb>
    <spb s="3">
      <v>23</v>
      <v>Name</v>
      <v>LearnMoreOnLink</v>
    </spb>
    <spb s="37">
      <v>2019</v>
      <v>2019</v>
      <v>square km</v>
      <v>per thousand (2018)</v>
      <v>2022</v>
      <v>2019</v>
      <v>2018</v>
      <v>per liter (2016)</v>
      <v>2019</v>
      <v>years (2018)</v>
      <v>1999</v>
      <v>per thousand (2018)</v>
      <v>2019</v>
      <v>2017</v>
      <v>2016</v>
      <v>2019</v>
      <v>2016</v>
      <v>2017</v>
      <v>kilotons per year (2016)</v>
      <v>deaths per 100,000 (2017)</v>
      <v>2013</v>
      <v>2013</v>
      <v>2013</v>
      <v>2013</v>
      <v>2013</v>
      <v>2015</v>
      <v>2013</v>
      <v>2013</v>
      <v>2018</v>
      <v>2017</v>
      <v>2019</v>
    </spb>
    <spb s="1">
      <v xml:space="preserve">Wikipedia	</v>
      <v xml:space="preserve">CC BY-SA 3.0	</v>
      <v xml:space="preserve">https://en.wikipedia.org/wiki/Praia	</v>
      <v xml:space="preserve">https://creativecommons.org/licenses/by-sa/3.0	</v>
    </spb>
    <spb s="2">
      <v>283</v>
      <v>283</v>
      <v>283</v>
      <v>283</v>
      <v>283</v>
      <v>283</v>
      <v>283</v>
      <v>283</v>
      <v>283</v>
      <v>283</v>
    </spb>
    <spb s="1">
      <v xml:space="preserve">Wikipedia	Cia	travel.state.gov	</v>
      <v xml:space="preserve">CC-BY-SA			</v>
      <v xml:space="preserve">http://en.wikipedia.org/wiki/Cape_Verde	https://www.cia.gov/library/publications/the-world-factbook/geos/cv.html?Transportation	https://travel.state.gov/content/travel/en/international-travel/International-Travel-Country-Information-Pages/CaboVerde.html	</v>
      <v xml:space="preserve">http://creativecommons.org/licenses/by-sa/3.0/			</v>
    </spb>
    <spb s="1">
      <v xml:space="preserve">Wikipedia	</v>
      <v xml:space="preserve">CC BY-SA 3.0	</v>
      <v xml:space="preserve">https://en.wikipedia.org/wiki/Cape_Verde	</v>
      <v xml:space="preserve">https://creativecommons.org/licenses/by-sa/3.0	</v>
    </spb>
    <spb s="1">
      <v xml:space="preserve">Wikipedia	</v>
      <v xml:space="preserve">CC-BY-SA	</v>
      <v xml:space="preserve">http://en.wikipedia.org/wiki/Cape_Verde	</v>
      <v xml:space="preserve">http://creativecommons.org/licenses/by-sa/3.0/	</v>
    </spb>
    <spb s="1">
      <v xml:space="preserve">Cia	</v>
      <v xml:space="preserve">	</v>
      <v xml:space="preserve">https://www.cia.gov/library/publications/the-world-factbook/geos/cv.html?Transportation	</v>
      <v xml:space="preserve">	</v>
    </spb>
    <spb s="28">
      <v>10</v>
      <v>285</v>
      <v>286</v>
      <v>286</v>
      <v>13</v>
      <v>286</v>
      <v>286</v>
      <v>286</v>
      <v>287</v>
      <v>286</v>
      <v>286</v>
      <v>287</v>
      <v>286</v>
      <v>286</v>
      <v>288</v>
      <v>16</v>
      <v>285</v>
      <v>288</v>
      <v>17</v>
      <v>286</v>
      <v>288</v>
      <v>18</v>
      <v>19</v>
      <v>20</v>
      <v>288</v>
      <v>288</v>
      <v>286</v>
      <v>288</v>
      <v>21</v>
      <v>22</v>
      <v>23</v>
      <v>288</v>
      <v>288</v>
      <v>288</v>
      <v>288</v>
      <v>288</v>
      <v>288</v>
      <v>288</v>
      <v>288</v>
      <v>288</v>
      <v>288</v>
      <v>288</v>
      <v>24</v>
    </spb>
    <spb s="29">
      <v>2019</v>
      <v>2019</v>
      <v>square km</v>
      <v>per thousand (2018)</v>
      <v>2022</v>
      <v>2019</v>
      <v>2018</v>
      <v>per liter (2016)</v>
      <v>2019</v>
      <v>years (2018)</v>
      <v>2017</v>
      <v>per thousand (2018)</v>
      <v>2019</v>
      <v>2017</v>
      <v>2016</v>
      <v>2019</v>
      <v>2016</v>
      <v>2015</v>
      <v>kilotons per year (2016)</v>
      <v>deaths per 100,000 (2017)</v>
      <v>2007</v>
      <v>2015</v>
      <v>2015</v>
      <v>2015</v>
      <v>2015</v>
      <v>2015</v>
      <v>2015</v>
      <v>2015</v>
      <v>2015</v>
      <v>2018</v>
      <v>2018</v>
      <v>2019</v>
    </spb>
    <spb s="1">
      <v xml:space="preserve">Wikipedia	</v>
      <v xml:space="preserve">CC BY-SA 3.0	</v>
      <v xml:space="preserve">https://en.wikipedia.org/wiki/Phnom_Penh	</v>
      <v xml:space="preserve">https://creativecommons.org/licenses/by-sa/3.0	</v>
    </spb>
    <spb s="1">
      <v xml:space="preserve">Wikipedia	</v>
      <v xml:space="preserve">CC-BY-SA	</v>
      <v xml:space="preserve">http://en.wikipedia.org/wiki/Phnom_Penh	</v>
      <v xml:space="preserve">http://creativecommons.org/licenses/by-sa/3.0/	</v>
    </spb>
    <spb s="16">
      <v>291</v>
      <v>291</v>
      <v>291</v>
      <v>291</v>
      <v>291</v>
      <v>292</v>
      <v>291</v>
    </spb>
    <spb s="3">
      <v>24</v>
      <v>Name</v>
      <v>LearnMoreOnLink</v>
    </spb>
    <spb s="1">
      <v xml:space="preserve">Wikipedia	Cia	travel.state.gov	</v>
      <v xml:space="preserve">CC-BY-SA			</v>
      <v xml:space="preserve">http://en.wikipedia.org/wiki/Cambodia	https://www.cia.gov/library/publications/the-world-factbook/geos/cb.html?Transportation	https://travel.state.gov/content/travel/en/international-travel/International-Travel-Country-Information-Pages/Cambodia.html	</v>
      <v xml:space="preserve">http://creativecommons.org/licenses/by-sa/3.0/			</v>
    </spb>
    <spb s="1">
      <v xml:space="preserve">Wikipedia	</v>
      <v xml:space="preserve">CC BY-SA 3.0	</v>
      <v xml:space="preserve">https://en.wikipedia.org/wiki/Cambodia	</v>
      <v xml:space="preserve">https://creativecommons.org/licenses/by-sa/3.0	</v>
    </spb>
    <spb s="1">
      <v xml:space="preserve">Wikipedia	</v>
      <v xml:space="preserve">CC-BY-SA	</v>
      <v xml:space="preserve">http://en.wikipedia.org/wiki/Cambodia	</v>
      <v xml:space="preserve">http://creativecommons.org/licenses/by-sa/3.0/	</v>
    </spb>
    <spb s="1">
      <v xml:space="preserve">Cia	</v>
      <v xml:space="preserve">	</v>
      <v xml:space="preserve">https://www.cia.gov/library/publications/the-world-factbook/geos/cb.html?Transportation	</v>
      <v xml:space="preserve">	</v>
    </spb>
    <spb s="38">
      <v>10</v>
      <v>295</v>
      <v>296</v>
      <v>296</v>
      <v>13</v>
      <v>296</v>
      <v>296</v>
      <v>296</v>
      <v>297</v>
      <v>296</v>
      <v>296</v>
      <v>296</v>
      <v>296</v>
      <v>298</v>
      <v>16</v>
      <v>295</v>
      <v>298</v>
      <v>17</v>
      <v>296</v>
      <v>298</v>
      <v>18</v>
      <v>19</v>
      <v>20</v>
      <v>298</v>
      <v>298</v>
      <v>296</v>
      <v>298</v>
      <v>21</v>
      <v>22</v>
      <v>23</v>
      <v>44</v>
      <v>298</v>
      <v>298</v>
      <v>298</v>
      <v>298</v>
      <v>24</v>
    </spb>
    <spb s="3">
      <v>25</v>
      <v>Name</v>
      <v>LearnMoreOnLink</v>
    </spb>
    <spb s="39">
      <v>2018</v>
      <v>2019</v>
      <v>square km</v>
      <v>per thousand (2018)</v>
      <v>2022</v>
      <v>2018</v>
      <v>2018</v>
      <v>per liter (2016)</v>
      <v>2019</v>
      <v>years (2018)</v>
      <v>2018</v>
      <v>per thousand (2018)</v>
      <v>2019</v>
      <v>2017</v>
      <v>2016</v>
      <v>2019</v>
      <v>2016</v>
      <v>2014</v>
      <v>kilotons per year (2016)</v>
      <v>deaths per 100,000 (2017)</v>
      <v>kWh (2014)</v>
      <v>2014</v>
      <v>2015</v>
      <v>2018</v>
      <v>2018</v>
      <v>2019</v>
    </spb>
    <spb s="1">
      <v xml:space="preserve">Wikipedia	</v>
      <v xml:space="preserve">CC BY-SA 3.0	</v>
      <v xml:space="preserve">https://en.wikipedia.org/wiki/Yaound%C3%A9	</v>
      <v xml:space="preserve">https://creativecommons.org/licenses/by-sa/3.0	</v>
    </spb>
    <spb s="11">
      <v>302</v>
      <v>302</v>
      <v>302</v>
      <v>302</v>
      <v>302</v>
      <v>302</v>
      <v>302</v>
      <v>302</v>
      <v>302</v>
    </spb>
    <spb s="1">
      <v xml:space="preserve">Wikipedia	Cia	travel.state.gov	</v>
      <v xml:space="preserve">CC-BY-SA			</v>
      <v xml:space="preserve">http://en.wikipedia.org/wiki/Cameroon	https://www.cia.gov/library/publications/the-world-factbook/geos/cm.html?Transportation	https://travel.state.gov/content/travel/en/international-travel/International-Travel-Country-Information-Pages/Cameroon.html	</v>
      <v xml:space="preserve">http://creativecommons.org/licenses/by-sa/3.0/			</v>
    </spb>
    <spb s="1">
      <v xml:space="preserve">Wikipedia	</v>
      <v xml:space="preserve">CC BY-SA 3.0	</v>
      <v xml:space="preserve">https://en.wikipedia.org/wiki/Cameroon	</v>
      <v xml:space="preserve">https://creativecommons.org/licenses/by-sa/3.0	</v>
    </spb>
    <spb s="1">
      <v xml:space="preserve">Wikipedia	</v>
      <v xml:space="preserve">CC-BY-SA	</v>
      <v xml:space="preserve">http://en.wikipedia.org/wiki/Cameroon	</v>
      <v xml:space="preserve">http://creativecommons.org/licenses/by-sa/3.0/	</v>
    </spb>
    <spb s="1">
      <v xml:space="preserve">Cia	</v>
      <v xml:space="preserve">	</v>
      <v xml:space="preserve">https://www.cia.gov/library/publications/the-world-factbook/geos/cm.html?Transportation	</v>
      <v xml:space="preserve">	</v>
    </spb>
    <spb s="12">
      <v>10</v>
      <v>304</v>
      <v>305</v>
      <v>305</v>
      <v>13</v>
      <v>305</v>
      <v>305</v>
      <v>305</v>
      <v>306</v>
      <v>305</v>
      <v>305</v>
      <v>306</v>
      <v>305</v>
      <v>305</v>
      <v>307</v>
      <v>16</v>
      <v>304</v>
      <v>307</v>
      <v>17</v>
      <v>305</v>
      <v>307</v>
      <v>18</v>
      <v>19</v>
      <v>20</v>
      <v>307</v>
      <v>307</v>
      <v>305</v>
      <v>307</v>
      <v>21</v>
      <v>22</v>
      <v>23</v>
      <v>44</v>
      <v>307</v>
      <v>307</v>
      <v>307</v>
      <v>307</v>
      <v>307</v>
      <v>307</v>
      <v>307</v>
      <v>307</v>
      <v>307</v>
      <v>307</v>
      <v>307</v>
      <v>24</v>
    </spb>
    <spb s="13">
      <v>2019</v>
      <v>2019</v>
      <v>square km</v>
      <v>per thousand (2018)</v>
      <v>2022</v>
      <v>2019</v>
      <v>2018</v>
      <v>per liter (2016)</v>
      <v>2019</v>
      <v>years (2018)</v>
      <v>2018</v>
      <v>per thousand (2018)</v>
      <v>2019</v>
      <v>2017</v>
      <v>2016</v>
      <v>2019</v>
      <v>2016</v>
      <v>2011</v>
      <v>kilotons per year (2016)</v>
      <v>deaths per 100,000 (2017)</v>
      <v>kWh (2014)</v>
      <v>2014</v>
      <v>2014</v>
      <v>2014</v>
      <v>2014</v>
      <v>2014</v>
      <v>2014</v>
      <v>2015</v>
      <v>2014</v>
      <v>2014</v>
      <v>2018</v>
      <v>2017</v>
      <v>2019</v>
    </spb>
    <spb s="1">
      <v xml:space="preserve">Wikipedia	</v>
      <v xml:space="preserve">CC BY-SA 3.0	</v>
      <v xml:space="preserve">https://en.wikipedia.org/wiki/Ottawa	</v>
      <v xml:space="preserve">https://creativecommons.org/licenses/by-sa/3.0	</v>
    </spb>
    <spb s="2">
      <v>310</v>
      <v>310</v>
      <v>310</v>
      <v>310</v>
      <v>310</v>
      <v>310</v>
      <v>310</v>
      <v>310</v>
      <v>310</v>
      <v>310</v>
    </spb>
    <spb s="1">
      <v xml:space="preserve">Wikipedia	Cia	travel.state.gov	</v>
      <v xml:space="preserve">CC-BY-SA			</v>
      <v xml:space="preserve">http://en.wikipedia.org/wiki/Canada	https://www.cia.gov/library/publications/the-world-factbook/geos/ca.html?Transportation	https://travel.state.gov/content/travel/en/international-travel/International-Travel-Country-Information-Pages/Canada.html	</v>
      <v xml:space="preserve">http://creativecommons.org/licenses/by-sa/3.0/			</v>
    </spb>
    <spb s="1">
      <v xml:space="preserve">Wikipedia	</v>
      <v xml:space="preserve">CC BY-SA 3.0	</v>
      <v xml:space="preserve">https://en.wikipedia.org/wiki/Canada	</v>
      <v xml:space="preserve">https://creativecommons.org/licenses/by-sa/3.0	</v>
    </spb>
    <spb s="1">
      <v xml:space="preserve">Wikipedia	</v>
      <v xml:space="preserve">CC-BY-SA	</v>
      <v xml:space="preserve">http://en.wikipedia.org/wiki/Canada	</v>
      <v xml:space="preserve">http://creativecommons.org/licenses/by-sa/3.0/	</v>
    </spb>
    <spb s="1">
      <v xml:space="preserve">Cia	</v>
      <v xml:space="preserve">	</v>
      <v xml:space="preserve">https://www.cia.gov/library/publications/the-world-factbook/geos/ca.html?Transportation	</v>
      <v xml:space="preserve">	</v>
    </spb>
    <spb s="14">
      <v>10</v>
      <v>312</v>
      <v>313</v>
      <v>313</v>
      <v>13</v>
      <v>313</v>
      <v>313</v>
      <v>313</v>
      <v>314</v>
      <v>313</v>
      <v>313</v>
      <v>314</v>
      <v>313</v>
      <v>313</v>
      <v>315</v>
      <v>16</v>
      <v>312</v>
      <v>315</v>
      <v>17</v>
      <v>313</v>
      <v>315</v>
      <v>18</v>
      <v>19</v>
      <v>20</v>
      <v>315</v>
      <v>315</v>
      <v>313</v>
      <v>315</v>
      <v>21</v>
      <v>22</v>
      <v>23</v>
      <v>44</v>
      <v>315</v>
      <v>312</v>
      <v>315</v>
      <v>315</v>
      <v>315</v>
      <v>315</v>
      <v>315</v>
      <v>315</v>
      <v>315</v>
      <v>315</v>
      <v>315</v>
      <v>315</v>
      <v>24</v>
    </spb>
    <spb s="15">
      <v>2019</v>
      <v>2019</v>
      <v>square km</v>
      <v>per thousand (2018)</v>
      <v>2022</v>
      <v>2019</v>
      <v>2018</v>
      <v>per liter (2016)</v>
      <v>2019</v>
      <v>years (2018)</v>
      <v>2018</v>
      <v>per thousand (2018)</v>
      <v>2019</v>
      <v>2017</v>
      <v>2016</v>
      <v>2019</v>
      <v>2016</v>
      <v>2017</v>
      <v>kilotons per year (2016)</v>
      <v>deaths per 100,000 (2017)</v>
      <v>kWh (2014)</v>
      <v>2015</v>
      <v>2018</v>
      <v>2013</v>
      <v>2013</v>
      <v>2013</v>
      <v>2013</v>
      <v>2013</v>
      <v>2015</v>
      <v>2013</v>
      <v>2013</v>
      <v>2017</v>
      <v>2017</v>
      <v>2019</v>
    </spb>
    <spb s="1">
      <v xml:space="preserve">Wikipedia	</v>
      <v xml:space="preserve">CC-BY-SA	</v>
      <v xml:space="preserve">http://en.wikipedia.org/wiki/Bangui	</v>
      <v xml:space="preserve">http://creativecommons.org/licenses/by-sa/3.0/	</v>
    </spb>
    <spb s="1">
      <v xml:space="preserve">Wikipedia	</v>
      <v xml:space="preserve">CC BY-SA 3.0	</v>
      <v xml:space="preserve">https://en.wikipedia.org/wiki/Bangui	</v>
      <v xml:space="preserve">https://creativecommons.org/licenses/by-sa/3.0	</v>
    </spb>
    <spb s="16">
      <v>318</v>
      <v>319</v>
      <v>319</v>
      <v>319</v>
      <v>319</v>
      <v>318</v>
      <v>319</v>
    </spb>
    <spb s="1">
      <v xml:space="preserve">Wikipedia	Cia	travel.state.gov	</v>
      <v xml:space="preserve">CC-BY-SA			</v>
      <v xml:space="preserve">http://en.wikipedia.org/wiki/Central_African_Republic	https://www.cia.gov/library/publications/the-world-factbook/geos/ct.html?Transportation	https://travel.state.gov/content/travel/en/international-travel/International-Travel-Country-Information-Pages/CentralAfricanRepublic.html	</v>
      <v xml:space="preserve">http://creativecommons.org/licenses/by-sa/3.0/			</v>
    </spb>
    <spb s="1">
      <v xml:space="preserve">Wikipedia	</v>
      <v xml:space="preserve">CC BY-SA 3.0	</v>
      <v xml:space="preserve">https://en.wikipedia.org/wiki/Central_African_Republic	</v>
      <v xml:space="preserve">https://creativecommons.org/licenses/by-sa/3.0	</v>
    </spb>
    <spb s="1">
      <v xml:space="preserve">Wikipedia	</v>
      <v xml:space="preserve">CC-BY-SA	</v>
      <v xml:space="preserve">http://en.wikipedia.org/wiki/Central_African_Republic	</v>
      <v xml:space="preserve">http://creativecommons.org/licenses/by-sa/3.0/	</v>
    </spb>
    <spb s="1">
      <v xml:space="preserve">Cia	</v>
      <v xml:space="preserve">	</v>
      <v xml:space="preserve">https://www.cia.gov/library/publications/the-world-factbook/geos/ct.html?Transportation	</v>
      <v xml:space="preserve">	</v>
    </spb>
    <spb s="40">
      <v>10</v>
      <v>321</v>
      <v>322</v>
      <v>322</v>
      <v>13</v>
      <v>322</v>
      <v>322</v>
      <v>322</v>
      <v>323</v>
      <v>322</v>
      <v>322</v>
      <v>323</v>
      <v>322</v>
      <v>322</v>
      <v>324</v>
      <v>16</v>
      <v>321</v>
      <v>324</v>
      <v>17</v>
      <v>322</v>
      <v>324</v>
      <v>18</v>
      <v>19</v>
      <v>20</v>
      <v>324</v>
      <v>324</v>
      <v>322</v>
      <v>324</v>
      <v>21</v>
      <v>22</v>
      <v>23</v>
      <v>324</v>
      <v>324</v>
      <v>324</v>
      <v>324</v>
      <v>324</v>
      <v>324</v>
      <v>324</v>
      <v>324</v>
      <v>324</v>
      <v>324</v>
      <v>24</v>
    </spb>
    <spb s="3">
      <v>26</v>
      <v>Name</v>
      <v>LearnMoreOnLink</v>
    </spb>
    <spb s="37">
      <v>2015</v>
      <v>2019</v>
      <v>square km</v>
      <v>per thousand (2018)</v>
      <v>2022</v>
      <v>2015</v>
      <v>2018</v>
      <v>per liter (2016)</v>
      <v>2019</v>
      <v>years (2018)</v>
      <v>2018</v>
      <v>per thousand (2018)</v>
      <v>2019</v>
      <v>2017</v>
      <v>2016</v>
      <v>2019</v>
      <v>2016</v>
      <v>2015</v>
      <v>kilotons per year (2016)</v>
      <v>deaths per 100,000 (2017)</v>
      <v>2008</v>
      <v>2008</v>
      <v>2008</v>
      <v>2008</v>
      <v>2008</v>
      <v>2015</v>
      <v>2008</v>
      <v>2008</v>
      <v>2016</v>
      <v>2012</v>
      <v>2019</v>
    </spb>
    <spb s="1">
      <v xml:space="preserve">Wikipedia	</v>
      <v xml:space="preserve">CC BY-SA 3.0	</v>
      <v xml:space="preserve">https://en.wikipedia.org/wiki/N%27Djamena	</v>
      <v xml:space="preserve">https://creativecommons.org/licenses/by-sa/3.0	</v>
    </spb>
    <spb s="1">
      <v xml:space="preserve">Wikipedia	</v>
      <v xml:space="preserve">CC-BY-SA	</v>
      <v xml:space="preserve">http://en.wikipedia.org/wiki/N'Djamena	</v>
      <v xml:space="preserve">http://creativecommons.org/licenses/by-sa/3.0/	</v>
    </spb>
    <spb s="16">
      <v>328</v>
      <v>328</v>
      <v>328</v>
      <v>328</v>
      <v>328</v>
      <v>329</v>
      <v>328</v>
    </spb>
    <spb s="8">
      <v>square km</v>
      <v>2009</v>
    </spb>
    <spb s="1">
      <v xml:space="preserve">Wikipedia	Cia	travel.state.gov	</v>
      <v xml:space="preserve">CC-BY-SA			</v>
      <v xml:space="preserve">http://en.wikipedia.org/wiki/Chad	https://www.cia.gov/library/publications/the-world-factbook/geos/cd.html?Transportation	https://travel.state.gov/content/travel/en/international-travel/International-Travel-Country-Information-Pages/Chad.html	</v>
      <v xml:space="preserve">http://creativecommons.org/licenses/by-sa/3.0/			</v>
    </spb>
    <spb s="1">
      <v xml:space="preserve">Wikipedia	</v>
      <v xml:space="preserve">CC BY-SA 3.0	</v>
      <v xml:space="preserve">https://en.wikipedia.org/wiki/Chad	</v>
      <v xml:space="preserve">https://creativecommons.org/licenses/by-sa/3.0	</v>
    </spb>
    <spb s="1">
      <v xml:space="preserve">Wikipedia	</v>
      <v xml:space="preserve">CC-BY-SA	</v>
      <v xml:space="preserve">http://en.wikipedia.org/wiki/Chad	</v>
      <v xml:space="preserve">http://creativecommons.org/licenses/by-sa/3.0/	</v>
    </spb>
    <spb s="1">
      <v xml:space="preserve">Cia	</v>
      <v xml:space="preserve">	</v>
      <v xml:space="preserve">https://www.cia.gov/library/publications/the-world-factbook/geos/cd.html?Transportation	</v>
      <v xml:space="preserve">	</v>
    </spb>
    <spb s="41">
      <v>10</v>
      <v>332</v>
      <v>333</v>
      <v>333</v>
      <v>13</v>
      <v>333</v>
      <v>333</v>
      <v>333</v>
      <v>334</v>
      <v>333</v>
      <v>333</v>
      <v>334</v>
      <v>333</v>
      <v>333</v>
      <v>335</v>
      <v>16</v>
      <v>332</v>
      <v>335</v>
      <v>17</v>
      <v>333</v>
      <v>18</v>
      <v>19</v>
      <v>20</v>
      <v>335</v>
      <v>335</v>
      <v>333</v>
      <v>335</v>
      <v>21</v>
      <v>22</v>
      <v>23</v>
      <v>335</v>
      <v>335</v>
      <v>335</v>
      <v>335</v>
      <v>335</v>
      <v>335</v>
      <v>335</v>
      <v>335</v>
      <v>335</v>
      <v>335</v>
      <v>24</v>
    </spb>
    <spb s="3">
      <v>27</v>
      <v>Name</v>
      <v>LearnMoreOnLink</v>
    </spb>
    <spb s="42">
      <v>2019</v>
      <v>2019</v>
      <v>square km</v>
      <v>per thousand (2018)</v>
      <v>2022</v>
      <v>2019</v>
      <v>2018</v>
      <v>per liter (2016)</v>
      <v>2019</v>
      <v>years (2018)</v>
      <v>per thousand (2018)</v>
      <v>2019</v>
      <v>2017</v>
      <v>2016</v>
      <v>2019</v>
      <v>2016</v>
      <v>2017</v>
      <v>kilotons per year (2016)</v>
      <v>deaths per 100,000 (2017)</v>
      <v>2011</v>
      <v>2011</v>
      <v>2011</v>
      <v>2011</v>
      <v>2011</v>
      <v>2015</v>
      <v>2011</v>
      <v>2011</v>
      <v>2016</v>
      <v>2015</v>
      <v>2019</v>
    </spb>
    <spb s="1">
      <v xml:space="preserve">Wikipedia	</v>
      <v xml:space="preserve">CC BY-SA 3.0	</v>
      <v xml:space="preserve">https://en.wikipedia.org/wiki/Santiago	</v>
      <v xml:space="preserve">https://creativecommons.org/licenses/by-sa/3.0	</v>
    </spb>
    <spb s="2">
      <v>339</v>
      <v>339</v>
      <v>339</v>
      <v>339</v>
      <v>339</v>
      <v>339</v>
      <v>339</v>
      <v>339</v>
      <v>339</v>
      <v>339</v>
    </spb>
    <spb s="1">
      <v xml:space="preserve">Wikipedia	Cia	travel.state.gov	</v>
      <v xml:space="preserve">CC-BY-SA			</v>
      <v xml:space="preserve">http://en.wikipedia.org/wiki/Chile	https://www.cia.gov/library/publications/the-world-factbook/geos/ci.html?Transportation	https://travel.state.gov/content/travel/en/international-travel/International-Travel-Country-Information-Pages/Chile.html	</v>
      <v xml:space="preserve">http://creativecommons.org/licenses/by-sa/3.0/			</v>
    </spb>
    <spb s="1">
      <v xml:space="preserve">Wikipedia	</v>
      <v xml:space="preserve">CC BY-SA 3.0	</v>
      <v xml:space="preserve">https://en.wikipedia.org/wiki/Chile	</v>
      <v xml:space="preserve">https://creativecommons.org/licenses/by-sa/3.0	</v>
    </spb>
    <spb s="1">
      <v xml:space="preserve">Wikipedia	</v>
      <v xml:space="preserve">CC-BY-SA	</v>
      <v xml:space="preserve">http://en.wikipedia.org/wiki/Chile	</v>
      <v xml:space="preserve">http://creativecommons.org/licenses/by-sa/3.0/	</v>
    </spb>
    <spb s="1">
      <v xml:space="preserve">Cia	</v>
      <v xml:space="preserve">	</v>
      <v xml:space="preserve">https://www.cia.gov/library/publications/the-world-factbook/geos/ci.html?Transportation	</v>
      <v xml:space="preserve">	</v>
    </spb>
    <spb s="14">
      <v>10</v>
      <v>341</v>
      <v>342</v>
      <v>342</v>
      <v>13</v>
      <v>342</v>
      <v>342</v>
      <v>342</v>
      <v>343</v>
      <v>342</v>
      <v>342</v>
      <v>343</v>
      <v>342</v>
      <v>342</v>
      <v>344</v>
      <v>16</v>
      <v>341</v>
      <v>344</v>
      <v>17</v>
      <v>342</v>
      <v>344</v>
      <v>18</v>
      <v>19</v>
      <v>20</v>
      <v>344</v>
      <v>344</v>
      <v>342</v>
      <v>344</v>
      <v>21</v>
      <v>22</v>
      <v>23</v>
      <v>44</v>
      <v>344</v>
      <v>341</v>
      <v>344</v>
      <v>344</v>
      <v>344</v>
      <v>344</v>
      <v>344</v>
      <v>344</v>
      <v>344</v>
      <v>344</v>
      <v>344</v>
      <v>344</v>
      <v>24</v>
    </spb>
    <spb s="15">
      <v>2019</v>
      <v>2019</v>
      <v>square km</v>
      <v>per thousand (2018)</v>
      <v>2022</v>
      <v>2019</v>
      <v>2018</v>
      <v>per liter (2016)</v>
      <v>2019</v>
      <v>years (2018)</v>
      <v>2018</v>
      <v>per thousand (2018)</v>
      <v>2019</v>
      <v>2017</v>
      <v>2016</v>
      <v>2019</v>
      <v>2016</v>
      <v>2018</v>
      <v>kilotons per year (2016)</v>
      <v>deaths per 100,000 (2017)</v>
      <v>kWh (2014)</v>
      <v>2015</v>
      <v>2019</v>
      <v>2017</v>
      <v>2017</v>
      <v>2017</v>
      <v>2017</v>
      <v>2017</v>
      <v>2015</v>
      <v>2017</v>
      <v>2017</v>
      <v>2017</v>
      <v>2017</v>
      <v>2019</v>
    </spb>
    <spb s="1">
      <v xml:space="preserve">Wikipedia	</v>
      <v xml:space="preserve">CC BY-SA 3.0	</v>
      <v xml:space="preserve">https://en.wikipedia.org/wiki/Beijing	</v>
      <v xml:space="preserve">https://creativecommons.org/licenses/by-sa/3.0	</v>
    </spb>
    <spb s="1">
      <v xml:space="preserve">Wikipedia	</v>
      <v xml:space="preserve">CC-BY-SA	</v>
      <v xml:space="preserve">http://en.wikipedia.org/wiki/Beijing	</v>
      <v xml:space="preserve">http://creativecommons.org/licenses/by-sa/3.0/	</v>
    </spb>
    <spb s="43">
      <v>347</v>
      <v>347</v>
      <v>347</v>
      <v>347</v>
      <v>347</v>
      <v>348</v>
      <v>347</v>
      <v>347</v>
    </spb>
    <spb s="3">
      <v>28</v>
      <v>Name</v>
      <v>LearnMoreOnLink</v>
    </spb>
    <spb s="1">
      <v xml:space="preserve">Wikipedia	travel.state.gov	</v>
      <v xml:space="preserve">CC-BY-SA		</v>
      <v xml:space="preserve">http://en.wikipedia.org/wiki/China	https://travel.state.gov/content/travel/en/international-travel/International-Travel-Country-Information-Pages/China.html	</v>
      <v xml:space="preserve">http://creativecommons.org/licenses/by-sa/3.0/		</v>
    </spb>
    <spb s="1">
      <v xml:space="preserve">Wikipedia	</v>
      <v xml:space="preserve">CC BY-SA 3.0	</v>
      <v xml:space="preserve">https://en.wikipedia.org/wiki/China	</v>
      <v xml:space="preserve">https://creativecommons.org/licenses/by-sa/3.0	</v>
    </spb>
    <spb s="1">
      <v xml:space="preserve">Wikipedia	</v>
      <v xml:space="preserve">CC-BY-SA	</v>
      <v xml:space="preserve">http://en.wikipedia.org/wiki/China	</v>
      <v xml:space="preserve">http://creativecommons.org/licenses/by-sa/3.0/	</v>
    </spb>
    <spb s="1">
      <v xml:space="preserve">Cia	</v>
      <v xml:space="preserve">	</v>
      <v xml:space="preserve">https://www.cia.gov/library/publications/the-world-factbook/geos/ch.html?Transportation	</v>
      <v xml:space="preserve">	</v>
    </spb>
    <spb s="1">
      <v xml:space="preserve">Wikipedia	Cia	travel.state.gov	</v>
      <v xml:space="preserve">CC-BY-SA			</v>
      <v xml:space="preserve">http://en.wikipedia.org/wiki/China	https://www.cia.gov/library/publications/the-world-factbook/geos/ch.html?Transportation	https://travel.state.gov/content/travel/en/international-travel/International-Travel-Country-Information-Pages/China.html	</v>
      <v xml:space="preserve">http://creativecommons.org/licenses/by-sa/3.0/			</v>
    </spb>
    <spb s="44">
      <v>10</v>
      <v>351</v>
      <v>352</v>
      <v>352</v>
      <v>13</v>
      <v>352</v>
      <v>352</v>
      <v>352</v>
      <v>353</v>
      <v>352</v>
      <v>352</v>
      <v>353</v>
      <v>352</v>
      <v>352</v>
      <v>354</v>
      <v>16</v>
      <v>355</v>
      <v>354</v>
      <v>352</v>
      <v>354</v>
      <v>18</v>
      <v>19</v>
      <v>20</v>
      <v>354</v>
      <v>354</v>
      <v>352</v>
      <v>354</v>
      <v>21</v>
      <v>22</v>
      <v>23</v>
      <v>44</v>
      <v>354</v>
      <v>355</v>
      <v>354</v>
      <v>354</v>
      <v>354</v>
      <v>354</v>
      <v>354</v>
      <v>354</v>
      <v>354</v>
      <v>354</v>
      <v>354</v>
      <v>354</v>
      <v>24</v>
    </spb>
    <spb s="15">
      <v>2019</v>
      <v>2022</v>
      <v>square km</v>
      <v>per thousand (2018)</v>
      <v>2022</v>
      <v>2019</v>
      <v>2018</v>
      <v>per liter (2016)</v>
      <v>2019</v>
      <v>years (2020)</v>
      <v>2017</v>
      <v>per thousand (2018)</v>
      <v>2019</v>
      <v>2017</v>
      <v>2016</v>
      <v>2019</v>
      <v>2016</v>
      <v>2017</v>
      <v>kilotons per year (2016)</v>
      <v>deaths per 100,000 (2017)</v>
      <v>kWh (2014)</v>
      <v>2014</v>
      <v>2019</v>
      <v>2016</v>
      <v>2016</v>
      <v>2016</v>
      <v>2016</v>
      <v>2016</v>
      <v>2015</v>
      <v>2016</v>
      <v>2016</v>
      <v>2018</v>
      <v>2018</v>
      <v>2019</v>
    </spb>
    <spb s="1">
      <v xml:space="preserve">Wikipedia	</v>
      <v xml:space="preserve">CC BY-SA 3.0	</v>
      <v xml:space="preserve">https://en.wikipedia.org/wiki/Bogot%C3%A1	</v>
      <v xml:space="preserve">https://creativecommons.org/licenses/by-sa/3.0	</v>
    </spb>
    <spb s="1">
      <v xml:space="preserve">Wikipedia	</v>
      <v xml:space="preserve">CC-BY-SA	</v>
      <v xml:space="preserve">http://en.wikipedia.org/wiki/Bogotá	</v>
      <v xml:space="preserve">http://creativecommons.org/licenses/by-sa/3.0/	</v>
    </spb>
    <spb s="1">
      <v xml:space="preserve">dane.gov.co	</v>
      <v xml:space="preserve">	</v>
      <v xml:space="preserve">http://www.dane.gov.co/censo/files/cuadros%20censo%202005.xls#Cuadro4.9	</v>
      <v xml:space="preserve">	</v>
    </spb>
    <spb s="45">
      <v>358</v>
      <v>358</v>
      <v>358</v>
      <v>358</v>
      <v>358</v>
      <v>359</v>
      <v>360</v>
      <v>358</v>
    </spb>
    <spb s="3">
      <v>29</v>
      <v>Name</v>
      <v>LearnMoreOnLink</v>
    </spb>
    <spb s="46">
      <v>square km</v>
      <v>2022</v>
      <v>2005</v>
    </spb>
    <spb s="1">
      <v xml:space="preserve">Wikipedia	Cia	travel.state.gov	</v>
      <v xml:space="preserve">CC-BY-SA			</v>
      <v xml:space="preserve">http://en.wikipedia.org/wiki/Colombia	https://www.cia.gov/library/publications/the-world-factbook/geos/co.html?Transportation	https://travel.state.gov/content/travel/en/international-travel/International-Travel-Country-Information-Pages/Colombia.html	</v>
      <v xml:space="preserve">http://creativecommons.org/licenses/by-sa/3.0/			</v>
    </spb>
    <spb s="1">
      <v xml:space="preserve">Wikipedia	</v>
      <v xml:space="preserve">CC BY-SA 3.0	</v>
      <v xml:space="preserve">https://en.wikipedia.org/wiki/Colombia	</v>
      <v xml:space="preserve">https://creativecommons.org/licenses/by-sa/3.0	</v>
    </spb>
    <spb s="1">
      <v xml:space="preserve">Wikipedia	</v>
      <v xml:space="preserve">CC-BY-SA	</v>
      <v xml:space="preserve">http://en.wikipedia.org/wiki/Colombia	</v>
      <v xml:space="preserve">http://creativecommons.org/licenses/by-sa/3.0/	</v>
    </spb>
    <spb s="1">
      <v xml:space="preserve">Cia	</v>
      <v xml:space="preserve">	</v>
      <v xml:space="preserve">https://www.cia.gov/library/publications/the-world-factbook/geos/co.html?Transportation	</v>
      <v xml:space="preserve">	</v>
    </spb>
    <spb s="14">
      <v>10</v>
      <v>364</v>
      <v>365</v>
      <v>365</v>
      <v>13</v>
      <v>365</v>
      <v>365</v>
      <v>365</v>
      <v>366</v>
      <v>365</v>
      <v>365</v>
      <v>366</v>
      <v>365</v>
      <v>365</v>
      <v>367</v>
      <v>16</v>
      <v>364</v>
      <v>367</v>
      <v>17</v>
      <v>365</v>
      <v>367</v>
      <v>18</v>
      <v>19</v>
      <v>20</v>
      <v>367</v>
      <v>367</v>
      <v>365</v>
      <v>367</v>
      <v>21</v>
      <v>22</v>
      <v>23</v>
      <v>44</v>
      <v>367</v>
      <v>364</v>
      <v>367</v>
      <v>367</v>
      <v>367</v>
      <v>367</v>
      <v>367</v>
      <v>367</v>
      <v>367</v>
      <v>367</v>
      <v>367</v>
      <v>367</v>
      <v>24</v>
    </spb>
    <spb s="15">
      <v>2019</v>
      <v>2019</v>
      <v>square km</v>
      <v>per thousand (2018)</v>
      <v>2022</v>
      <v>2019</v>
      <v>2018</v>
      <v>per liter (2016)</v>
      <v>2019</v>
      <v>years (2018)</v>
      <v>2018</v>
      <v>per thousand (2018)</v>
      <v>2019</v>
      <v>2017</v>
      <v>2016</v>
      <v>2019</v>
      <v>2016</v>
      <v>2018</v>
      <v>kilotons per year (2016)</v>
      <v>deaths per 100,000 (2017)</v>
      <v>kWh (2014)</v>
      <v>2014</v>
      <v>2019</v>
      <v>2018</v>
      <v>2018</v>
      <v>2018</v>
      <v>2018</v>
      <v>2018</v>
      <v>2015</v>
      <v>2018</v>
      <v>2018</v>
      <v>2018</v>
      <v>2018</v>
      <v>2019</v>
    </spb>
    <spb s="1">
      <v xml:space="preserve">Wikipedia	</v>
      <v xml:space="preserve">CC BY-SA 3.0	</v>
      <v xml:space="preserve">https://en.wikipedia.org/wiki/Moroni,_Comoros	</v>
      <v xml:space="preserve">https://creativecommons.org/licenses/by-sa/3.0	</v>
    </spb>
    <spb s="11">
      <v>370</v>
      <v>370</v>
      <v>370</v>
      <v>370</v>
      <v>370</v>
      <v>370</v>
      <v>370</v>
      <v>370</v>
      <v>370</v>
    </spb>
    <spb s="8">
      <v>square km</v>
      <v>2016</v>
    </spb>
    <spb s="1">
      <v xml:space="preserve">Wikipedia	Cia	travel.state.gov	</v>
      <v xml:space="preserve">CC-BY-SA			</v>
      <v xml:space="preserve">http://en.wikipedia.org/wiki/Comoros	https://www.cia.gov/library/publications/the-world-factbook/geos/cn.html?Transportation	https://travel.state.gov/content/travel/en/international-travel/International-Travel-Country-Information-Pages/Comoros.html	</v>
      <v xml:space="preserve">http://creativecommons.org/licenses/by-sa/3.0/			</v>
    </spb>
    <spb s="1">
      <v xml:space="preserve">Wikipedia	</v>
      <v xml:space="preserve">CC BY-SA 3.0	</v>
      <v xml:space="preserve">https://en.wikipedia.org/wiki/Comoros	</v>
      <v xml:space="preserve">https://creativecommons.org/licenses/by-sa/3.0	</v>
    </spb>
    <spb s="1">
      <v xml:space="preserve">Wikipedia	</v>
      <v xml:space="preserve">CC-BY-SA	</v>
      <v xml:space="preserve">http://en.wikipedia.org/wiki/Comoros	</v>
      <v xml:space="preserve">http://creativecommons.org/licenses/by-sa/3.0/	</v>
    </spb>
    <spb s="1">
      <v xml:space="preserve">Cia	</v>
      <v xml:space="preserve">	</v>
      <v xml:space="preserve">https://www.cia.gov/library/publications/the-world-factbook/geos/cn.html?Transportation	</v>
      <v xml:space="preserve">	</v>
    </spb>
    <spb s="47">
      <v>10</v>
      <v>373</v>
      <v>374</v>
      <v>374</v>
      <v>13</v>
      <v>374</v>
      <v>374</v>
      <v>374</v>
      <v>375</v>
      <v>374</v>
      <v>374</v>
      <v>375</v>
      <v>374</v>
      <v>374</v>
      <v>376</v>
      <v>16</v>
      <v>376</v>
      <v>17</v>
      <v>374</v>
      <v>18</v>
      <v>19</v>
      <v>376</v>
      <v>376</v>
      <v>374</v>
      <v>376</v>
      <v>21</v>
      <v>22</v>
      <v>23</v>
      <v>376</v>
      <v>376</v>
      <v>376</v>
      <v>376</v>
      <v>376</v>
      <v>376</v>
      <v>376</v>
      <v>376</v>
      <v>376</v>
      <v>376</v>
      <v>376</v>
      <v>24</v>
    </spb>
    <spb s="3">
      <v>30</v>
      <v>Name</v>
      <v>LearnMoreOnLink</v>
    </spb>
    <spb s="48">
      <v>2013</v>
      <v>2019</v>
      <v>square km</v>
      <v>per thousand (2018)</v>
      <v>2022</v>
      <v>2013</v>
      <v>2018</v>
      <v>2019</v>
      <v>years (2018)</v>
      <v>per thousand (2018)</v>
      <v>2019</v>
      <v>2016</v>
      <v>2019</v>
      <v>2016</v>
      <v>2016</v>
      <v>kilotons per year (2016)</v>
      <v>deaths per 100,000 (2017)</v>
      <v>2007</v>
      <v>2014</v>
      <v>2014</v>
      <v>2014</v>
      <v>2014</v>
      <v>2014</v>
      <v>2015</v>
      <v>2014</v>
      <v>2014</v>
      <v>2018</v>
      <v>2014</v>
      <v>2019</v>
    </spb>
    <spb s="1">
      <v xml:space="preserve">Wikipedia	</v>
      <v xml:space="preserve">CC BY-SA 3.0	</v>
      <v xml:space="preserve">https://en.wikipedia.org/wiki/Brazzaville	</v>
      <v xml:space="preserve">https://creativecommons.org/licenses/by-sa/3.0	</v>
    </spb>
    <spb s="1">
      <v xml:space="preserve">Wikipedia	</v>
      <v xml:space="preserve">CC-BY-SA	</v>
      <v xml:space="preserve">http://en.wikipedia.org/wiki/Brazzaville	</v>
      <v xml:space="preserve">http://creativecommons.org/licenses/by-sa/3.0/	</v>
    </spb>
    <spb s="43">
      <v>380</v>
      <v>380</v>
      <v>380</v>
      <v>380</v>
      <v>380</v>
      <v>381</v>
      <v>380</v>
      <v>380</v>
    </spb>
    <spb s="1">
      <v xml:space="preserve">Wikipedia	Cia	travel.state.gov	</v>
      <v xml:space="preserve">CC-BY-SA			</v>
      <v xml:space="preserve">http://en.wikipedia.org/wiki/Republic_of_the_Congo	https://www.cia.gov/library/publications/the-world-factbook/geos/cf.html?Transportation	https://travel.state.gov/content/travel/en/international-travel/International-Travel-Country-Information-Pages/RepublicoftheCongo.html	</v>
      <v xml:space="preserve">http://creativecommons.org/licenses/by-sa/3.0/			</v>
    </spb>
    <spb s="1">
      <v xml:space="preserve">Wikipedia	</v>
      <v xml:space="preserve">CC BY-SA 3.0	</v>
      <v xml:space="preserve">https://en.wikipedia.org/wiki/Republic_of_the_Congo	</v>
      <v xml:space="preserve">https://creativecommons.org/licenses/by-sa/3.0	</v>
    </spb>
    <spb s="1">
      <v xml:space="preserve">Wikipedia	</v>
      <v xml:space="preserve">CC-BY-SA	</v>
      <v xml:space="preserve">http://en.wikipedia.org/wiki/Republic_of_the_Congo	</v>
      <v xml:space="preserve">http://creativecommons.org/licenses/by-sa/3.0/	</v>
    </spb>
    <spb s="1">
      <v xml:space="preserve">Cia	</v>
      <v xml:space="preserve">	</v>
      <v xml:space="preserve">https://www.cia.gov/library/publications/the-world-factbook/geos/cf.html?Transportation	</v>
      <v xml:space="preserve">	</v>
    </spb>
    <spb s="49">
      <v>10</v>
      <v>383</v>
      <v>384</v>
      <v>384</v>
      <v>13</v>
      <v>384</v>
      <v>384</v>
      <v>384</v>
      <v>384</v>
      <v>384</v>
      <v>385</v>
      <v>384</v>
      <v>384</v>
      <v>386</v>
      <v>16</v>
      <v>383</v>
      <v>386</v>
      <v>17</v>
      <v>384</v>
      <v>386</v>
      <v>18</v>
      <v>19</v>
      <v>20</v>
      <v>386</v>
      <v>386</v>
      <v>384</v>
      <v>386</v>
      <v>21</v>
      <v>22</v>
      <v>23</v>
      <v>44</v>
      <v>386</v>
      <v>386</v>
      <v>386</v>
      <v>386</v>
      <v>386</v>
      <v>386</v>
      <v>386</v>
      <v>386</v>
      <v>386</v>
      <v>386</v>
      <v>386</v>
      <v>24</v>
    </spb>
    <spb s="3">
      <v>31</v>
      <v>Name</v>
      <v>LearnMoreOnLink</v>
    </spb>
    <spb s="13">
      <v>2019</v>
      <v>2019</v>
      <v>square km</v>
      <v>per thousand (2018)</v>
      <v>2022</v>
      <v>2019</v>
      <v>2018</v>
      <v>per liter (2016)</v>
      <v>2019</v>
      <v>years (2018)</v>
      <v>2018</v>
      <v>per thousand (2018)</v>
      <v>2019</v>
      <v>2017</v>
      <v>2016</v>
      <v>2019</v>
      <v>2016</v>
      <v>2011</v>
      <v>kilotons per year (2016)</v>
      <v>deaths per 100,000 (2017)</v>
      <v>kWh (2014)</v>
      <v>2014</v>
      <v>2011</v>
      <v>2011</v>
      <v>2011</v>
      <v>2011</v>
      <v>2011</v>
      <v>2015</v>
      <v>2011</v>
      <v>2011</v>
      <v>2012</v>
      <v>2017</v>
      <v>2019</v>
    </spb>
    <spb s="1">
      <v xml:space="preserve">Wikipedia	</v>
      <v xml:space="preserve">CC BY-SA 3.0	</v>
      <v xml:space="preserve">https://en.wikipedia.org/wiki/San_Jos%C3%A9,_Costa_Rica	</v>
      <v xml:space="preserve">https://creativecommons.org/licenses/by-sa/3.0	</v>
    </spb>
    <spb s="11">
      <v>390</v>
      <v>390</v>
      <v>390</v>
      <v>390</v>
      <v>390</v>
      <v>390</v>
      <v>390</v>
      <v>390</v>
      <v>390</v>
    </spb>
    <spb s="1">
      <v xml:space="preserve">Wikipedia	Cia	travel.state.gov	</v>
      <v xml:space="preserve">CC-BY-SA			</v>
      <v xml:space="preserve">http://en.wikipedia.org/wiki/Costa_Rica	https://www.cia.gov/library/publications/the-world-factbook/geos/cs.html?Transportation	https://travel.state.gov/content/travel/en/international-travel/International-Travel-Country-Information-Pages/CostaRica.html	</v>
      <v xml:space="preserve">http://creativecommons.org/licenses/by-sa/3.0/			</v>
    </spb>
    <spb s="1">
      <v xml:space="preserve">Wikipedia	</v>
      <v xml:space="preserve">CC BY-SA 3.0	</v>
      <v xml:space="preserve">https://en.wikipedia.org/wiki/Costa_Rica	</v>
      <v xml:space="preserve">https://creativecommons.org/licenses/by-sa/3.0	</v>
    </spb>
    <spb s="1">
      <v xml:space="preserve">Wikipedia	</v>
      <v xml:space="preserve">CC-BY-SA	</v>
      <v xml:space="preserve">http://en.wikipedia.org/wiki/Costa_Rica	</v>
      <v xml:space="preserve">http://creativecommons.org/licenses/by-sa/3.0/	</v>
    </spb>
    <spb s="1">
      <v xml:space="preserve">Cia	</v>
      <v xml:space="preserve">	</v>
      <v xml:space="preserve">https://www.cia.gov/library/publications/the-world-factbook/geos/cs.html?Transportation	</v>
      <v xml:space="preserve">	</v>
    </spb>
    <spb s="14">
      <v>10</v>
      <v>392</v>
      <v>393</v>
      <v>393</v>
      <v>13</v>
      <v>393</v>
      <v>393</v>
      <v>393</v>
      <v>394</v>
      <v>393</v>
      <v>393</v>
      <v>394</v>
      <v>393</v>
      <v>393</v>
      <v>395</v>
      <v>16</v>
      <v>392</v>
      <v>395</v>
      <v>17</v>
      <v>393</v>
      <v>395</v>
      <v>18</v>
      <v>19</v>
      <v>20</v>
      <v>395</v>
      <v>395</v>
      <v>393</v>
      <v>395</v>
      <v>21</v>
      <v>22</v>
      <v>23</v>
      <v>44</v>
      <v>395</v>
      <v>392</v>
      <v>395</v>
      <v>395</v>
      <v>395</v>
      <v>395</v>
      <v>395</v>
      <v>395</v>
      <v>395</v>
      <v>395</v>
      <v>395</v>
      <v>395</v>
      <v>24</v>
    </spb>
    <spb s="1">
      <v xml:space="preserve">Wikipedia	</v>
      <v xml:space="preserve">CC BY-SA 3.0	</v>
      <v xml:space="preserve">https://en.wikipedia.org/wiki/Yamoussoukro	</v>
      <v xml:space="preserve">https://creativecommons.org/licenses/by-sa/3.0	</v>
    </spb>
    <spb s="1">
      <v xml:space="preserve">Wikipedia	</v>
      <v xml:space="preserve">CC-BY-SA	</v>
      <v xml:space="preserve">http://en.wikipedia.org/wiki/Yamoussoukro	</v>
      <v xml:space="preserve">http://creativecommons.org/licenses/by-sa/3.0/	</v>
    </spb>
    <spb s="16">
      <v>397</v>
      <v>397</v>
      <v>397</v>
      <v>397</v>
      <v>397</v>
      <v>398</v>
      <v>397</v>
    </spb>
    <spb s="1">
      <v xml:space="preserve">Wikipedia	Cia	travel.state.gov	</v>
      <v xml:space="preserve">CC-BY-SA			</v>
      <v xml:space="preserve">http://en.wikipedia.org/wiki/Ivory_Coast	https://www.cia.gov/library/publications/the-world-factbook/geos/iv.html?Transportation	https://travel.state.gov/content/travel/en/international-travel/International-Travel-Country-Information-Pages/CotedvIoire.html	</v>
      <v xml:space="preserve">http://creativecommons.org/licenses/by-sa/3.0/			</v>
    </spb>
    <spb s="1">
      <v xml:space="preserve">Wikipedia	</v>
      <v xml:space="preserve">CC BY-SA 3.0	</v>
      <v xml:space="preserve">https://en.wikipedia.org/wiki/Ivory_Coast	</v>
      <v xml:space="preserve">https://creativecommons.org/licenses/by-sa/3.0	</v>
    </spb>
    <spb s="1">
      <v xml:space="preserve">Wikipedia	</v>
      <v xml:space="preserve">CC-BY-SA	</v>
      <v xml:space="preserve">http://en.wikipedia.org/wiki/Ivory_Coast	</v>
      <v xml:space="preserve">http://creativecommons.org/licenses/by-sa/3.0/	</v>
    </spb>
    <spb s="1">
      <v xml:space="preserve">Cia	</v>
      <v xml:space="preserve">	</v>
      <v xml:space="preserve">https://www.cia.gov/library/publications/the-world-factbook/geos/iv.html?Transportation	</v>
      <v xml:space="preserve">	</v>
    </spb>
    <spb s="12">
      <v>10</v>
      <v>400</v>
      <v>401</v>
      <v>401</v>
      <v>13</v>
      <v>401</v>
      <v>401</v>
      <v>401</v>
      <v>402</v>
      <v>401</v>
      <v>401</v>
      <v>402</v>
      <v>401</v>
      <v>401</v>
      <v>403</v>
      <v>16</v>
      <v>400</v>
      <v>403</v>
      <v>17</v>
      <v>401</v>
      <v>403</v>
      <v>18</v>
      <v>19</v>
      <v>20</v>
      <v>403</v>
      <v>403</v>
      <v>401</v>
      <v>403</v>
      <v>21</v>
      <v>22</v>
      <v>23</v>
      <v>44</v>
      <v>403</v>
      <v>403</v>
      <v>403</v>
      <v>403</v>
      <v>403</v>
      <v>403</v>
      <v>403</v>
      <v>403</v>
      <v>403</v>
      <v>403</v>
      <v>403</v>
      <v>24</v>
    </spb>
    <spb s="3">
      <v>32</v>
      <v>Name</v>
      <v>LearnMoreOnLink</v>
    </spb>
    <spb s="13">
      <v>2019</v>
      <v>2019</v>
      <v>square km</v>
      <v>per thousand (2018)</v>
      <v>2022</v>
      <v>2019</v>
      <v>2018</v>
      <v>per liter (2016)</v>
      <v>2019</v>
      <v>years (2018)</v>
      <v>2018</v>
      <v>per thousand (2018)</v>
      <v>2019</v>
      <v>2017</v>
      <v>2016</v>
      <v>2019</v>
      <v>2016</v>
      <v>2014</v>
      <v>kilotons per year (2016)</v>
      <v>deaths per 100,000 (2017)</v>
      <v>kWh (2014)</v>
      <v>2014</v>
      <v>2015</v>
      <v>2015</v>
      <v>2015</v>
      <v>2015</v>
      <v>2015</v>
      <v>2015</v>
      <v>2015</v>
      <v>2015</v>
      <v>2018</v>
      <v>2017</v>
      <v>2019</v>
    </spb>
    <spb s="1">
      <v xml:space="preserve">Wikipedia	</v>
      <v xml:space="preserve">CC BY-SA 3.0	</v>
      <v xml:space="preserve">https://en.wikipedia.org/wiki/Zagreb	</v>
      <v xml:space="preserve">https://creativecommons.org/licenses/by-sa/3.0	</v>
    </spb>
    <spb s="1">
      <v xml:space="preserve">Wikipedia	</v>
      <v xml:space="preserve">CC-BY-SA	</v>
      <v xml:space="preserve">http://en.wikipedia.org/wiki/Zagreb	</v>
      <v xml:space="preserve">http://creativecommons.org/licenses/by-sa/3.0/	</v>
    </spb>
    <spb s="16">
      <v>407</v>
      <v>407</v>
      <v>407</v>
      <v>407</v>
      <v>407</v>
      <v>408</v>
      <v>407</v>
    </spb>
    <spb s="1">
      <v xml:space="preserve">Wikipedia	Cia	travel.state.gov	</v>
      <v xml:space="preserve">CC-BY-SA			</v>
      <v xml:space="preserve">http://en.wikipedia.org/wiki/Croatia	https://www.cia.gov/library/publications/the-world-factbook/geos/hr.html?Transportation	https://travel.state.gov/content/travel/en/international-travel/International-Travel-Country-Information-Pages/Croatia.html	</v>
      <v xml:space="preserve">http://creativecommons.org/licenses/by-sa/3.0/			</v>
    </spb>
    <spb s="1">
      <v xml:space="preserve">Wikipedia	</v>
      <v xml:space="preserve">CC BY-SA 3.0	</v>
      <v xml:space="preserve">https://en.wikipedia.org/wiki/Croatia	</v>
      <v xml:space="preserve">https://creativecommons.org/licenses/by-sa/3.0	</v>
    </spb>
    <spb s="1">
      <v xml:space="preserve">Wikipedia	</v>
      <v xml:space="preserve">CC-BY-SA	</v>
      <v xml:space="preserve">http://en.wikipedia.org/wiki/Croatia	</v>
      <v xml:space="preserve">http://creativecommons.org/licenses/by-sa/3.0/	</v>
    </spb>
    <spb s="1">
      <v xml:space="preserve">Cia	</v>
      <v xml:space="preserve">	</v>
      <v xml:space="preserve">https://www.cia.gov/library/publications/the-world-factbook/geos/hr.html?Transportation	</v>
      <v xml:space="preserve">	</v>
    </spb>
    <spb s="14">
      <v>10</v>
      <v>410</v>
      <v>411</v>
      <v>411</v>
      <v>13</v>
      <v>411</v>
      <v>411</v>
      <v>411</v>
      <v>412</v>
      <v>411</v>
      <v>411</v>
      <v>412</v>
      <v>411</v>
      <v>411</v>
      <v>413</v>
      <v>16</v>
      <v>410</v>
      <v>413</v>
      <v>17</v>
      <v>411</v>
      <v>413</v>
      <v>18</v>
      <v>19</v>
      <v>20</v>
      <v>413</v>
      <v>413</v>
      <v>411</v>
      <v>413</v>
      <v>21</v>
      <v>22</v>
      <v>23</v>
      <v>44</v>
      <v>413</v>
      <v>410</v>
      <v>413</v>
      <v>413</v>
      <v>413</v>
      <v>413</v>
      <v>413</v>
      <v>413</v>
      <v>413</v>
      <v>413</v>
      <v>413</v>
      <v>413</v>
      <v>24</v>
    </spb>
    <spb s="15">
      <v>2019</v>
      <v>2019</v>
      <v>square km</v>
      <v>per thousand (2018)</v>
      <v>2022</v>
      <v>2019</v>
      <v>2018</v>
      <v>per liter (2016)</v>
      <v>2019</v>
      <v>years (2018)</v>
      <v>2018</v>
      <v>per thousand (2018)</v>
      <v>2019</v>
      <v>2017</v>
      <v>2016</v>
      <v>2019</v>
      <v>2016</v>
      <v>2016</v>
      <v>kilotons per year (2016)</v>
      <v>deaths per 100,000 (2017)</v>
      <v>kWh (2014)</v>
      <v>2014</v>
      <v>2019</v>
      <v>2017</v>
      <v>2017</v>
      <v>2017</v>
      <v>2017</v>
      <v>2017</v>
      <v>2015</v>
      <v>2017</v>
      <v>2017</v>
      <v>2017</v>
      <v>2017</v>
      <v>2019</v>
    </spb>
    <spb s="1">
      <v xml:space="preserve">Wikipedia	</v>
      <v xml:space="preserve">CC BY-SA 3.0	</v>
      <v xml:space="preserve">https://en.wikipedia.org/wiki/Havana	</v>
      <v xml:space="preserve">https://creativecommons.org/licenses/by-sa/3.0	</v>
    </spb>
    <spb s="1">
      <v xml:space="preserve">Wikipedia	</v>
      <v xml:space="preserve">CC-BY-SA	</v>
      <v xml:space="preserve">http://en.wikipedia.org/wiki/Havana	</v>
      <v xml:space="preserve">http://creativecommons.org/licenses/by-sa/3.0/	</v>
    </spb>
    <spb s="16">
      <v>416</v>
      <v>416</v>
      <v>416</v>
      <v>416</v>
      <v>416</v>
      <v>417</v>
      <v>416</v>
    </spb>
    <spb s="1">
      <v xml:space="preserve">Wikipedia	Cia	travel.state.gov	</v>
      <v xml:space="preserve">CC-BY-SA			</v>
      <v xml:space="preserve">http://en.wikipedia.org/wiki/Cuba	https://www.cia.gov/library/publications/the-world-factbook/geos/cu.html?Transportation	https://travel.state.gov/content/travel/en/international-travel/International-Travel-Country-Information-Pages/Cuba.html	</v>
      <v xml:space="preserve">http://creativecommons.org/licenses/by-sa/3.0/			</v>
    </spb>
    <spb s="1">
      <v xml:space="preserve">Wikipedia	</v>
      <v xml:space="preserve">CC BY-SA 3.0	</v>
      <v xml:space="preserve">https://en.wikipedia.org/wiki/Cuba	</v>
      <v xml:space="preserve">https://creativecommons.org/licenses/by-sa/3.0	</v>
    </spb>
    <spb s="1">
      <v xml:space="preserve">Wikipedia	</v>
      <v xml:space="preserve">CC-BY-SA	</v>
      <v xml:space="preserve">http://en.wikipedia.org/wiki/Cuba	</v>
      <v xml:space="preserve">http://creativecommons.org/licenses/by-sa/3.0/	</v>
    </spb>
    <spb s="1">
      <v xml:space="preserve">Cia	</v>
      <v xml:space="preserve">	</v>
      <v xml:space="preserve">https://www.cia.gov/library/publications/the-world-factbook/geos/cu.html?Transportation	</v>
      <v xml:space="preserve">	</v>
    </spb>
    <spb s="50">
      <v>419</v>
      <v>420</v>
      <v>420</v>
      <v>13</v>
      <v>420</v>
      <v>420</v>
      <v>420</v>
      <v>421</v>
      <v>420</v>
      <v>420</v>
      <v>421</v>
      <v>420</v>
      <v>420</v>
      <v>16</v>
      <v>419</v>
      <v>17</v>
      <v>420</v>
      <v>18</v>
      <v>19</v>
      <v>20</v>
      <v>422</v>
      <v>422</v>
      <v>420</v>
      <v>422</v>
      <v>21</v>
      <v>22</v>
      <v>23</v>
      <v>44</v>
      <v>422</v>
      <v>422</v>
      <v>422</v>
      <v>24</v>
    </spb>
    <spb s="3">
      <v>33</v>
      <v>Name</v>
      <v>LearnMoreOnLink</v>
    </spb>
    <spb s="51">
      <v>2018</v>
      <v>square km</v>
      <v>per thousand (2018)</v>
      <v>2022</v>
      <v>2018</v>
      <v>per liter (2014)</v>
      <v>years (2018)</v>
      <v>per thousand (2018)</v>
      <v>2019</v>
      <v>2017</v>
      <v>2016</v>
      <v>2019</v>
      <v>2016</v>
      <v>2018</v>
      <v>kilotons per year (2016)</v>
      <v>deaths per 100,000 (2017)</v>
      <v>kWh (2014)</v>
      <v>2014</v>
      <v>2018</v>
      <v>2018</v>
      <v>2019</v>
    </spb>
    <spb s="1">
      <v xml:space="preserve">Wikipedia	</v>
      <v xml:space="preserve">CC BY-SA 3.0	</v>
      <v xml:space="preserve">https://en.wikipedia.org/wiki/Nicosia	</v>
      <v xml:space="preserve">https://creativecommons.org/licenses/by-sa/3.0	</v>
    </spb>
    <spb s="11">
      <v>426</v>
      <v>426</v>
      <v>426</v>
      <v>426</v>
      <v>426</v>
      <v>426</v>
      <v>426</v>
      <v>426</v>
      <v>426</v>
    </spb>
    <spb s="1">
      <v xml:space="preserve">Wikipedia	Cia	travel.state.gov	</v>
      <v xml:space="preserve">CC-BY-SA			</v>
      <v xml:space="preserve">http://en.wikipedia.org/wiki/Cyprus	https://www.cia.gov/library/publications/the-world-factbook/geos/cy.html?Transportation	https://travel.state.gov/content/travel/en/international-travel/International-Travel-Country-Information-Pages/Cyprus.html	</v>
      <v xml:space="preserve">http://creativecommons.org/licenses/by-sa/3.0/			</v>
    </spb>
    <spb s="1">
      <v xml:space="preserve">Wikipedia	</v>
      <v xml:space="preserve">CC BY-SA 3.0	</v>
      <v xml:space="preserve">https://en.wikipedia.org/wiki/Cyprus	</v>
      <v xml:space="preserve">https://creativecommons.org/licenses/by-sa/3.0	</v>
    </spb>
    <spb s="1">
      <v xml:space="preserve">Wikipedia	</v>
      <v xml:space="preserve">CC-BY-SA	</v>
      <v xml:space="preserve">http://en.wikipedia.org/wiki/Cyprus	</v>
      <v xml:space="preserve">http://creativecommons.org/licenses/by-sa/3.0/	</v>
    </spb>
    <spb s="1">
      <v xml:space="preserve">Cia	</v>
      <v xml:space="preserve">	</v>
      <v xml:space="preserve">https://www.cia.gov/library/publications/the-world-factbook/geos/cy.html?Transportation	</v>
      <v xml:space="preserve">	</v>
    </spb>
    <spb s="52">
      <v>10</v>
      <v>428</v>
      <v>429</v>
      <v>429</v>
      <v>13</v>
      <v>429</v>
      <v>429</v>
      <v>429</v>
      <v>430</v>
      <v>429</v>
      <v>429</v>
      <v>429</v>
      <v>429</v>
      <v>431</v>
      <v>16</v>
      <v>428</v>
      <v>431</v>
      <v>17</v>
      <v>429</v>
      <v>431</v>
      <v>18</v>
      <v>19</v>
      <v>20</v>
      <v>431</v>
      <v>431</v>
      <v>429</v>
      <v>431</v>
      <v>21</v>
      <v>22</v>
      <v>23</v>
      <v>44</v>
      <v>431</v>
      <v>428</v>
      <v>431</v>
      <v>431</v>
      <v>431</v>
      <v>431</v>
      <v>431</v>
      <v>431</v>
      <v>431</v>
      <v>431</v>
      <v>431</v>
      <v>431</v>
      <v>24</v>
    </spb>
    <spb s="3">
      <v>34</v>
      <v>Name</v>
      <v>LearnMoreOnLink</v>
    </spb>
    <spb s="1">
      <v xml:space="preserve">Wikipedia	</v>
      <v xml:space="preserve">CC BY-SA 3.0	</v>
      <v xml:space="preserve">https://en.wikipedia.org/wiki/Prague	</v>
      <v xml:space="preserve">https://creativecommons.org/licenses/by-sa/3.0	</v>
    </spb>
    <spb s="1">
      <v xml:space="preserve">Wikipedia	</v>
      <v xml:space="preserve">CC-BY-SA	</v>
      <v xml:space="preserve">http://en.wikipedia.org/wiki/Prague	</v>
      <v xml:space="preserve">http://creativecommons.org/licenses/by-sa/3.0/	</v>
    </spb>
    <spb s="16">
      <v>434</v>
      <v>434</v>
      <v>434</v>
      <v>434</v>
      <v>434</v>
      <v>435</v>
      <v>434</v>
    </spb>
    <spb s="1">
      <v xml:space="preserve">Wikipedia	</v>
      <v xml:space="preserve">CC BY-SA 3.0	</v>
      <v xml:space="preserve">https://en.wikipedia.org/wiki/Copenhagen	</v>
      <v xml:space="preserve">https://creativecommons.org/licenses/by-sa/3.0	</v>
    </spb>
    <spb s="2">
      <v>437</v>
      <v>437</v>
      <v>437</v>
      <v>437</v>
      <v>437</v>
      <v>437</v>
      <v>437</v>
      <v>437</v>
      <v>437</v>
      <v>437</v>
    </spb>
    <spb s="1">
      <v xml:space="preserve">Wikipedia	</v>
      <v xml:space="preserve">CC-BY-SA	</v>
      <v xml:space="preserve">http://en.wikipedia.org/wiki/Djibouti_(city)	</v>
      <v xml:space="preserve">http://creativecommons.org/licenses/by-sa/3.0/	</v>
    </spb>
    <spb s="1">
      <v xml:space="preserve">Wikipedia	</v>
      <v xml:space="preserve">CC BY-SA 3.0	</v>
      <v xml:space="preserve">https://en.wikipedia.org/wiki/Djibouti_City	</v>
      <v xml:space="preserve">https://creativecommons.org/licenses/by-sa/3.0	</v>
    </spb>
    <spb s="16">
      <v>439</v>
      <v>440</v>
      <v>440</v>
      <v>440</v>
      <v>440</v>
      <v>439</v>
      <v>440</v>
    </spb>
    <spb s="8">
      <v>square km</v>
      <v>2018</v>
    </spb>
    <spb s="1">
      <v xml:space="preserve">Wikipedia	Cia	travel.state.gov	</v>
      <v xml:space="preserve">CC-BY-SA			</v>
      <v xml:space="preserve">http://en.wikipedia.org/wiki/Djibouti	https://www.cia.gov/library/publications/the-world-factbook/geos/dj.html?Transportation	https://travel.state.gov/content/travel/en/international-travel/International-Travel-Country-Information-Pages/Djibouti.html	</v>
      <v xml:space="preserve">http://creativecommons.org/licenses/by-sa/3.0/			</v>
    </spb>
    <spb s="1">
      <v xml:space="preserve">Wikipedia	</v>
      <v xml:space="preserve">CC BY-SA 3.0	</v>
      <v xml:space="preserve">https://en.wikipedia.org/wiki/Djibouti	</v>
      <v xml:space="preserve">https://creativecommons.org/licenses/by-sa/3.0	</v>
    </spb>
    <spb s="1">
      <v xml:space="preserve">Wikipedia	</v>
      <v xml:space="preserve">CC-BY-SA	</v>
      <v xml:space="preserve">http://en.wikipedia.org/wiki/Djibouti	</v>
      <v xml:space="preserve">http://creativecommons.org/licenses/by-sa/3.0/	</v>
    </spb>
    <spb s="1">
      <v xml:space="preserve">Cia	</v>
      <v xml:space="preserve">	</v>
      <v xml:space="preserve">https://www.cia.gov/library/publications/the-world-factbook/geos/dj.html?Transportation	</v>
      <v xml:space="preserve">	</v>
    </spb>
    <spb s="53">
      <v>10</v>
      <v>443</v>
      <v>444</v>
      <v>444</v>
      <v>13</v>
      <v>444</v>
      <v>444</v>
      <v>444</v>
      <v>445</v>
      <v>444</v>
      <v>444</v>
      <v>444</v>
      <v>444</v>
      <v>446</v>
      <v>16</v>
      <v>443</v>
      <v>446</v>
      <v>17</v>
      <v>444</v>
      <v>18</v>
      <v>19</v>
      <v>20</v>
      <v>446</v>
      <v>446</v>
      <v>444</v>
      <v>446</v>
      <v>21</v>
      <v>22</v>
      <v>23</v>
      <v>446</v>
      <v>446</v>
      <v>446</v>
      <v>446</v>
      <v>446</v>
      <v>446</v>
      <v>446</v>
      <v>446</v>
      <v>446</v>
      <v>446</v>
      <v>446</v>
      <v>24</v>
    </spb>
    <spb s="3">
      <v>35</v>
      <v>Name</v>
      <v>LearnMoreOnLink</v>
    </spb>
    <spb s="54">
      <v>2019</v>
      <v>2019</v>
      <v>square km</v>
      <v>per thousand (2018)</v>
      <v>2022</v>
      <v>2019</v>
      <v>2018</v>
      <v>per liter (2016)</v>
      <v>2019</v>
      <v>years (2018)</v>
      <v>per thousand (2018)</v>
      <v>2019</v>
      <v>2017</v>
      <v>2016</v>
      <v>2019</v>
      <v>2016</v>
      <v>2014</v>
      <v>kilotons per year (2016)</v>
      <v>deaths per 100,000 (2017)</v>
      <v>2007</v>
      <v>2017</v>
      <v>2017</v>
      <v>2017</v>
      <v>2017</v>
      <v>2017</v>
      <v>2015</v>
      <v>2017</v>
      <v>2017</v>
      <v>2019</v>
      <v>2011</v>
      <v>2019</v>
    </spb>
    <spb s="1">
      <v xml:space="preserve">Wikipedia	</v>
      <v xml:space="preserve">CC BY-SA 3.0	</v>
      <v xml:space="preserve">https://en.wikipedia.org/wiki/Roseau	</v>
      <v xml:space="preserve">https://creativecommons.org/licenses/by-sa/3.0	</v>
    </spb>
    <spb s="55">
      <v>450</v>
      <v>450</v>
      <v>450</v>
      <v>450</v>
      <v>450</v>
      <v>450</v>
      <v>450</v>
      <v>450</v>
    </spb>
    <spb s="3">
      <v>36</v>
      <v>Name</v>
      <v>LearnMoreOnLink</v>
    </spb>
    <spb s="56">
      <v>2011</v>
    </spb>
    <spb s="1">
      <v xml:space="preserve">Wikipedia	Cia	Facebook	</v>
      <v xml:space="preserve">CC-BY-SA			</v>
      <v xml:space="preserve">http://en.wikipedia.org/wiki/Dominica	https://www.cia.gov/library/publications/the-world-factbook/geos/do.html?Transportation	https://www.facebook.com/DiscoverDominica	</v>
      <v xml:space="preserve">http://creativecommons.org/licenses/by-sa/3.0/			</v>
    </spb>
    <spb s="1">
      <v xml:space="preserve">Wikipedia	</v>
      <v xml:space="preserve">CC BY-SA 3.0	</v>
      <v xml:space="preserve">https://en.wikipedia.org/wiki/Dominica	</v>
      <v xml:space="preserve">https://creativecommons.org/licenses/by-sa/3.0	</v>
    </spb>
    <spb s="1">
      <v xml:space="preserve">Wikipedia	</v>
      <v xml:space="preserve">CC-BY-SA	</v>
      <v xml:space="preserve">http://en.wikipedia.org/wiki/Dominica	</v>
      <v xml:space="preserve">http://creativecommons.org/licenses/by-sa/3.0/	</v>
    </spb>
    <spb s="1">
      <v xml:space="preserve">Cia	</v>
      <v xml:space="preserve">	</v>
      <v xml:space="preserve">https://www.cia.gov/library/publications/the-world-factbook/geos/do.html?Transportation	</v>
      <v xml:space="preserve">	</v>
    </spb>
    <spb s="57">
      <v>10</v>
      <v>454</v>
      <v>455</v>
      <v>455</v>
      <v>13</v>
      <v>455</v>
      <v>455</v>
      <v>455</v>
      <v>456</v>
      <v>455</v>
      <v>455</v>
      <v>456</v>
      <v>455</v>
      <v>455</v>
      <v>457</v>
      <v>16</v>
      <v>457</v>
      <v>17</v>
      <v>455</v>
      <v>457</v>
      <v>18</v>
      <v>19</v>
      <v>457</v>
      <v>455</v>
      <v>457</v>
      <v>21</v>
      <v>22</v>
      <v>457</v>
      <v>457</v>
      <v>457</v>
      <v>457</v>
    </spb>
    <spb s="3">
      <v>37</v>
      <v>Name</v>
      <v>LearnMoreOnLink</v>
    </spb>
    <spb s="58">
      <v>2018</v>
      <v>2019</v>
      <v>square km</v>
      <v>per thousand (2014)</v>
      <v>2022</v>
      <v>2018</v>
      <v>2003</v>
      <v>2019</v>
      <v>years (2002)</v>
      <v>2014</v>
      <v>per thousand (2018)</v>
      <v>2019</v>
      <v>2016</v>
      <v>2016</v>
      <v>2017</v>
      <v>kilotons per year (2016)</v>
      <v>2007</v>
      <v>2015</v>
      <v>2016</v>
      <v>1993</v>
    </spb>
    <spb s="1">
      <v xml:space="preserve">Wikipedia	</v>
      <v xml:space="preserve">CC BY-SA 3.0	</v>
      <v xml:space="preserve">https://en.wikipedia.org/wiki/Santo_Domingo	</v>
      <v xml:space="preserve">https://creativecommons.org/licenses/by-sa/3.0	</v>
    </spb>
    <spb s="11">
      <v>461</v>
      <v>461</v>
      <v>461</v>
      <v>461</v>
      <v>461</v>
      <v>461</v>
      <v>461</v>
      <v>461</v>
      <v>461</v>
    </spb>
    <spb s="1">
      <v xml:space="preserve">Wikipedia	Cia	Youtube	</v>
      <v xml:space="preserve">CC-BY-SA			</v>
      <v xml:space="preserve">http://en.wikipedia.org/wiki/Dominican_Republic	https://www.cia.gov/library/publications/the-world-factbook/geos/dr.html?Transportation	https://www.youtube.com/user/DominicanRepublic100	</v>
      <v xml:space="preserve">http://creativecommons.org/licenses/by-sa/3.0/			</v>
    </spb>
    <spb s="1">
      <v xml:space="preserve">Wikipedia	</v>
      <v xml:space="preserve">CC BY-SA 3.0	</v>
      <v xml:space="preserve">https://en.wikipedia.org/wiki/Dominican_Republic	</v>
      <v xml:space="preserve">https://creativecommons.org/licenses/by-sa/3.0	</v>
    </spb>
    <spb s="1">
      <v xml:space="preserve">Wikipedia	</v>
      <v xml:space="preserve">CC-BY-SA	</v>
      <v xml:space="preserve">http://en.wikipedia.org/wiki/Dominican_Republic	</v>
      <v xml:space="preserve">http://creativecommons.org/licenses/by-sa/3.0/	</v>
    </spb>
    <spb s="1">
      <v xml:space="preserve">Cia	</v>
      <v xml:space="preserve">	</v>
      <v xml:space="preserve">https://www.cia.gov/library/publications/the-world-factbook/geos/dr.html?Transportation	</v>
      <v xml:space="preserve">	</v>
    </spb>
    <spb s="12">
      <v>10</v>
      <v>463</v>
      <v>464</v>
      <v>464</v>
      <v>13</v>
      <v>464</v>
      <v>464</v>
      <v>464</v>
      <v>465</v>
      <v>464</v>
      <v>464</v>
      <v>465</v>
      <v>464</v>
      <v>464</v>
      <v>466</v>
      <v>16</v>
      <v>463</v>
      <v>466</v>
      <v>17</v>
      <v>464</v>
      <v>466</v>
      <v>18</v>
      <v>19</v>
      <v>20</v>
      <v>466</v>
      <v>466</v>
      <v>464</v>
      <v>466</v>
      <v>21</v>
      <v>22</v>
      <v>23</v>
      <v>44</v>
      <v>466</v>
      <v>466</v>
      <v>466</v>
      <v>466</v>
      <v>466</v>
      <v>466</v>
      <v>466</v>
      <v>466</v>
      <v>466</v>
      <v>466</v>
      <v>466</v>
      <v>24</v>
    </spb>
    <spb s="13">
      <v>2019</v>
      <v>2019</v>
      <v>square km</v>
      <v>per thousand (2018)</v>
      <v>2022</v>
      <v>2019</v>
      <v>2018</v>
      <v>per liter (2016)</v>
      <v>2019</v>
      <v>years (2018)</v>
      <v>2018</v>
      <v>per thousand (2018)</v>
      <v>2019</v>
      <v>2017</v>
      <v>2016</v>
      <v>2019</v>
      <v>2016</v>
      <v>2017</v>
      <v>kilotons per year (2016)</v>
      <v>deaths per 100,000 (2017)</v>
      <v>kWh (2014)</v>
      <v>2014</v>
      <v>2018</v>
      <v>2018</v>
      <v>2018</v>
      <v>2018</v>
      <v>2018</v>
      <v>2015</v>
      <v>2018</v>
      <v>2018</v>
      <v>2018</v>
      <v>2017</v>
      <v>2019</v>
    </spb>
    <spb s="1">
      <v xml:space="preserve">Wikipedia	</v>
      <v xml:space="preserve">CC BY-SA 3.0	</v>
      <v xml:space="preserve">https://en.wikipedia.org/wiki/Kinshasa	</v>
      <v xml:space="preserve">https://creativecommons.org/licenses/by-sa/3.0	</v>
    </spb>
    <spb s="1">
      <v xml:space="preserve">Wikipedia	</v>
      <v xml:space="preserve">CC-BY-SA	</v>
      <v xml:space="preserve">http://en.wikipedia.org/wiki/Kinshasa	</v>
      <v xml:space="preserve">http://creativecommons.org/licenses/by-sa/3.0/	</v>
    </spb>
    <spb s="16">
      <v>469</v>
      <v>469</v>
      <v>469</v>
      <v>469</v>
      <v>469</v>
      <v>470</v>
      <v>469</v>
    </spb>
    <spb s="1">
      <v xml:space="preserve">Wikipedia	Cia	travel.state.gov	</v>
      <v xml:space="preserve">CC-BY-SA			</v>
      <v xml:space="preserve">http://en.wikipedia.org/wiki/Democratic_Republic_of_the_Congo	https://www.cia.gov/library/publications/the-world-factbook/geos/cg.html?Transportation	https://travel.state.gov/content/travel/en/international-travel/International-Travel-Country-Information-Pages/DemocraticRepublicoftheCongoDRC.html	</v>
      <v xml:space="preserve">http://creativecommons.org/licenses/by-sa/3.0/			</v>
    </spb>
    <spb s="1">
      <v xml:space="preserve">Wikipedia	</v>
      <v xml:space="preserve">CC BY-SA 3.0	</v>
      <v xml:space="preserve">https://en.wikipedia.org/wiki/Democratic_Republic_of_the_Congo	</v>
      <v xml:space="preserve">https://creativecommons.org/licenses/by-sa/3.0	</v>
    </spb>
    <spb s="1">
      <v xml:space="preserve">Wikipedia	</v>
      <v xml:space="preserve">CC-BY-SA	</v>
      <v xml:space="preserve">http://en.wikipedia.org/wiki/Democratic_Republic_of_the_Congo	</v>
      <v xml:space="preserve">http://creativecommons.org/licenses/by-sa/3.0/	</v>
    </spb>
    <spb s="1">
      <v xml:space="preserve">Cia	</v>
      <v xml:space="preserve">	</v>
      <v xml:space="preserve">https://www.cia.gov/library/publications/the-world-factbook/geos/cg.html?Transportation	</v>
      <v xml:space="preserve">	</v>
    </spb>
    <spb s="12">
      <v>10</v>
      <v>472</v>
      <v>473</v>
      <v>473</v>
      <v>13</v>
      <v>473</v>
      <v>473</v>
      <v>473</v>
      <v>474</v>
      <v>473</v>
      <v>473</v>
      <v>474</v>
      <v>473</v>
      <v>473</v>
      <v>475</v>
      <v>16</v>
      <v>472</v>
      <v>475</v>
      <v>17</v>
      <v>473</v>
      <v>475</v>
      <v>18</v>
      <v>19</v>
      <v>20</v>
      <v>475</v>
      <v>475</v>
      <v>473</v>
      <v>475</v>
      <v>21</v>
      <v>22</v>
      <v>23</v>
      <v>44</v>
      <v>475</v>
      <v>475</v>
      <v>475</v>
      <v>475</v>
      <v>475</v>
      <v>475</v>
      <v>475</v>
      <v>475</v>
      <v>475</v>
      <v>475</v>
      <v>475</v>
      <v>24</v>
    </spb>
    <spb s="13">
      <v>2016</v>
      <v>2019</v>
      <v>square km</v>
      <v>per thousand (2018)</v>
      <v>2021</v>
      <v>2016</v>
      <v>2018</v>
      <v>per liter (2016)</v>
      <v>2019</v>
      <v>years (2018)</v>
      <v>1989</v>
      <v>per thousand (2018)</v>
      <v>2019</v>
      <v>2017</v>
      <v>2016</v>
      <v>2019</v>
      <v>2016</v>
      <v>2016</v>
      <v>kilotons per year (2016)</v>
      <v>deaths per 100,000 (2017)</v>
      <v>kWh (2014)</v>
      <v>2014</v>
      <v>2012</v>
      <v>2012</v>
      <v>2012</v>
      <v>2012</v>
      <v>2012</v>
      <v>2015</v>
      <v>2012</v>
      <v>2012</v>
      <v>2015</v>
      <v>2016</v>
      <v>2019</v>
    </spb>
    <spb s="1">
      <v xml:space="preserve">Wikipedia	</v>
      <v xml:space="preserve">CC BY-SA 3.0	</v>
      <v xml:space="preserve">https://en.wikipedia.org/wiki/Quito	</v>
      <v xml:space="preserve">https://creativecommons.org/licenses/by-sa/3.0	</v>
    </spb>
    <spb s="2">
      <v>478</v>
      <v>478</v>
      <v>478</v>
      <v>478</v>
      <v>478</v>
      <v>478</v>
      <v>478</v>
      <v>478</v>
      <v>478</v>
      <v>478</v>
    </spb>
    <spb s="1">
      <v xml:space="preserve">Wikipedia	Cia	travel.state.gov	</v>
      <v xml:space="preserve">CC-BY-SA			</v>
      <v xml:space="preserve">http://en.wikipedia.org/wiki/Ecuador	https://www.cia.gov/library/publications/the-world-factbook/geos/ec.html?Transportation	https://travel.state.gov/content/travel/en/international-travel/International-Travel-Country-Information-Pages/Ecuador.html	</v>
      <v xml:space="preserve">http://creativecommons.org/licenses/by-sa/3.0/			</v>
    </spb>
    <spb s="1">
      <v xml:space="preserve">Wikipedia	</v>
      <v xml:space="preserve">CC BY-SA 3.0	</v>
      <v xml:space="preserve">https://en.wikipedia.org/wiki/Ecuador	</v>
      <v xml:space="preserve">https://creativecommons.org/licenses/by-sa/3.0	</v>
    </spb>
    <spb s="1">
      <v xml:space="preserve">Wikipedia	</v>
      <v xml:space="preserve">CC-BY-SA	</v>
      <v xml:space="preserve">http://en.wikipedia.org/wiki/Ecuador	</v>
      <v xml:space="preserve">http://creativecommons.org/licenses/by-sa/3.0/	</v>
    </spb>
    <spb s="1">
      <v xml:space="preserve">Cia	</v>
      <v xml:space="preserve">	</v>
      <v xml:space="preserve">https://www.cia.gov/library/publications/the-world-factbook/geos/ec.html?Transportation	</v>
      <v xml:space="preserve">	</v>
    </spb>
    <spb s="59">
      <v>10</v>
      <v>480</v>
      <v>481</v>
      <v>481</v>
      <v>13</v>
      <v>481</v>
      <v>481</v>
      <v>481</v>
      <v>482</v>
      <v>481</v>
      <v>481</v>
      <v>482</v>
      <v>481</v>
      <v>481</v>
      <v>483</v>
      <v>16</v>
      <v>480</v>
      <v>483</v>
      <v>17</v>
      <v>481</v>
      <v>18</v>
      <v>19</v>
      <v>20</v>
      <v>483</v>
      <v>483</v>
      <v>481</v>
      <v>483</v>
      <v>21</v>
      <v>22</v>
      <v>23</v>
      <v>44</v>
      <v>483</v>
      <v>480</v>
      <v>483</v>
      <v>483</v>
      <v>483</v>
      <v>483</v>
      <v>483</v>
      <v>483</v>
      <v>483</v>
      <v>483</v>
      <v>483</v>
      <v>483</v>
      <v>24</v>
    </spb>
    <spb s="3">
      <v>38</v>
      <v>Name</v>
      <v>LearnMoreOnLink</v>
    </spb>
    <spb s="60">
      <v>2019</v>
      <v>2019</v>
      <v>square km</v>
      <v>per thousand (2018)</v>
      <v>2022</v>
      <v>2019</v>
      <v>2018</v>
      <v>per liter (2016)</v>
      <v>2019</v>
      <v>years (2018)</v>
      <v>per thousand (2018)</v>
      <v>2019</v>
      <v>2017</v>
      <v>2016</v>
      <v>2019</v>
      <v>2016</v>
      <v>2016</v>
      <v>kilotons per year (2016)</v>
      <v>deaths per 100,000 (2017)</v>
      <v>kWh (2014)</v>
      <v>2014</v>
      <v>2000</v>
      <v>2018</v>
      <v>2018</v>
      <v>2018</v>
      <v>2018</v>
      <v>2018</v>
      <v>2015</v>
      <v>2018</v>
      <v>2018</v>
      <v>2018</v>
      <v>2015</v>
      <v>2019</v>
    </spb>
    <spb s="1">
      <v xml:space="preserve">Wikipedia	</v>
      <v xml:space="preserve">CC BY-SA 3.0	</v>
      <v xml:space="preserve">https://en.wikipedia.org/wiki/Cairo	</v>
      <v xml:space="preserve">https://creativecommons.org/licenses/by-sa/3.0	</v>
    </spb>
    <spb s="2">
      <v>487</v>
      <v>487</v>
      <v>487</v>
      <v>487</v>
      <v>487</v>
      <v>487</v>
      <v>487</v>
      <v>487</v>
      <v>487</v>
      <v>487</v>
    </spb>
    <spb s="1">
      <v xml:space="preserve">Wikipedia	Cia	travel.state.gov	</v>
      <v xml:space="preserve">CC-BY-SA			</v>
      <v xml:space="preserve">http://en.wikipedia.org/wiki/Egypt	https://www.cia.gov/library/publications/the-world-factbook/geos/eg.html?Transportation	https://travel.state.gov/content/travel/en/international-travel/International-Travel-Country-Information-Pages/Egypt.html	</v>
      <v xml:space="preserve">http://creativecommons.org/licenses/by-sa/3.0/			</v>
    </spb>
    <spb s="1">
      <v xml:space="preserve">Wikipedia	</v>
      <v xml:space="preserve">CC BY-SA 3.0	</v>
      <v xml:space="preserve">https://en.wikipedia.org/wiki/Egypt	</v>
      <v xml:space="preserve">https://creativecommons.org/licenses/by-sa/3.0	</v>
    </spb>
    <spb s="1">
      <v xml:space="preserve">Wikipedia	</v>
      <v xml:space="preserve">CC-BY-SA	</v>
      <v xml:space="preserve">http://en.wikipedia.org/wiki/Egypt	</v>
      <v xml:space="preserve">http://creativecommons.org/licenses/by-sa/3.0/	</v>
    </spb>
    <spb s="1">
      <v xml:space="preserve">Cia	</v>
      <v xml:space="preserve">	</v>
      <v xml:space="preserve">https://www.cia.gov/library/publications/the-world-factbook/geos/eg.html?Transportation	</v>
      <v xml:space="preserve">	</v>
    </spb>
    <spb s="52">
      <v>10</v>
      <v>489</v>
      <v>490</v>
      <v>490</v>
      <v>13</v>
      <v>490</v>
      <v>490</v>
      <v>490</v>
      <v>491</v>
      <v>490</v>
      <v>490</v>
      <v>490</v>
      <v>490</v>
      <v>492</v>
      <v>16</v>
      <v>489</v>
      <v>492</v>
      <v>17</v>
      <v>490</v>
      <v>492</v>
      <v>18</v>
      <v>19</v>
      <v>20</v>
      <v>492</v>
      <v>492</v>
      <v>490</v>
      <v>492</v>
      <v>21</v>
      <v>22</v>
      <v>23</v>
      <v>44</v>
      <v>492</v>
      <v>489</v>
      <v>492</v>
      <v>492</v>
      <v>492</v>
      <v>492</v>
      <v>492</v>
      <v>492</v>
      <v>492</v>
      <v>492</v>
      <v>492</v>
      <v>492</v>
      <v>24</v>
    </spb>
    <spb s="15">
      <v>2019</v>
      <v>2019</v>
      <v>square km</v>
      <v>per thousand (2018)</v>
      <v>2022</v>
      <v>2019</v>
      <v>2018</v>
      <v>per liter (2016)</v>
      <v>2019</v>
      <v>years (2018)</v>
      <v>2015</v>
      <v>per thousand (2018)</v>
      <v>2019</v>
      <v>2017</v>
      <v>2016</v>
      <v>2019</v>
      <v>2016</v>
      <v>2018</v>
      <v>kilotons per year (2016)</v>
      <v>deaths per 100,000 (2017)</v>
      <v>kWh (2014)</v>
      <v>2014</v>
      <v>2019</v>
      <v>2017</v>
      <v>2017</v>
      <v>2017</v>
      <v>2017</v>
      <v>2017</v>
      <v>2015</v>
      <v>2017</v>
      <v>2017</v>
      <v>2018</v>
      <v>2017</v>
      <v>2019</v>
    </spb>
    <spb s="1">
      <v xml:space="preserve">Wikipedia	</v>
      <v xml:space="preserve">CC BY-SA 3.0	</v>
      <v xml:space="preserve">https://en.wikipedia.org/wiki/San_Salvador	</v>
      <v xml:space="preserve">https://creativecommons.org/licenses/by-sa/3.0	</v>
    </spb>
    <spb s="11">
      <v>495</v>
      <v>495</v>
      <v>495</v>
      <v>495</v>
      <v>495</v>
      <v>495</v>
      <v>495</v>
      <v>495</v>
      <v>495</v>
    </spb>
    <spb s="1">
      <v xml:space="preserve">Wikipedia	Cia	travel.state.gov	</v>
      <v xml:space="preserve">CC-BY-SA			</v>
      <v xml:space="preserve">http://en.wikipedia.org/wiki/El_Salvador	https://www.cia.gov/library/publications/the-world-factbook/geos/es.html?Transportation	https://travel.state.gov/content/travel/en/international-travel/International-Travel-Country-Information-Pages/ElSalvador.html	</v>
      <v xml:space="preserve">http://creativecommons.org/licenses/by-sa/3.0/			</v>
    </spb>
    <spb s="1">
      <v xml:space="preserve">Wikipedia	</v>
      <v xml:space="preserve">CC BY-SA 3.0	</v>
      <v xml:space="preserve">https://en.wikipedia.org/wiki/El_Salvador	</v>
      <v xml:space="preserve">https://creativecommons.org/licenses/by-sa/3.0	</v>
    </spb>
    <spb s="1">
      <v xml:space="preserve">Wikipedia	</v>
      <v xml:space="preserve">CC-BY-SA	</v>
      <v xml:space="preserve">http://en.wikipedia.org/wiki/El_Salvador	</v>
      <v xml:space="preserve">http://creativecommons.org/licenses/by-sa/3.0/	</v>
    </spb>
    <spb s="1">
      <v xml:space="preserve">Cia	</v>
      <v xml:space="preserve">	</v>
      <v xml:space="preserve">https://www.cia.gov/library/publications/the-world-factbook/geos/es.html?Transportation	</v>
      <v xml:space="preserve">	</v>
    </spb>
    <spb s="12">
      <v>10</v>
      <v>497</v>
      <v>498</v>
      <v>498</v>
      <v>13</v>
      <v>498</v>
      <v>498</v>
      <v>498</v>
      <v>499</v>
      <v>498</v>
      <v>498</v>
      <v>499</v>
      <v>498</v>
      <v>498</v>
      <v>500</v>
      <v>16</v>
      <v>497</v>
      <v>500</v>
      <v>17</v>
      <v>498</v>
      <v>500</v>
      <v>18</v>
      <v>19</v>
      <v>20</v>
      <v>500</v>
      <v>500</v>
      <v>498</v>
      <v>500</v>
      <v>21</v>
      <v>22</v>
      <v>23</v>
      <v>44</v>
      <v>500</v>
      <v>500</v>
      <v>500</v>
      <v>500</v>
      <v>500</v>
      <v>500</v>
      <v>500</v>
      <v>500</v>
      <v>500</v>
      <v>500</v>
      <v>500</v>
      <v>24</v>
    </spb>
    <spb s="13">
      <v>2019</v>
      <v>2019</v>
      <v>square km</v>
      <v>per thousand (2018)</v>
      <v>2022</v>
      <v>2019</v>
      <v>2018</v>
      <v>per liter (2016)</v>
      <v>2019</v>
      <v>years (2018)</v>
      <v>2018</v>
      <v>per thousand (2018)</v>
      <v>2019</v>
      <v>2017</v>
      <v>2016</v>
      <v>2019</v>
      <v>2016</v>
      <v>2016</v>
      <v>kilotons per year (2016)</v>
      <v>deaths per 100,000 (2017)</v>
      <v>kWh (2014)</v>
      <v>2014</v>
      <v>2018</v>
      <v>2018</v>
      <v>2018</v>
      <v>2018</v>
      <v>2018</v>
      <v>2015</v>
      <v>2018</v>
      <v>2018</v>
      <v>2018</v>
      <v>2018</v>
      <v>2019</v>
    </spb>
    <spb s="1">
      <v xml:space="preserve">Wikipedia	</v>
      <v xml:space="preserve">CC BY-SA 3.0	</v>
      <v xml:space="preserve">https://en.wikipedia.org/wiki/Ciudad_de_la_Paz	</v>
      <v xml:space="preserve">https://creativecommons.org/licenses/by-sa/3.0	</v>
    </spb>
    <spb s="21">
      <v>503</v>
      <v>503</v>
      <v>503</v>
      <v>503</v>
      <v>503</v>
      <v>503</v>
      <v>503</v>
      <v>503</v>
    </spb>
    <spb s="3">
      <v>39</v>
      <v>Name</v>
      <v>LearnMoreOnLink</v>
    </spb>
    <spb s="1">
      <v xml:space="preserve">Wikipedia	Cia	travel.state.gov	</v>
      <v xml:space="preserve">CC-BY-SA			</v>
      <v xml:space="preserve">http://en.wikipedia.org/wiki/Equatorial_Guinea	https://www.cia.gov/library/publications/the-world-factbook/geos/ek.html?Transportation	https://travel.state.gov/content/travel/en/international-travel/International-Travel-Country-Information-Pages/EquatorialGuinea.html	</v>
      <v xml:space="preserve">http://creativecommons.org/licenses/by-sa/3.0/			</v>
    </spb>
    <spb s="1">
      <v xml:space="preserve">Wikipedia	</v>
      <v xml:space="preserve">CC BY-SA 3.0	</v>
      <v xml:space="preserve">https://en.wikipedia.org/wiki/Equatorial_Guinea	</v>
      <v xml:space="preserve">https://creativecommons.org/licenses/by-sa/3.0	</v>
    </spb>
    <spb s="1">
      <v xml:space="preserve">Wikipedia	</v>
      <v xml:space="preserve">CC-BY-SA	</v>
      <v xml:space="preserve">http://en.wikipedia.org/wiki/Equatorial_Guinea	</v>
      <v xml:space="preserve">http://creativecommons.org/licenses/by-sa/3.0/	</v>
    </spb>
    <spb s="1">
      <v xml:space="preserve">Cia	</v>
      <v xml:space="preserve">	</v>
      <v xml:space="preserve">https://www.cia.gov/library/publications/the-world-factbook/geos/ek.html?Transportation	</v>
      <v xml:space="preserve">	</v>
    </spb>
    <spb s="61">
      <v>10</v>
      <v>506</v>
      <v>507</v>
      <v>507</v>
      <v>13</v>
      <v>507</v>
      <v>507</v>
      <v>507</v>
      <v>508</v>
      <v>507</v>
      <v>507</v>
      <v>508</v>
      <v>507</v>
      <v>507</v>
      <v>509</v>
      <v>16</v>
      <v>509</v>
      <v>17</v>
      <v>507</v>
      <v>509</v>
      <v>18</v>
      <v>19</v>
      <v>20</v>
      <v>509</v>
      <v>509</v>
      <v>507</v>
      <v>509</v>
      <v>21</v>
      <v>22</v>
      <v>23</v>
      <v>509</v>
      <v>509</v>
      <v>509</v>
      <v>509</v>
      <v>24</v>
    </spb>
    <spb s="3">
      <v>40</v>
      <v>Name</v>
      <v>LearnMoreOnLink</v>
    </spb>
    <spb s="62">
      <v>2019</v>
      <v>2019</v>
      <v>square km</v>
      <v>per thousand (2018)</v>
      <v>2022</v>
      <v>2019</v>
      <v>2018</v>
      <v>2019</v>
      <v>years (2018)</v>
      <v>2018</v>
      <v>per thousand (2018)</v>
      <v>2019</v>
      <v>2017</v>
      <v>2016</v>
      <v>2019</v>
      <v>2016</v>
      <v>2017</v>
      <v>kilotons per year (2016)</v>
      <v>deaths per 100,000 (2017)</v>
      <v>2007</v>
      <v>2015</v>
      <v>2015</v>
      <v>2000</v>
      <v>2019</v>
    </spb>
    <spb s="1">
      <v xml:space="preserve">Wikipedia	</v>
      <v xml:space="preserve">CC BY-SA 3.0	</v>
      <v xml:space="preserve">https://en.wikipedia.org/wiki/Asmara	</v>
      <v xml:space="preserve">https://creativecommons.org/licenses/by-sa/3.0	</v>
    </spb>
    <spb s="21">
      <v>513</v>
      <v>513</v>
      <v>513</v>
      <v>513</v>
      <v>513</v>
      <v>513</v>
      <v>513</v>
      <v>513</v>
    </spb>
    <spb s="1">
      <v xml:space="preserve">Wikipedia	Cia	travel.state.gov	</v>
      <v xml:space="preserve">CC-BY-SA			</v>
      <v xml:space="preserve">http://en.wikipedia.org/wiki/Ethiopia	https://www.cia.gov/library/publications/the-world-factbook/geos/et.html?Transportation	https://travel.state.gov/content/travel/en/international-travel/International-Travel-Country-Information-Pages/Ethiopia.html	</v>
      <v xml:space="preserve">http://creativecommons.org/licenses/by-sa/3.0/			</v>
    </spb>
    <spb s="1">
      <v xml:space="preserve">Wikipedia	</v>
      <v xml:space="preserve">CC BY-SA 3.0	</v>
      <v xml:space="preserve">https://en.wikipedia.org/wiki/Ethiopia	</v>
      <v xml:space="preserve">https://creativecommons.org/licenses/by-sa/3.0	</v>
    </spb>
    <spb s="1">
      <v xml:space="preserve">Wikipedia	</v>
      <v xml:space="preserve">CC-BY-SA	</v>
      <v xml:space="preserve">http://en.wikipedia.org/wiki/Ethiopia	</v>
      <v xml:space="preserve">http://creativecommons.org/licenses/by-sa/3.0/	</v>
    </spb>
    <spb s="1">
      <v xml:space="preserve">Cia	</v>
      <v xml:space="preserve">	</v>
      <v xml:space="preserve">https://www.cia.gov/library/publications/the-world-factbook/geos/et.html?Transportation	</v>
      <v xml:space="preserve">	</v>
    </spb>
    <spb s="63">
      <v>10</v>
      <v>515</v>
      <v>516</v>
      <v>516</v>
      <v>13</v>
      <v>516</v>
      <v>516</v>
      <v>516</v>
      <v>517</v>
      <v>516</v>
      <v>516</v>
      <v>516</v>
      <v>516</v>
      <v>518</v>
      <v>16</v>
      <v>515</v>
      <v>518</v>
      <v>17</v>
      <v>516</v>
      <v>518</v>
      <v>18</v>
      <v>19</v>
      <v>20</v>
      <v>518</v>
      <v>518</v>
      <v>516</v>
      <v>518</v>
      <v>21</v>
      <v>22</v>
      <v>23</v>
      <v>44</v>
      <v>518</v>
      <v>518</v>
      <v>518</v>
      <v>518</v>
      <v>518</v>
      <v>518</v>
      <v>518</v>
      <v>518</v>
      <v>518</v>
      <v>518</v>
      <v>518</v>
      <v>24</v>
    </spb>
    <spb s="3">
      <v>41</v>
      <v>Name</v>
      <v>LearnMoreOnLink</v>
    </spb>
    <spb s="13">
      <v>2019</v>
      <v>2019</v>
      <v>square km</v>
      <v>per thousand (2018)</v>
      <v>2022</v>
      <v>2019</v>
      <v>2018</v>
      <v>per liter (2016)</v>
      <v>2019</v>
      <v>years (2018)</v>
      <v>2018</v>
      <v>per thousand (2018)</v>
      <v>2019</v>
      <v>2017</v>
      <v>2016</v>
      <v>2019</v>
      <v>2016</v>
      <v>2018</v>
      <v>kilotons per year (2016)</v>
      <v>deaths per 100,000 (2017)</v>
      <v>kWh (2014)</v>
      <v>2014</v>
      <v>2015</v>
      <v>2015</v>
      <v>2015</v>
      <v>2015</v>
      <v>2015</v>
      <v>2015</v>
      <v>2015</v>
      <v>2015</v>
      <v>2015</v>
      <v>2014</v>
      <v>2019</v>
    </spb>
    <spb s="1">
      <v xml:space="preserve">Wikipedia	</v>
      <v xml:space="preserve">CC BY-SA 3.0	</v>
      <v xml:space="preserve">https://en.wikipedia.org/wiki/Addis_Ababa	</v>
      <v xml:space="preserve">https://creativecommons.org/licenses/by-sa/3.0	</v>
    </spb>
    <spb s="1">
      <v xml:space="preserve">Wikipedia	</v>
      <v xml:space="preserve">CC-BY-SA	</v>
      <v xml:space="preserve">http://en.wikipedia.org/wiki/Addis_Ababa	</v>
      <v xml:space="preserve">http://creativecommons.org/licenses/by-sa/3.0/	</v>
    </spb>
    <spb s="16">
      <v>522</v>
      <v>522</v>
      <v>522</v>
      <v>522</v>
      <v>522</v>
      <v>523</v>
      <v>522</v>
    </spb>
    <spb s="1">
      <v xml:space="preserve">Wikipedia	</v>
      <v xml:space="preserve">CC BY-SA 3.0	</v>
      <v xml:space="preserve">https://en.wikipedia.org/wiki/Tallinn	</v>
      <v xml:space="preserve">https://creativecommons.org/licenses/by-sa/3.0	</v>
    </spb>
    <spb s="11">
      <v>525</v>
      <v>525</v>
      <v>525</v>
      <v>525</v>
      <v>525</v>
      <v>525</v>
      <v>525</v>
      <v>525</v>
      <v>525</v>
    </spb>
    <spb s="1">
      <v xml:space="preserve">Wikipedia	Cia	travel.state.gov	</v>
      <v xml:space="preserve">CC-BY-SA			</v>
      <v xml:space="preserve">http://en.wikipedia.org/wiki/Estonia	https://www.cia.gov/library/publications/the-world-factbook/geos/en.html?Transportation	https://travel.state.gov/content/travel/en/international-travel/International-Travel-Country-Information-Pages/Estonia.html	</v>
      <v xml:space="preserve">http://creativecommons.org/licenses/by-sa/3.0/			</v>
    </spb>
    <spb s="1">
      <v xml:space="preserve">Wikipedia	</v>
      <v xml:space="preserve">CC BY-SA 3.0	</v>
      <v xml:space="preserve">https://en.wikipedia.org/wiki/Estonia	</v>
      <v xml:space="preserve">https://creativecommons.org/licenses/by-sa/3.0	</v>
    </spb>
    <spb s="1">
      <v xml:space="preserve">Wikipedia	</v>
      <v xml:space="preserve">CC-BY-SA	</v>
      <v xml:space="preserve">http://en.wikipedia.org/wiki/Estonia	</v>
      <v xml:space="preserve">http://creativecommons.org/licenses/by-sa/3.0/	</v>
    </spb>
    <spb s="1">
      <v xml:space="preserve">Cia	</v>
      <v xml:space="preserve">	</v>
      <v xml:space="preserve">https://www.cia.gov/library/publications/the-world-factbook/geos/en.html?Transportation	</v>
      <v xml:space="preserve">	</v>
    </spb>
    <spb s="12">
      <v>10</v>
      <v>527</v>
      <v>528</v>
      <v>528</v>
      <v>13</v>
      <v>528</v>
      <v>528</v>
      <v>528</v>
      <v>529</v>
      <v>528</v>
      <v>528</v>
      <v>529</v>
      <v>528</v>
      <v>528</v>
      <v>530</v>
      <v>16</v>
      <v>527</v>
      <v>530</v>
      <v>17</v>
      <v>528</v>
      <v>530</v>
      <v>18</v>
      <v>19</v>
      <v>20</v>
      <v>530</v>
      <v>530</v>
      <v>528</v>
      <v>530</v>
      <v>21</v>
      <v>22</v>
      <v>23</v>
      <v>44</v>
      <v>530</v>
      <v>530</v>
      <v>530</v>
      <v>530</v>
      <v>530</v>
      <v>530</v>
      <v>530</v>
      <v>530</v>
      <v>530</v>
      <v>530</v>
      <v>530</v>
      <v>24</v>
    </spb>
    <spb s="13">
      <v>2019</v>
      <v>2019</v>
      <v>square km</v>
      <v>per thousand (2018)</v>
      <v>2022</v>
      <v>2019</v>
      <v>2018</v>
      <v>per liter (2016)</v>
      <v>2019</v>
      <v>years (2018)</v>
      <v>2018</v>
      <v>per thousand (2018)</v>
      <v>2019</v>
      <v>2017</v>
      <v>2016</v>
      <v>2019</v>
      <v>2016</v>
      <v>2018</v>
      <v>kilotons per year (2016)</v>
      <v>deaths per 100,000 (2017)</v>
      <v>kWh (2014)</v>
      <v>2015</v>
      <v>2017</v>
      <v>2017</v>
      <v>2017</v>
      <v>2017</v>
      <v>2017</v>
      <v>2015</v>
      <v>2017</v>
      <v>2017</v>
      <v>2017</v>
      <v>2017</v>
      <v>2019</v>
    </spb>
    <spb s="1">
      <v xml:space="preserve">Wikipedia	</v>
      <v xml:space="preserve">CC BY-SA 3.0	</v>
      <v xml:space="preserve">https://en.wikipedia.org/wiki/Lobamba	</v>
      <v xml:space="preserve">https://creativecommons.org/licenses/by-sa/3.0	</v>
    </spb>
    <spb s="55">
      <v>533</v>
      <v>533</v>
      <v>533</v>
      <v>533</v>
      <v>533</v>
      <v>533</v>
      <v>533</v>
      <v>533</v>
    </spb>
    <spb s="56">
      <v>2003</v>
    </spb>
    <spb s="1">
      <v xml:space="preserve">Wikipedia	Wikipedia	travel.state.gov	</v>
      <v xml:space="preserve">CC-BY-SA	CC-BY-SA		</v>
      <v xml:space="preserve">http://en.wikipedia.org/wiki/Eswatini	http://en.wikipedia.org/wiki/Swaziland	https://travel.state.gov/content/travel/en/international-travel/International-Travel-Country-Information-Pages/Eswatini.html	</v>
      <v xml:space="preserve">http://creativecommons.org/licenses/by-sa/3.0/	http://creativecommons.org/licenses/by-sa/3.0/		</v>
    </spb>
    <spb s="1">
      <v xml:space="preserve">Wikipedia	</v>
      <v xml:space="preserve">CC BY-SA 3.0	</v>
      <v xml:space="preserve">https://en.wikipedia.org/wiki/Eswatini	</v>
      <v xml:space="preserve">https://creativecommons.org/licenses/by-sa/3.0	</v>
    </spb>
    <spb s="1">
      <v xml:space="preserve">Cia	</v>
      <v xml:space="preserve">	</v>
      <v xml:space="preserve">https://www.cia.gov/library/publications/the-world-factbook/geos/wz.html?Transportation	</v>
      <v xml:space="preserve">	</v>
    </spb>
    <spb s="64">
      <v>536</v>
      <v>537</v>
      <v>537</v>
      <v>537</v>
      <v>537</v>
      <v>537</v>
      <v>537</v>
      <v>537</v>
      <v>537</v>
      <v>537</v>
      <v>537</v>
      <v>538</v>
      <v>537</v>
      <v>538</v>
    </spb>
    <spb s="3">
      <v>42</v>
      <v>Name</v>
      <v>LearnMoreOnLink</v>
    </spb>
    <spb s="65">
      <v>2013</v>
      <v>square km</v>
      <v>2022</v>
      <v>2012</v>
      <v>2015</v>
    </spb>
    <spb s="1">
      <v xml:space="preserve">Wikipedia	</v>
      <v xml:space="preserve">CC BY-SA 3.0	</v>
      <v xml:space="preserve">https://en.wikipedia.org/wiki/Suva	</v>
      <v xml:space="preserve">https://creativecommons.org/licenses/by-sa/3.0	</v>
    </spb>
    <spb s="2">
      <v>542</v>
      <v>542</v>
      <v>542</v>
      <v>542</v>
      <v>542</v>
      <v>542</v>
      <v>542</v>
      <v>542</v>
      <v>542</v>
      <v>542</v>
    </spb>
    <spb s="3">
      <v>43</v>
      <v>Name</v>
      <v>LearnMoreOnLink</v>
    </spb>
    <spb s="1">
      <v xml:space="preserve">Wikipedia	Cia	travel.state.gov	</v>
      <v xml:space="preserve">CC-BY-SA			</v>
      <v xml:space="preserve">http://en.wikipedia.org/wiki/Fiji	https://www.cia.gov/library/publications/the-world-factbook/geos/fj.html?Transportation	https://travel.state.gov/content/travel/en/international-travel/International-Travel-Country-Information-Pages/Fiji.html	</v>
      <v xml:space="preserve">http://creativecommons.org/licenses/by-sa/3.0/			</v>
    </spb>
    <spb s="1">
      <v xml:space="preserve">Wikipedia	</v>
      <v xml:space="preserve">CC BY-SA 3.0	</v>
      <v xml:space="preserve">https://en.wikipedia.org/wiki/Fiji	</v>
      <v xml:space="preserve">https://creativecommons.org/licenses/by-sa/3.0	</v>
    </spb>
    <spb s="1">
      <v xml:space="preserve">Wikipedia	</v>
      <v xml:space="preserve">CC-BY-SA	</v>
      <v xml:space="preserve">http://en.wikipedia.org/wiki/Fiji	</v>
      <v xml:space="preserve">http://creativecommons.org/licenses/by-sa/3.0/	</v>
    </spb>
    <spb s="1">
      <v xml:space="preserve">Cia	</v>
      <v xml:space="preserve">	</v>
      <v xml:space="preserve">https://www.cia.gov/library/publications/the-world-factbook/geos/fj.html?Transportation	</v>
      <v xml:space="preserve">	</v>
    </spb>
    <spb s="28">
      <v>10</v>
      <v>545</v>
      <v>546</v>
      <v>546</v>
      <v>13</v>
      <v>546</v>
      <v>546</v>
      <v>546</v>
      <v>547</v>
      <v>546</v>
      <v>546</v>
      <v>547</v>
      <v>546</v>
      <v>546</v>
      <v>548</v>
      <v>16</v>
      <v>545</v>
      <v>548</v>
      <v>17</v>
      <v>546</v>
      <v>548</v>
      <v>18</v>
      <v>19</v>
      <v>20</v>
      <v>548</v>
      <v>548</v>
      <v>546</v>
      <v>548</v>
      <v>21</v>
      <v>22</v>
      <v>23</v>
      <v>548</v>
      <v>548</v>
      <v>548</v>
      <v>548</v>
      <v>548</v>
      <v>548</v>
      <v>548</v>
      <v>548</v>
      <v>548</v>
      <v>548</v>
      <v>548</v>
      <v>24</v>
    </spb>
    <spb s="29">
      <v>2019</v>
      <v>2019</v>
      <v>square km</v>
      <v>per thousand (2018)</v>
      <v>2022</v>
      <v>2019</v>
      <v>2018</v>
      <v>per liter (2016)</v>
      <v>2019</v>
      <v>years (2018)</v>
      <v>2018</v>
      <v>per thousand (2018)</v>
      <v>2019</v>
      <v>2017</v>
      <v>2016</v>
      <v>2019</v>
      <v>2016</v>
      <v>2015</v>
      <v>kilotons per year (2016)</v>
      <v>deaths per 100,000 (2017)</v>
      <v>2007</v>
      <v>2013</v>
      <v>2013</v>
      <v>2013</v>
      <v>2013</v>
      <v>2013</v>
      <v>2015</v>
      <v>2013</v>
      <v>2013</v>
      <v>2016</v>
      <v>2005</v>
      <v>2019</v>
    </spb>
    <spb s="1">
      <v xml:space="preserve">Wikipedia	</v>
      <v xml:space="preserve">CC BY-SA 3.0	</v>
      <v xml:space="preserve">https://en.wikipedia.org/wiki/Helsinki	</v>
      <v xml:space="preserve">https://creativecommons.org/licenses/by-sa/3.0	</v>
    </spb>
    <spb s="2">
      <v>551</v>
      <v>551</v>
      <v>551</v>
      <v>551</v>
      <v>551</v>
      <v>551</v>
      <v>551</v>
      <v>551</v>
      <v>551</v>
      <v>551</v>
    </spb>
    <spb s="1">
      <v xml:space="preserve">Wikipedia	Cia	travel.state.gov	</v>
      <v xml:space="preserve">CC-BY-SA			</v>
      <v xml:space="preserve">http://en.wikipedia.org/wiki/Finland	https://www.cia.gov/library/publications/the-world-factbook/geos/fi.html?Transportation	https://travel.state.gov/content/travel/en/international-travel/International-Travel-Country-Information-Pages/Finland.html	</v>
      <v xml:space="preserve">http://creativecommons.org/licenses/by-sa/3.0/			</v>
    </spb>
    <spb s="1">
      <v xml:space="preserve">Wikipedia	</v>
      <v xml:space="preserve">CC BY-SA 3.0	</v>
      <v xml:space="preserve">https://en.wikipedia.org/wiki/Finland	</v>
      <v xml:space="preserve">https://creativecommons.org/licenses/by-sa/3.0	</v>
    </spb>
    <spb s="1">
      <v xml:space="preserve">Wikipedia	</v>
      <v xml:space="preserve">CC-BY-SA	</v>
      <v xml:space="preserve">http://en.wikipedia.org/wiki/Finland	</v>
      <v xml:space="preserve">http://creativecommons.org/licenses/by-sa/3.0/	</v>
    </spb>
    <spb s="1">
      <v xml:space="preserve">Cia	</v>
      <v xml:space="preserve">	</v>
      <v xml:space="preserve">https://www.cia.gov/library/publications/the-world-factbook/geos/fi.html?Transportation	</v>
      <v xml:space="preserve">	</v>
    </spb>
    <spb s="52">
      <v>10</v>
      <v>553</v>
      <v>554</v>
      <v>554</v>
      <v>13</v>
      <v>554</v>
      <v>554</v>
      <v>554</v>
      <v>555</v>
      <v>554</v>
      <v>554</v>
      <v>554</v>
      <v>554</v>
      <v>556</v>
      <v>16</v>
      <v>553</v>
      <v>556</v>
      <v>17</v>
      <v>554</v>
      <v>556</v>
      <v>18</v>
      <v>19</v>
      <v>20</v>
      <v>556</v>
      <v>556</v>
      <v>554</v>
      <v>556</v>
      <v>21</v>
      <v>22</v>
      <v>23</v>
      <v>44</v>
      <v>556</v>
      <v>553</v>
      <v>556</v>
      <v>556</v>
      <v>556</v>
      <v>556</v>
      <v>556</v>
      <v>556</v>
      <v>556</v>
      <v>556</v>
      <v>556</v>
      <v>556</v>
      <v>24</v>
    </spb>
    <spb s="15">
      <v>2019</v>
      <v>2019</v>
      <v>square km</v>
      <v>per thousand (2018)</v>
      <v>2022</v>
      <v>2019</v>
      <v>2018</v>
      <v>per liter (2016)</v>
      <v>2019</v>
      <v>years (2018)</v>
      <v>2018</v>
      <v>per thousand (2018)</v>
      <v>2019</v>
      <v>2017</v>
      <v>2016</v>
      <v>2019</v>
      <v>2016</v>
      <v>2016</v>
      <v>kilotons per year (2016)</v>
      <v>deaths per 100,000 (2017)</v>
      <v>kWh (2014)</v>
      <v>2015</v>
      <v>2004</v>
      <v>2017</v>
      <v>2017</v>
      <v>2017</v>
      <v>2017</v>
      <v>2017</v>
      <v>2015</v>
      <v>2017</v>
      <v>2017</v>
      <v>2017</v>
      <v>2017</v>
      <v>2019</v>
    </spb>
    <spb s="1">
      <v xml:space="preserve">Wikipedia	</v>
      <v xml:space="preserve">CC BY-SA 3.0	</v>
      <v xml:space="preserve">https://en.wikipedia.org/wiki/Paris	</v>
      <v xml:space="preserve">https://creativecommons.org/licenses/by-sa/3.0	</v>
    </spb>
    <spb s="2">
      <v>559</v>
      <v>559</v>
      <v>559</v>
      <v>559</v>
      <v>559</v>
      <v>559</v>
      <v>559</v>
      <v>559</v>
      <v>559</v>
      <v>559</v>
    </spb>
    <spb s="8">
      <v>square km</v>
      <v>2025</v>
    </spb>
    <spb s="1">
      <v xml:space="preserve">Wikipedia	Cia	travel.state.gov	</v>
      <v xml:space="preserve">CC-BY-SA			</v>
      <v xml:space="preserve">http://en.wikipedia.org/wiki/France	https://www.cia.gov/library/publications/the-world-factbook/geos/fr.html?Transportation	https://travel.state.gov/content/travel/en/international-travel/International-Travel-Country-Information-Pages/Monaco.html	</v>
      <v xml:space="preserve">http://creativecommons.org/licenses/by-sa/3.0/			</v>
    </spb>
    <spb s="1">
      <v xml:space="preserve">Wikipedia	</v>
      <v xml:space="preserve">CC BY-SA 3.0	</v>
      <v xml:space="preserve">https://en.wikipedia.org/wiki/France	</v>
      <v xml:space="preserve">https://creativecommons.org/licenses/by-sa/3.0	</v>
    </spb>
    <spb s="1">
      <v xml:space="preserve">Wikipedia	</v>
      <v xml:space="preserve">CC-BY-SA	</v>
      <v xml:space="preserve">http://en.wikipedia.org/wiki/France	</v>
      <v xml:space="preserve">http://creativecommons.org/licenses/by-sa/3.0/	</v>
    </spb>
    <spb s="1">
      <v xml:space="preserve">Cia	</v>
      <v xml:space="preserve">	</v>
      <v xml:space="preserve">https://www.cia.gov/library/publications/the-world-factbook/geos/fr.html?Transportation	</v>
      <v xml:space="preserve">	</v>
    </spb>
    <spb s="14">
      <v>10</v>
      <v>562</v>
      <v>563</v>
      <v>563</v>
      <v>13</v>
      <v>563</v>
      <v>563</v>
      <v>563</v>
      <v>564</v>
      <v>563</v>
      <v>563</v>
      <v>564</v>
      <v>563</v>
      <v>563</v>
      <v>565</v>
      <v>16</v>
      <v>562</v>
      <v>565</v>
      <v>17</v>
      <v>563</v>
      <v>565</v>
      <v>18</v>
      <v>19</v>
      <v>20</v>
      <v>565</v>
      <v>565</v>
      <v>563</v>
      <v>565</v>
      <v>21</v>
      <v>22</v>
      <v>23</v>
      <v>44</v>
      <v>565</v>
      <v>562</v>
      <v>565</v>
      <v>565</v>
      <v>565</v>
      <v>565</v>
      <v>565</v>
      <v>565</v>
      <v>565</v>
      <v>565</v>
      <v>565</v>
      <v>565</v>
      <v>24</v>
    </spb>
    <spb s="15">
      <v>2019</v>
      <v>2019</v>
      <v>square km</v>
      <v>per thousand (2018)</v>
      <v>2021</v>
      <v>2019</v>
      <v>2018</v>
      <v>per liter (2016)</v>
      <v>2019</v>
      <v>years (2018)</v>
      <v>2018</v>
      <v>per thousand (2018)</v>
      <v>2019</v>
      <v>2017</v>
      <v>2016</v>
      <v>2019</v>
      <v>2016</v>
      <v>2018</v>
      <v>kilotons per year (2014)</v>
      <v>deaths per 100,000 (2017)</v>
      <v>kWh (2014)</v>
      <v>2015</v>
      <v>2018</v>
      <v>2017</v>
      <v>2017</v>
      <v>2017</v>
      <v>2017</v>
      <v>2017</v>
      <v>2015</v>
      <v>2017</v>
      <v>2017</v>
      <v>2017</v>
      <v>2017</v>
      <v>2019</v>
    </spb>
    <spb s="1">
      <v xml:space="preserve">Wikipedia	</v>
      <v xml:space="preserve">CC-BY-SA	</v>
      <v xml:space="preserve">http://en.wikipedia.org/wiki/Libreville	</v>
      <v xml:space="preserve">http://creativecommons.org/licenses/by-sa/3.0/	</v>
    </spb>
    <spb s="1">
      <v xml:space="preserve">Wikipedia	</v>
      <v xml:space="preserve">CC BY-SA 3.0	</v>
      <v xml:space="preserve">https://en.wikipedia.org/wiki/Libreville	</v>
      <v xml:space="preserve">https://creativecommons.org/licenses/by-sa/3.0	</v>
    </spb>
    <spb s="11">
      <v>568</v>
      <v>569</v>
      <v>569</v>
      <v>569</v>
      <v>569</v>
      <v>569</v>
      <v>569</v>
      <v>569</v>
      <v>569</v>
    </spb>
    <spb s="8">
      <v>square km</v>
      <v>2012</v>
    </spb>
    <spb s="1">
      <v xml:space="preserve">Wikipedia	Cia	travel.state.gov	</v>
      <v xml:space="preserve">CC-BY-SA			</v>
      <v xml:space="preserve">http://en.wikipedia.org/wiki/Gabon	https://www.cia.gov/library/publications/the-world-factbook/geos/gb.html?Transportation	https://travel.state.gov/content/travel/en/international-travel/International-Travel-Country-Information-Pages/Gabon.html	</v>
      <v xml:space="preserve">http://creativecommons.org/licenses/by-sa/3.0/			</v>
    </spb>
    <spb s="1">
      <v xml:space="preserve">Wikipedia	</v>
      <v xml:space="preserve">CC BY-SA 3.0	</v>
      <v xml:space="preserve">https://en.wikipedia.org/wiki/Gabon	</v>
      <v xml:space="preserve">https://creativecommons.org/licenses/by-sa/3.0	</v>
    </spb>
    <spb s="1">
      <v xml:space="preserve">Wikipedia	</v>
      <v xml:space="preserve">CC-BY-SA	</v>
      <v xml:space="preserve">http://en.wikipedia.org/wiki/Gabon	</v>
      <v xml:space="preserve">http://creativecommons.org/licenses/by-sa/3.0/	</v>
    </spb>
    <spb s="1">
      <v xml:space="preserve">Cia	</v>
      <v xml:space="preserve">	</v>
      <v xml:space="preserve">https://www.cia.gov/library/publications/the-world-factbook/geos/gb.html?Transportation	</v>
      <v xml:space="preserve">	</v>
    </spb>
    <spb s="12">
      <v>10</v>
      <v>572</v>
      <v>573</v>
      <v>573</v>
      <v>13</v>
      <v>573</v>
      <v>573</v>
      <v>573</v>
      <v>574</v>
      <v>573</v>
      <v>573</v>
      <v>574</v>
      <v>573</v>
      <v>573</v>
      <v>575</v>
      <v>16</v>
      <v>572</v>
      <v>575</v>
      <v>17</v>
      <v>573</v>
      <v>575</v>
      <v>18</v>
      <v>19</v>
      <v>20</v>
      <v>575</v>
      <v>575</v>
      <v>573</v>
      <v>575</v>
      <v>21</v>
      <v>22</v>
      <v>23</v>
      <v>44</v>
      <v>575</v>
      <v>575</v>
      <v>575</v>
      <v>575</v>
      <v>575</v>
      <v>575</v>
      <v>575</v>
      <v>575</v>
      <v>575</v>
      <v>575</v>
      <v>575</v>
      <v>24</v>
    </spb>
    <spb s="13">
      <v>2019</v>
      <v>2019</v>
      <v>square km</v>
      <v>per thousand (2018)</v>
      <v>2022</v>
      <v>2019</v>
      <v>2018</v>
      <v>per liter (2016)</v>
      <v>2019</v>
      <v>years (2018)</v>
      <v>2018</v>
      <v>per thousand (2018)</v>
      <v>2019</v>
      <v>2017</v>
      <v>2016</v>
      <v>2019</v>
      <v>2016</v>
      <v>2017</v>
      <v>kilotons per year (2016)</v>
      <v>deaths per 100,000 (2017)</v>
      <v>kWh (2014)</v>
      <v>2014</v>
      <v>2017</v>
      <v>2017</v>
      <v>2017</v>
      <v>2017</v>
      <v>2017</v>
      <v>2015</v>
      <v>2017</v>
      <v>2017</v>
      <v>2011</v>
      <v>2003</v>
      <v>2019</v>
    </spb>
    <spb s="1">
      <v xml:space="preserve">Wikipedia	</v>
      <v xml:space="preserve">CC BY-SA 3.0	</v>
      <v xml:space="preserve">https://en.wikipedia.org/wiki/Banjul	</v>
      <v xml:space="preserve">https://creativecommons.org/licenses/by-sa/3.0	</v>
    </spb>
    <spb s="1">
      <v xml:space="preserve">Wikipedia	</v>
      <v xml:space="preserve">CC-BY-SA	</v>
      <v xml:space="preserve">http://en.wikipedia.org/wiki/Banjul	</v>
      <v xml:space="preserve">http://creativecommons.org/licenses/by-sa/3.0/	</v>
    </spb>
    <spb s="16">
      <v>578</v>
      <v>578</v>
      <v>578</v>
      <v>578</v>
      <v>578</v>
      <v>579</v>
      <v>578</v>
    </spb>
    <spb s="1">
      <v xml:space="preserve">Wikipedia	Cia	travel.state.gov	</v>
      <v xml:space="preserve">CC-BY-SA			</v>
      <v xml:space="preserve">http://en.wikipedia.org/wiki/The_Gambia	https://www.cia.gov/library/publications/the-world-factbook/geos/ga.html?Transportation	https://travel.state.gov/content/travel/en/international-travel/International-Travel-Country-Information-Pages/TheGambia.html	</v>
      <v xml:space="preserve">http://creativecommons.org/licenses/by-sa/3.0/			</v>
    </spb>
    <spb s="1">
      <v xml:space="preserve">Wikipedia	</v>
      <v xml:space="preserve">CC BY-SA 3.0	</v>
      <v xml:space="preserve">https://en.wikipedia.org/wiki/The_Gambia	</v>
      <v xml:space="preserve">https://creativecommons.org/licenses/by-sa/3.0	</v>
    </spb>
    <spb s="1">
      <v xml:space="preserve">Wikipedia	</v>
      <v xml:space="preserve">CC-BY-SA	</v>
      <v xml:space="preserve">http://en.wikipedia.org/wiki/The_Gambia	</v>
      <v xml:space="preserve">http://creativecommons.org/licenses/by-sa/3.0/	</v>
    </spb>
    <spb s="1">
      <v xml:space="preserve">Cia	</v>
      <v xml:space="preserve">	</v>
      <v xml:space="preserve">https://www.cia.gov/library/publications/the-world-factbook/geos/ga.html?Transportation	</v>
      <v xml:space="preserve">	</v>
    </spb>
    <spb s="66">
      <v>10</v>
      <v>581</v>
      <v>582</v>
      <v>582</v>
      <v>13</v>
      <v>582</v>
      <v>582</v>
      <v>582</v>
      <v>583</v>
      <v>582</v>
      <v>583</v>
      <v>582</v>
      <v>582</v>
      <v>584</v>
      <v>16</v>
      <v>581</v>
      <v>584</v>
      <v>17</v>
      <v>582</v>
      <v>584</v>
      <v>18</v>
      <v>19</v>
      <v>20</v>
      <v>584</v>
      <v>584</v>
      <v>582</v>
      <v>584</v>
      <v>21</v>
      <v>22</v>
      <v>23</v>
      <v>584</v>
      <v>584</v>
      <v>584</v>
      <v>584</v>
      <v>584</v>
      <v>584</v>
      <v>584</v>
      <v>584</v>
      <v>584</v>
      <v>584</v>
      <v>584</v>
      <v>24</v>
    </spb>
    <spb s="29">
      <v>2019</v>
      <v>2019</v>
      <v>square km</v>
      <v>per thousand (2018)</v>
      <v>2022</v>
      <v>2019</v>
      <v>2018</v>
      <v>per liter (2016)</v>
      <v>2019</v>
      <v>years (2018)</v>
      <v>2009</v>
      <v>per thousand (2018)</v>
      <v>2019</v>
      <v>2017</v>
      <v>2016</v>
      <v>2019</v>
      <v>2016</v>
      <v>2015</v>
      <v>kilotons per year (2016)</v>
      <v>deaths per 100,000 (2017)</v>
      <v>2007</v>
      <v>2015</v>
      <v>2015</v>
      <v>2015</v>
      <v>2015</v>
      <v>2015</v>
      <v>2015</v>
      <v>2015</v>
      <v>2015</v>
      <v>2018</v>
      <v>2012</v>
      <v>2019</v>
    </spb>
    <spb s="1">
      <v xml:space="preserve">Wikipedia	</v>
      <v xml:space="preserve">CC BY-SA 3.0	</v>
      <v xml:space="preserve">https://en.wikipedia.org/wiki/Tbilisi	</v>
      <v xml:space="preserve">https://creativecommons.org/licenses/by-sa/3.0	</v>
    </spb>
    <spb s="1">
      <v xml:space="preserve">Wikipedia	</v>
      <v xml:space="preserve">CC-BY-SA	</v>
      <v xml:space="preserve">http://en.wikipedia.org/wiki/Tbilisi	</v>
      <v xml:space="preserve">http://creativecommons.org/licenses/by-sa/3.0/	</v>
    </spb>
    <spb s="16">
      <v>587</v>
      <v>587</v>
      <v>587</v>
      <v>587</v>
      <v>587</v>
      <v>588</v>
      <v>587</v>
    </spb>
    <spb s="3">
      <v>44</v>
      <v>Name</v>
      <v>LearnMoreOnLink</v>
    </spb>
    <spb s="1">
      <v xml:space="preserve">Wikipedia	Cia	travel.state.gov	</v>
      <v xml:space="preserve">CC-BY-SA			</v>
      <v xml:space="preserve">http://en.wikipedia.org/wiki/Georgia_(country)	https://www.cia.gov/library/publications/the-world-factbook/geos/gg.html?Transportation	https://travel.state.gov/content/travel/en/international-travel/International-Travel-Country-Information-Pages/Georgia.html	</v>
      <v xml:space="preserve">http://creativecommons.org/licenses/by-sa/3.0/			</v>
    </spb>
    <spb s="1">
      <v xml:space="preserve">Wikipedia	</v>
      <v xml:space="preserve">CC BY-SA 3.0	</v>
      <v xml:space="preserve">https://en.wikipedia.org/wiki/Georgia_(country)	</v>
      <v xml:space="preserve">https://creativecommons.org/licenses/by-sa/3.0	</v>
    </spb>
    <spb s="1">
      <v xml:space="preserve">Wikipedia	</v>
      <v xml:space="preserve">CC-BY-SA	</v>
      <v xml:space="preserve">http://en.wikipedia.org/wiki/Georgia_(country)	</v>
      <v xml:space="preserve">http://creativecommons.org/licenses/by-sa/3.0/	</v>
    </spb>
    <spb s="1">
      <v xml:space="preserve">Cia	</v>
      <v xml:space="preserve">	</v>
      <v xml:space="preserve">https://www.cia.gov/library/publications/the-world-factbook/geos/gg.html?Transportation	</v>
      <v xml:space="preserve">	</v>
    </spb>
    <spb s="12">
      <v>10</v>
      <v>591</v>
      <v>592</v>
      <v>592</v>
      <v>13</v>
      <v>592</v>
      <v>592</v>
      <v>592</v>
      <v>593</v>
      <v>592</v>
      <v>592</v>
      <v>593</v>
      <v>592</v>
      <v>592</v>
      <v>594</v>
      <v>16</v>
      <v>591</v>
      <v>594</v>
      <v>17</v>
      <v>592</v>
      <v>594</v>
      <v>18</v>
      <v>19</v>
      <v>20</v>
      <v>594</v>
      <v>594</v>
      <v>592</v>
      <v>594</v>
      <v>21</v>
      <v>22</v>
      <v>23</v>
      <v>44</v>
      <v>594</v>
      <v>594</v>
      <v>594</v>
      <v>594</v>
      <v>594</v>
      <v>594</v>
      <v>594</v>
      <v>594</v>
      <v>594</v>
      <v>594</v>
      <v>594</v>
      <v>24</v>
    </spb>
    <spb s="13">
      <v>2019</v>
      <v>2019</v>
      <v>square km</v>
      <v>per thousand (2018)</v>
      <v>2022</v>
      <v>2019</v>
      <v>2018</v>
      <v>per liter (2016)</v>
      <v>2019</v>
      <v>years (2018)</v>
      <v>2018</v>
      <v>per thousand (2018)</v>
      <v>2019</v>
      <v>2017</v>
      <v>2016</v>
      <v>2019</v>
      <v>2016</v>
      <v>2018</v>
      <v>kilotons per year (2016)</v>
      <v>deaths per 100,000 (2017)</v>
      <v>kWh (2014)</v>
      <v>2014</v>
      <v>2018</v>
      <v>2018</v>
      <v>2018</v>
      <v>2018</v>
      <v>2018</v>
      <v>2015</v>
      <v>2018</v>
      <v>2018</v>
      <v>2018</v>
      <v>2019</v>
      <v>2019</v>
    </spb>
    <spb s="1">
      <v xml:space="preserve">Wikipedia	</v>
      <v xml:space="preserve">CC BY-SA 3.0	</v>
      <v xml:space="preserve">https://en.wikipedia.org/wiki/Berlin	</v>
      <v xml:space="preserve">https://creativecommons.org/licenses/by-sa/3.0	</v>
    </spb>
    <spb s="1">
      <v xml:space="preserve">ergebnisse.zensus2011.de	</v>
      <v xml:space="preserve">	</v>
      <v xml:space="preserve">https://ergebnisse.zensus2011.de/?locale=en#dynTable:statUnit=WOHNUNG;absRel=ANZAHL;ags=01,02,03,04,05,06,07,08,09,10,11,12,13,14,15,16;agsAxis=X;yAxis=ZAHLWOHNGN_HHG	</v>
      <v xml:space="preserve">	</v>
    </spb>
    <spb s="1">
      <v xml:space="preserve">Wikipedia	</v>
      <v xml:space="preserve">CC-BY-SA	</v>
      <v xml:space="preserve">http://en.wikipedia.org/wiki/Berlin	</v>
      <v xml:space="preserve">http://creativecommons.org/licenses/by-sa/3.0/	</v>
    </spb>
    <spb s="67">
      <v>597</v>
      <v>597</v>
      <v>598</v>
      <v>597</v>
      <v>597</v>
      <v>597</v>
      <v>599</v>
      <v>598</v>
      <v>597</v>
      <v>598</v>
    </spb>
    <spb s="3">
      <v>45</v>
      <v>Name</v>
      <v>LearnMoreOnLink</v>
    </spb>
    <spb s="68">
      <v>square km</v>
      <v>2011</v>
      <v>2022</v>
      <v>2011</v>
      <v>2011</v>
    </spb>
    <spb s="1">
      <v xml:space="preserve">Wikipedia	Cia	travel.state.gov	</v>
      <v xml:space="preserve">CC-BY-SA			</v>
      <v xml:space="preserve">http://en.wikipedia.org/wiki/Germany	https://www.cia.gov/library/publications/the-world-factbook/geos/gm.html?Transportation	https://travel.state.gov/content/travel/en/international-travel/International-Travel-Country-Information-Pages/Germany.html	</v>
      <v xml:space="preserve">http://creativecommons.org/licenses/by-sa/3.0/			</v>
    </spb>
    <spb s="1">
      <v xml:space="preserve">Wikipedia	</v>
      <v xml:space="preserve">CC BY-SA 3.0	</v>
      <v xml:space="preserve">https://en.wikipedia.org/wiki/Germany	</v>
      <v xml:space="preserve">https://creativecommons.org/licenses/by-sa/3.0	</v>
    </spb>
    <spb s="1">
      <v xml:space="preserve">Wikipedia	</v>
      <v xml:space="preserve">CC-BY-SA	</v>
      <v xml:space="preserve">http://en.wikipedia.org/wiki/Germany	</v>
      <v xml:space="preserve">http://creativecommons.org/licenses/by-sa/3.0/	</v>
    </spb>
    <spb s="1">
      <v xml:space="preserve">Cia	</v>
      <v xml:space="preserve">	</v>
      <v xml:space="preserve">https://www.cia.gov/library/publications/the-world-factbook/geos/gm.html?Transportation	</v>
      <v xml:space="preserve">	</v>
    </spb>
    <spb s="14">
      <v>10</v>
      <v>603</v>
      <v>604</v>
      <v>604</v>
      <v>13</v>
      <v>604</v>
      <v>604</v>
      <v>604</v>
      <v>605</v>
      <v>604</v>
      <v>604</v>
      <v>605</v>
      <v>604</v>
      <v>604</v>
      <v>606</v>
      <v>16</v>
      <v>603</v>
      <v>606</v>
      <v>17</v>
      <v>604</v>
      <v>606</v>
      <v>18</v>
      <v>19</v>
      <v>20</v>
      <v>606</v>
      <v>606</v>
      <v>604</v>
      <v>606</v>
      <v>21</v>
      <v>22</v>
      <v>23</v>
      <v>44</v>
      <v>606</v>
      <v>603</v>
      <v>606</v>
      <v>606</v>
      <v>606</v>
      <v>606</v>
      <v>606</v>
      <v>606</v>
      <v>606</v>
      <v>606</v>
      <v>606</v>
      <v>606</v>
      <v>24</v>
    </spb>
    <spb s="15">
      <v>2019</v>
      <v>2019</v>
      <v>square km</v>
      <v>per thousand (2018)</v>
      <v>2022</v>
      <v>2019</v>
      <v>2018</v>
      <v>per liter (2016)</v>
      <v>2019</v>
      <v>years (2018)</v>
      <v>2018</v>
      <v>per thousand (2018)</v>
      <v>2019</v>
      <v>2017</v>
      <v>2016</v>
      <v>2019</v>
      <v>2016</v>
      <v>2017</v>
      <v>kilotons per year (2016)</v>
      <v>deaths per 100,000 (2017)</v>
      <v>kWh (2014)</v>
      <v>2015</v>
      <v>2019</v>
      <v>2016</v>
      <v>2016</v>
      <v>2016</v>
      <v>2016</v>
      <v>2016</v>
      <v>2015</v>
      <v>2016</v>
      <v>2016</v>
      <v>2017</v>
      <v>2017</v>
      <v>2019</v>
    </spb>
    <spb s="1">
      <v xml:space="preserve">Wikipedia	</v>
      <v xml:space="preserve">CC-BY-SA	</v>
      <v xml:space="preserve">http://en.wikipedia.org/wiki/Accra	</v>
      <v xml:space="preserve">http://creativecommons.org/licenses/by-sa/3.0/	</v>
    </spb>
    <spb s="1">
      <v xml:space="preserve">Wikipedia	</v>
      <v xml:space="preserve">CC BY-SA 3.0	</v>
      <v xml:space="preserve">https://en.wikipedia.org/wiki/Accra	</v>
      <v xml:space="preserve">https://creativecommons.org/licenses/by-sa/3.0	</v>
    </spb>
    <spb s="11">
      <v>609</v>
      <v>610</v>
      <v>610</v>
      <v>610</v>
      <v>610</v>
      <v>610</v>
      <v>610</v>
      <v>610</v>
      <v>610</v>
    </spb>
    <spb s="1">
      <v xml:space="preserve">Wikipedia	Cia	travel.state.gov	</v>
      <v xml:space="preserve">CC-BY-SA			</v>
      <v xml:space="preserve">http://en.wikipedia.org/wiki/Ghana	https://www.cia.gov/library/publications/the-world-factbook/geos/gh.html?Transportation	https://travel.state.gov/content/travel/en/international-travel/International-Travel-Country-Information-Pages/Ghana.html	</v>
      <v xml:space="preserve">http://creativecommons.org/licenses/by-sa/3.0/			</v>
    </spb>
    <spb s="1">
      <v xml:space="preserve">Wikipedia	</v>
      <v xml:space="preserve">CC BY-SA 3.0	</v>
      <v xml:space="preserve">https://en.wikipedia.org/wiki/Ghana	</v>
      <v xml:space="preserve">https://creativecommons.org/licenses/by-sa/3.0	</v>
    </spb>
    <spb s="1">
      <v xml:space="preserve">Wikipedia	</v>
      <v xml:space="preserve">CC-BY-SA	</v>
      <v xml:space="preserve">http://en.wikipedia.org/wiki/Ghana	</v>
      <v xml:space="preserve">http://creativecommons.org/licenses/by-sa/3.0/	</v>
    </spb>
    <spb s="1">
      <v xml:space="preserve">Cia	</v>
      <v xml:space="preserve">	</v>
      <v xml:space="preserve">https://www.cia.gov/library/publications/the-world-factbook/geos/gh.html?Transportation	</v>
      <v xml:space="preserve">	</v>
    </spb>
    <spb s="14">
      <v>10</v>
      <v>612</v>
      <v>613</v>
      <v>613</v>
      <v>13</v>
      <v>613</v>
      <v>613</v>
      <v>613</v>
      <v>614</v>
      <v>613</v>
      <v>613</v>
      <v>614</v>
      <v>613</v>
      <v>613</v>
      <v>615</v>
      <v>16</v>
      <v>612</v>
      <v>615</v>
      <v>17</v>
      <v>613</v>
      <v>615</v>
      <v>18</v>
      <v>19</v>
      <v>20</v>
      <v>615</v>
      <v>615</v>
      <v>613</v>
      <v>615</v>
      <v>21</v>
      <v>22</v>
      <v>23</v>
      <v>44</v>
      <v>615</v>
      <v>612</v>
      <v>615</v>
      <v>615</v>
      <v>615</v>
      <v>615</v>
      <v>615</v>
      <v>615</v>
      <v>615</v>
      <v>615</v>
      <v>615</v>
      <v>615</v>
      <v>24</v>
    </spb>
    <spb s="15">
      <v>2019</v>
      <v>2019</v>
      <v>square km</v>
      <v>per thousand (2018)</v>
      <v>2022</v>
      <v>2019</v>
      <v>2018</v>
      <v>per liter (2016)</v>
      <v>2019</v>
      <v>years (2018)</v>
      <v>2018</v>
      <v>per thousand (2018)</v>
      <v>2019</v>
      <v>2017</v>
      <v>2016</v>
      <v>2019</v>
      <v>2016</v>
      <v>2017</v>
      <v>kilotons per year (2016)</v>
      <v>deaths per 100,000 (2017)</v>
      <v>kWh (2014)</v>
      <v>2014</v>
      <v>2011</v>
      <v>2016</v>
      <v>2016</v>
      <v>2016</v>
      <v>2016</v>
      <v>2016</v>
      <v>2015</v>
      <v>2016</v>
      <v>2016</v>
      <v>2019</v>
      <v>2018</v>
      <v>2019</v>
    </spb>
    <spb s="1">
      <v xml:space="preserve">Wikipedia	</v>
      <v xml:space="preserve">CC BY-SA 3.0	</v>
      <v xml:space="preserve">https://en.wikipedia.org/wiki/Athens	</v>
      <v xml:space="preserve">https://creativecommons.org/licenses/by-sa/3.0	</v>
    </spb>
    <spb s="21">
      <v>618</v>
      <v>618</v>
      <v>618</v>
      <v>618</v>
      <v>618</v>
      <v>618</v>
      <v>618</v>
      <v>618</v>
    </spb>
    <spb s="1">
      <v xml:space="preserve">Wikipedia	Cia	travel.state.gov	</v>
      <v xml:space="preserve">CC-BY-SA			</v>
      <v xml:space="preserve">http://en.wikipedia.org/wiki/Greece	https://www.cia.gov/library/publications/the-world-factbook/geos/gr.html?Transportation	https://travel.state.gov/content/travel/en/international-travel/International-Travel-Country-Information-Pages/Greece.html	</v>
      <v xml:space="preserve">http://creativecommons.org/licenses/by-sa/3.0/			</v>
    </spb>
    <spb s="1">
      <v xml:space="preserve">Wikipedia	</v>
      <v xml:space="preserve">CC BY-SA 3.0	</v>
      <v xml:space="preserve">https://en.wikipedia.org/wiki/Greece	</v>
      <v xml:space="preserve">https://creativecommons.org/licenses/by-sa/3.0	</v>
    </spb>
    <spb s="1">
      <v xml:space="preserve">Wikipedia	</v>
      <v xml:space="preserve">CC-BY-SA	</v>
      <v xml:space="preserve">http://en.wikipedia.org/wiki/Greece	</v>
      <v xml:space="preserve">http://creativecommons.org/licenses/by-sa/3.0/	</v>
    </spb>
    <spb s="1">
      <v xml:space="preserve">Cia	</v>
      <v xml:space="preserve">	</v>
      <v xml:space="preserve">https://www.cia.gov/library/publications/the-world-factbook/geos/gr.html?Transportation	</v>
      <v xml:space="preserve">	</v>
    </spb>
    <spb s="14">
      <v>10</v>
      <v>620</v>
      <v>621</v>
      <v>621</v>
      <v>13</v>
      <v>621</v>
      <v>621</v>
      <v>621</v>
      <v>622</v>
      <v>621</v>
      <v>621</v>
      <v>622</v>
      <v>621</v>
      <v>621</v>
      <v>623</v>
      <v>16</v>
      <v>620</v>
      <v>623</v>
      <v>17</v>
      <v>621</v>
      <v>623</v>
      <v>18</v>
      <v>19</v>
      <v>20</v>
      <v>623</v>
      <v>623</v>
      <v>621</v>
      <v>623</v>
      <v>21</v>
      <v>22</v>
      <v>23</v>
      <v>44</v>
      <v>623</v>
      <v>620</v>
      <v>623</v>
      <v>623</v>
      <v>623</v>
      <v>623</v>
      <v>623</v>
      <v>623</v>
      <v>623</v>
      <v>623</v>
      <v>623</v>
      <v>623</v>
      <v>24</v>
    </spb>
    <spb s="15">
      <v>2019</v>
      <v>2019</v>
      <v>square km</v>
      <v>per thousand (2018)</v>
      <v>2022</v>
      <v>2019</v>
      <v>2018</v>
      <v>per liter (2016)</v>
      <v>2019</v>
      <v>years (2018)</v>
      <v>2018</v>
      <v>per thousand (2018)</v>
      <v>2019</v>
      <v>2017</v>
      <v>2016</v>
      <v>2019</v>
      <v>2016</v>
      <v>2017</v>
      <v>kilotons per year (2016)</v>
      <v>deaths per 100,000 (2017)</v>
      <v>kWh (2014)</v>
      <v>2015</v>
      <v>2019</v>
      <v>2017</v>
      <v>2017</v>
      <v>2017</v>
      <v>2017</v>
      <v>2017</v>
      <v>2015</v>
      <v>2017</v>
      <v>2017</v>
      <v>2017</v>
      <v>2017</v>
      <v>2019</v>
    </spb>
    <spb s="1">
      <v xml:space="preserve">Wikipedia	</v>
      <v xml:space="preserve">CC BY-SA 3.0	</v>
      <v xml:space="preserve">https://en.wikipedia.org/wiki/St._George%27s,_Grenada	</v>
      <v xml:space="preserve">https://creativecommons.org/licenses/by-sa/3.0	</v>
    </spb>
    <spb s="55">
      <v>626</v>
      <v>626</v>
      <v>626</v>
      <v>626</v>
      <v>626</v>
      <v>626</v>
      <v>626</v>
      <v>626</v>
    </spb>
    <spb s="56">
      <v>2006</v>
    </spb>
    <spb s="1">
      <v xml:space="preserve">Wikipedia	Cia	travel.state.gov	</v>
      <v xml:space="preserve">CC-BY-SA			</v>
      <v xml:space="preserve">http://en.wikipedia.org/wiki/Grenada	https://www.cia.gov/library/publications/the-world-factbook/geos/gj.html?Transportation	https://travel.state.gov/content/travel/en/international-travel/International-Travel-Country-Information-Pages/Grenada.html	</v>
      <v xml:space="preserve">http://creativecommons.org/licenses/by-sa/3.0/			</v>
    </spb>
    <spb s="1">
      <v xml:space="preserve">Wikipedia	</v>
      <v xml:space="preserve">CC BY-SA 3.0	</v>
      <v xml:space="preserve">https://en.wikipedia.org/wiki/Grenada	</v>
      <v xml:space="preserve">https://creativecommons.org/licenses/by-sa/3.0	</v>
    </spb>
    <spb s="1">
      <v xml:space="preserve">Wikipedia	</v>
      <v xml:space="preserve">CC-BY-SA	</v>
      <v xml:space="preserve">http://en.wikipedia.org/wiki/Grenada	</v>
      <v xml:space="preserve">http://creativecommons.org/licenses/by-sa/3.0/	</v>
    </spb>
    <spb s="1">
      <v xml:space="preserve">Cia	</v>
      <v xml:space="preserve">	</v>
      <v xml:space="preserve">https://www.cia.gov/library/publications/the-world-factbook/geos/gj.html?Transportation	</v>
      <v xml:space="preserve">	</v>
    </spb>
    <spb s="69">
      <v>10</v>
      <v>629</v>
      <v>630</v>
      <v>630</v>
      <v>13</v>
      <v>630</v>
      <v>630</v>
      <v>630</v>
      <v>631</v>
      <v>630</v>
      <v>630</v>
      <v>630</v>
      <v>630</v>
      <v>632</v>
      <v>16</v>
      <v>629</v>
      <v>632</v>
      <v>17</v>
      <v>630</v>
      <v>632</v>
      <v>18</v>
      <v>19</v>
      <v>632</v>
      <v>630</v>
      <v>632</v>
      <v>21</v>
      <v>22</v>
      <v>23</v>
      <v>632</v>
      <v>632</v>
      <v>632</v>
      <v>632</v>
    </spb>
    <spb s="3">
      <v>46</v>
      <v>Name</v>
      <v>LearnMoreOnLink</v>
    </spb>
    <spb s="70">
      <v>2018</v>
      <v>2019</v>
      <v>square km</v>
      <v>per thousand (2018)</v>
      <v>2022</v>
      <v>2018</v>
      <v>2018</v>
      <v>per liter (2016)</v>
      <v>2019</v>
      <v>years (2018)</v>
      <v>2014</v>
      <v>per thousand (2018)</v>
      <v>2019</v>
      <v>2016</v>
      <v>2016</v>
      <v>2017</v>
      <v>kilotons per year (2016)</v>
      <v>deaths per 100,000 (2017)</v>
      <v>2007</v>
      <v>2015</v>
      <v>2018</v>
      <v>2018</v>
    </spb>
    <spb s="1">
      <v xml:space="preserve">Wikipedia	</v>
      <v xml:space="preserve">CC BY-SA 3.0	</v>
      <v xml:space="preserve">https://en.wikipedia.org/wiki/Guatemala_City	</v>
      <v xml:space="preserve">https://creativecommons.org/licenses/by-sa/3.0	</v>
    </spb>
    <spb s="11">
      <v>636</v>
      <v>636</v>
      <v>636</v>
      <v>636</v>
      <v>636</v>
      <v>636</v>
      <v>636</v>
      <v>636</v>
      <v>636</v>
    </spb>
    <spb s="1">
      <v xml:space="preserve">Wikipedia	Cia	travel.state.gov	</v>
      <v xml:space="preserve">CC-BY-SA			</v>
      <v xml:space="preserve">http://en.wikipedia.org/wiki/Guatemala	https://www.cia.gov/library/publications/the-world-factbook/geos/gt.html?Transportation	https://travel.state.gov/content/travel/en/international-travel/International-Travel-Country-Information-Pages/Guatemala.html	</v>
      <v xml:space="preserve">http://creativecommons.org/licenses/by-sa/3.0/			</v>
    </spb>
    <spb s="1">
      <v xml:space="preserve">Wikipedia	</v>
      <v xml:space="preserve">CC BY-SA 3.0	</v>
      <v xml:space="preserve">https://en.wikipedia.org/wiki/Guatemala	</v>
      <v xml:space="preserve">https://creativecommons.org/licenses/by-sa/3.0	</v>
    </spb>
    <spb s="1">
      <v xml:space="preserve">Wikipedia	</v>
      <v xml:space="preserve">CC-BY-SA	</v>
      <v xml:space="preserve">http://en.wikipedia.org/wiki/Guatemala	</v>
      <v xml:space="preserve">http://creativecommons.org/licenses/by-sa/3.0/	</v>
    </spb>
    <spb s="1">
      <v xml:space="preserve">Cia	</v>
      <v xml:space="preserve">	</v>
      <v xml:space="preserve">https://www.cia.gov/library/publications/the-world-factbook/geos/gt.html?Transportation	</v>
      <v xml:space="preserve">	</v>
    </spb>
    <spb s="12">
      <v>10</v>
      <v>638</v>
      <v>639</v>
      <v>639</v>
      <v>13</v>
      <v>639</v>
      <v>639</v>
      <v>639</v>
      <v>640</v>
      <v>639</v>
      <v>639</v>
      <v>640</v>
      <v>639</v>
      <v>639</v>
      <v>641</v>
      <v>16</v>
      <v>638</v>
      <v>641</v>
      <v>17</v>
      <v>639</v>
      <v>641</v>
      <v>18</v>
      <v>19</v>
      <v>20</v>
      <v>641</v>
      <v>641</v>
      <v>639</v>
      <v>641</v>
      <v>21</v>
      <v>22</v>
      <v>23</v>
      <v>44</v>
      <v>641</v>
      <v>641</v>
      <v>641</v>
      <v>641</v>
      <v>641</v>
      <v>641</v>
      <v>641</v>
      <v>641</v>
      <v>641</v>
      <v>641</v>
      <v>641</v>
      <v>24</v>
    </spb>
    <spb s="13">
      <v>2019</v>
      <v>2019</v>
      <v>square km</v>
      <v>per thousand (2018)</v>
      <v>2022</v>
      <v>2019</v>
      <v>2018</v>
      <v>per liter (2016)</v>
      <v>2019</v>
      <v>years (2018)</v>
      <v>2018</v>
      <v>per thousand (2018)</v>
      <v>2019</v>
      <v>2017</v>
      <v>2016</v>
      <v>2019</v>
      <v>2016</v>
      <v>2018</v>
      <v>kilotons per year (2016)</v>
      <v>deaths per 100,000 (2017)</v>
      <v>kWh (2014)</v>
      <v>2014</v>
      <v>2014</v>
      <v>2014</v>
      <v>2014</v>
      <v>2014</v>
      <v>2014</v>
      <v>2015</v>
      <v>2014</v>
      <v>2014</v>
      <v>2018</v>
      <v>2015</v>
      <v>2019</v>
    </spb>
    <spb s="1">
      <v xml:space="preserve">Wikipedia	</v>
      <v xml:space="preserve">CC BY-SA 3.0	</v>
      <v xml:space="preserve">https://en.wikipedia.org/wiki/Conakry	</v>
      <v xml:space="preserve">https://creativecommons.org/licenses/by-sa/3.0	</v>
    </spb>
    <spb s="1">
      <v xml:space="preserve">Wikipedia	</v>
      <v xml:space="preserve">CC-BY-SA	</v>
      <v xml:space="preserve">http://en.wikipedia.org/wiki/Conakry	</v>
      <v xml:space="preserve">http://creativecommons.org/licenses/by-sa/3.0/	</v>
    </spb>
    <spb s="16">
      <v>644</v>
      <v>644</v>
      <v>644</v>
      <v>644</v>
      <v>644</v>
      <v>645</v>
      <v>644</v>
    </spb>
    <spb s="1">
      <v xml:space="preserve">Wikipedia	Cia	travel.state.gov	</v>
      <v xml:space="preserve">CC-BY-SA			</v>
      <v xml:space="preserve">http://en.wikipedia.org/wiki/Guinea	https://www.cia.gov/library/publications/the-world-factbook/geos/gv.html?Transportation	https://travel.state.gov/content/travel/en/international-travel/International-Travel-Country-Information-Pages/Guinea.html	</v>
      <v xml:space="preserve">http://creativecommons.org/licenses/by-sa/3.0/			</v>
    </spb>
    <spb s="1">
      <v xml:space="preserve">Wikipedia	</v>
      <v xml:space="preserve">CC BY-SA 3.0	</v>
      <v xml:space="preserve">https://en.wikipedia.org/wiki/Guinea	</v>
      <v xml:space="preserve">https://creativecommons.org/licenses/by-sa/3.0	</v>
    </spb>
    <spb s="1">
      <v xml:space="preserve">Wikipedia	</v>
      <v xml:space="preserve">CC-BY-SA	</v>
      <v xml:space="preserve">http://en.wikipedia.org/wiki/Guinea	</v>
      <v xml:space="preserve">http://creativecommons.org/licenses/by-sa/3.0/	</v>
    </spb>
    <spb s="1">
      <v xml:space="preserve">Cia	</v>
      <v xml:space="preserve">	</v>
      <v xml:space="preserve">https://www.cia.gov/library/publications/the-world-factbook/geos/gv.html?Transportation	</v>
      <v xml:space="preserve">	</v>
    </spb>
    <spb s="36">
      <v>10</v>
      <v>647</v>
      <v>648</v>
      <v>648</v>
      <v>13</v>
      <v>648</v>
      <v>648</v>
      <v>648</v>
      <v>649</v>
      <v>648</v>
      <v>648</v>
      <v>648</v>
      <v>648</v>
      <v>650</v>
      <v>16</v>
      <v>647</v>
      <v>650</v>
      <v>17</v>
      <v>648</v>
      <v>650</v>
      <v>18</v>
      <v>19</v>
      <v>20</v>
      <v>650</v>
      <v>650</v>
      <v>648</v>
      <v>650</v>
      <v>21</v>
      <v>22</v>
      <v>23</v>
      <v>650</v>
      <v>650</v>
      <v>650</v>
      <v>650</v>
      <v>650</v>
      <v>650</v>
      <v>650</v>
      <v>650</v>
      <v>650</v>
      <v>650</v>
      <v>24</v>
    </spb>
    <spb s="37">
      <v>2019</v>
      <v>2019</v>
      <v>square km</v>
      <v>per thousand (2018)</v>
      <v>2022</v>
      <v>2019</v>
      <v>2018</v>
      <v>per liter (2016)</v>
      <v>2019</v>
      <v>years (2018)</v>
      <v>1992</v>
      <v>per thousand (2018)</v>
      <v>2019</v>
      <v>2017</v>
      <v>2016</v>
      <v>2019</v>
      <v>2016</v>
      <v>2016</v>
      <v>kilotons per year (2016)</v>
      <v>deaths per 100,000 (2017)</v>
      <v>2012</v>
      <v>2012</v>
      <v>2012</v>
      <v>2012</v>
      <v>2012</v>
      <v>2015</v>
      <v>2012</v>
      <v>2012</v>
      <v>2016</v>
      <v>2014</v>
      <v>2019</v>
    </spb>
    <spb s="1">
      <v xml:space="preserve">Wikipedia	</v>
      <v xml:space="preserve">CC BY-SA 3.0	</v>
      <v xml:space="preserve">https://en.wikipedia.org/wiki/Bissau	</v>
      <v xml:space="preserve">https://creativecommons.org/licenses/by-sa/3.0	</v>
    </spb>
    <spb s="1">
      <v xml:space="preserve">Wikipedia	</v>
      <v xml:space="preserve">CC-BY-SA	</v>
      <v xml:space="preserve">http://en.wikipedia.org/wiki/Bissau	</v>
      <v xml:space="preserve">http://creativecommons.org/licenses/by-sa/3.0/	</v>
    </spb>
    <spb s="16">
      <v>653</v>
      <v>653</v>
      <v>653</v>
      <v>653</v>
      <v>653</v>
      <v>654</v>
      <v>653</v>
    </spb>
    <spb s="1">
      <v xml:space="preserve">Wikipedia	Cia	travel.state.gov	</v>
      <v xml:space="preserve">CC-BY-SA			</v>
      <v xml:space="preserve">http://en.wikipedia.org/wiki/Guinea-Bissau	https://www.cia.gov/library/publications/the-world-factbook/geos/pu.html?Transportation	https://travel.state.gov/content/travel/en/international-travel/International-Travel-Country-Information-Pages/Guinea-Bissau.html	</v>
      <v xml:space="preserve">http://creativecommons.org/licenses/by-sa/3.0/			</v>
    </spb>
    <spb s="1">
      <v xml:space="preserve">Wikipedia	</v>
      <v xml:space="preserve">CC BY-SA 3.0	</v>
      <v xml:space="preserve">https://en.wikipedia.org/wiki/Guinea-Bissau	</v>
      <v xml:space="preserve">https://creativecommons.org/licenses/by-sa/3.0	</v>
    </spb>
    <spb s="1">
      <v xml:space="preserve">Wikipedia	</v>
      <v xml:space="preserve">CC-BY-SA	</v>
      <v xml:space="preserve">http://en.wikipedia.org/wiki/Guinea-Bissau	</v>
      <v xml:space="preserve">http://creativecommons.org/licenses/by-sa/3.0/	</v>
    </spb>
    <spb s="1">
      <v xml:space="preserve">Cia	</v>
      <v xml:space="preserve">	</v>
      <v xml:space="preserve">https://www.cia.gov/library/publications/the-world-factbook/geos/pu.html?Transportation	</v>
      <v xml:space="preserve">	</v>
    </spb>
    <spb s="71">
      <v>10</v>
      <v>656</v>
      <v>657</v>
      <v>657</v>
      <v>13</v>
      <v>657</v>
      <v>657</v>
      <v>657</v>
      <v>658</v>
      <v>657</v>
      <v>657</v>
      <v>658</v>
      <v>657</v>
      <v>657</v>
      <v>659</v>
      <v>16</v>
      <v>659</v>
      <v>17</v>
      <v>657</v>
      <v>659</v>
      <v>18</v>
      <v>19</v>
      <v>20</v>
      <v>659</v>
      <v>659</v>
      <v>657</v>
      <v>659</v>
      <v>21</v>
      <v>22</v>
      <v>23</v>
      <v>659</v>
      <v>659</v>
      <v>659</v>
      <v>659</v>
      <v>659</v>
      <v>659</v>
      <v>659</v>
      <v>659</v>
      <v>659</v>
      <v>659</v>
      <v>659</v>
      <v>24</v>
    </spb>
    <spb s="3">
      <v>47</v>
      <v>Name</v>
      <v>LearnMoreOnLink</v>
    </spb>
    <spb s="72">
      <v>2017</v>
      <v>2019</v>
      <v>square km</v>
      <v>per thousand (2018)</v>
      <v>2022</v>
      <v>2017</v>
      <v>2018</v>
      <v>2019</v>
      <v>years (2018)</v>
      <v>2017</v>
      <v>per thousand (2018)</v>
      <v>2019</v>
      <v>2017</v>
      <v>2016</v>
      <v>2019</v>
      <v>2016</v>
      <v>2016</v>
      <v>kilotons per year (2016)</v>
      <v>deaths per 100,000 (2017)</v>
      <v>2007</v>
      <v>2010</v>
      <v>2010</v>
      <v>2010</v>
      <v>2010</v>
      <v>2010</v>
      <v>2015</v>
      <v>2010</v>
      <v>2010</v>
      <v>2010</v>
      <v>2006</v>
      <v>2019</v>
    </spb>
    <spb s="1">
      <v xml:space="preserve">Wikipedia	</v>
      <v xml:space="preserve">CC BY-SA 3.0	</v>
      <v xml:space="preserve">https://en.wikipedia.org/wiki/Georgetown,_Guyana	</v>
      <v xml:space="preserve">https://creativecommons.org/licenses/by-sa/3.0	</v>
    </spb>
    <spb s="11">
      <v>663</v>
      <v>663</v>
      <v>663</v>
      <v>663</v>
      <v>663</v>
      <v>663</v>
      <v>663</v>
      <v>663</v>
      <v>663</v>
    </spb>
    <spb s="1">
      <v xml:space="preserve">Wikipedia	Cia	travel.state.gov	</v>
      <v xml:space="preserve">CC-BY-SA			</v>
      <v xml:space="preserve">http://en.wikipedia.org/wiki/Guyana	https://www.cia.gov/library/publications/the-world-factbook/geos/gy.html?Transportation	https://travel.state.gov/content/travel/en/international-travel/International-Travel-Country-Information-Pages/Guyana.html	</v>
      <v xml:space="preserve">http://creativecommons.org/licenses/by-sa/3.0/			</v>
    </spb>
    <spb s="1">
      <v xml:space="preserve">Wikipedia	</v>
      <v xml:space="preserve">CC BY-SA 3.0	</v>
      <v xml:space="preserve">https://en.wikipedia.org/wiki/Guyana	</v>
      <v xml:space="preserve">https://creativecommons.org/licenses/by-sa/3.0	</v>
    </spb>
    <spb s="1">
      <v xml:space="preserve">Wikipedia	</v>
      <v xml:space="preserve">CC-BY-SA	</v>
      <v xml:space="preserve">http://en.wikipedia.org/wiki/Guyana	</v>
      <v xml:space="preserve">http://creativecommons.org/licenses/by-sa/3.0/	</v>
    </spb>
    <spb s="1">
      <v xml:space="preserve">Cia	</v>
      <v xml:space="preserve">	</v>
      <v xml:space="preserve">https://www.cia.gov/library/publications/the-world-factbook/geos/gy.html?Transportation	</v>
      <v xml:space="preserve">	</v>
    </spb>
    <spb s="73">
      <v>10</v>
      <v>665</v>
      <v>666</v>
      <v>666</v>
      <v>13</v>
      <v>666</v>
      <v>666</v>
      <v>666</v>
      <v>667</v>
      <v>666</v>
      <v>666</v>
      <v>667</v>
      <v>666</v>
      <v>666</v>
      <v>668</v>
      <v>16</v>
      <v>665</v>
      <v>668</v>
      <v>17</v>
      <v>666</v>
      <v>18</v>
      <v>19</v>
      <v>20</v>
      <v>668</v>
      <v>668</v>
      <v>666</v>
      <v>668</v>
      <v>21</v>
      <v>22</v>
      <v>23</v>
      <v>668</v>
      <v>668</v>
      <v>668</v>
      <v>668</v>
      <v>668</v>
      <v>668</v>
      <v>668</v>
      <v>668</v>
      <v>668</v>
      <v>668</v>
      <v>668</v>
      <v>24</v>
    </spb>
    <spb s="3">
      <v>48</v>
      <v>Name</v>
      <v>LearnMoreOnLink</v>
    </spb>
    <spb s="54">
      <v>2019</v>
      <v>2019</v>
      <v>square km</v>
      <v>per thousand (2018)</v>
      <v>2022</v>
      <v>2019</v>
      <v>2018</v>
      <v>per liter (2016)</v>
      <v>2019</v>
      <v>years (2018)</v>
      <v>per thousand (2018)</v>
      <v>2019</v>
      <v>2017</v>
      <v>2016</v>
      <v>2019</v>
      <v>2016</v>
      <v>2018</v>
      <v>kilotons per year (2016)</v>
      <v>deaths per 100,000 (2017)</v>
      <v>2007</v>
      <v>1998</v>
      <v>1998</v>
      <v>1998</v>
      <v>1998</v>
      <v>1998</v>
      <v>2015</v>
      <v>1998</v>
      <v>1998</v>
      <v>2012</v>
      <v>2012</v>
      <v>2019</v>
    </spb>
    <spb s="1">
      <v xml:space="preserve">Wikipedia	</v>
      <v xml:space="preserve">CC-BY-SA	</v>
      <v xml:space="preserve">http://en.wikipedia.org/wiki/Port-au-Prince	</v>
      <v xml:space="preserve">http://creativecommons.org/licenses/by-sa/3.0/	</v>
    </spb>
    <spb s="1">
      <v xml:space="preserve">Wikipedia	</v>
      <v xml:space="preserve">CC BY-SA 3.0	</v>
      <v xml:space="preserve">https://en.wikipedia.org/wiki/Port-au-Prince	</v>
      <v xml:space="preserve">https://creativecommons.org/licenses/by-sa/3.0	</v>
    </spb>
    <spb s="2">
      <v>672</v>
      <v>673</v>
      <v>673</v>
      <v>673</v>
      <v>673</v>
      <v>673</v>
      <v>673</v>
      <v>673</v>
      <v>673</v>
      <v>673</v>
    </spb>
    <spb s="1">
      <v xml:space="preserve">Wikipedia	Cia	travel.state.gov	</v>
      <v xml:space="preserve">CC-BY-SA			</v>
      <v xml:space="preserve">http://en.wikipedia.org/wiki/Haiti	https://www.cia.gov/library/publications/the-world-factbook/geos/ha.html?Transportation	https://travel.state.gov/content/travel/en/international-travel/International-Travel-Country-Information-Pages/Haiti.html	</v>
      <v xml:space="preserve">http://creativecommons.org/licenses/by-sa/3.0/			</v>
    </spb>
    <spb s="1">
      <v xml:space="preserve">Wikipedia	</v>
      <v xml:space="preserve">CC BY-SA 3.0	</v>
      <v xml:space="preserve">https://en.wikipedia.org/wiki/Haiti	</v>
      <v xml:space="preserve">https://creativecommons.org/licenses/by-sa/3.0	</v>
    </spb>
    <spb s="1">
      <v xml:space="preserve">Wikipedia	</v>
      <v xml:space="preserve">CC-BY-SA	</v>
      <v xml:space="preserve">http://en.wikipedia.org/wiki/Haiti	</v>
      <v xml:space="preserve">http://creativecommons.org/licenses/by-sa/3.0/	</v>
    </spb>
    <spb s="1">
      <v xml:space="preserve">Cia	</v>
      <v xml:space="preserve">	</v>
      <v xml:space="preserve">https://www.cia.gov/library/publications/the-world-factbook/geos/ha.html?Transportation	</v>
      <v xml:space="preserve">	</v>
    </spb>
    <spb s="74">
      <v>10</v>
      <v>675</v>
      <v>676</v>
      <v>676</v>
      <v>13</v>
      <v>676</v>
      <v>676</v>
      <v>676</v>
      <v>677</v>
      <v>676</v>
      <v>676</v>
      <v>677</v>
      <v>676</v>
      <v>676</v>
      <v>678</v>
      <v>16</v>
      <v>675</v>
      <v>678</v>
      <v>17</v>
      <v>676</v>
      <v>18</v>
      <v>19</v>
      <v>20</v>
      <v>678</v>
      <v>678</v>
      <v>676</v>
      <v>678</v>
      <v>21</v>
      <v>22</v>
      <v>23</v>
      <v>44</v>
      <v>678</v>
      <v>678</v>
      <v>678</v>
      <v>678</v>
      <v>678</v>
      <v>678</v>
      <v>678</v>
      <v>678</v>
      <v>678</v>
      <v>678</v>
      <v>678</v>
      <v>24</v>
    </spb>
    <spb s="3">
      <v>49</v>
      <v>Name</v>
      <v>LearnMoreOnLink</v>
    </spb>
    <spb s="75">
      <v>2018</v>
      <v>2019</v>
      <v>square km</v>
      <v>per thousand (2018)</v>
      <v>2022</v>
      <v>2018</v>
      <v>2018</v>
      <v>per liter (2016)</v>
      <v>2019</v>
      <v>years (2018)</v>
      <v>per thousand (2018)</v>
      <v>2019</v>
      <v>2017</v>
      <v>2016</v>
      <v>2019</v>
      <v>2016</v>
      <v>2018</v>
      <v>kilotons per year (2016)</v>
      <v>deaths per 100,000 (2017)</v>
      <v>kWh (2014)</v>
      <v>2014</v>
      <v>2012</v>
      <v>2012</v>
      <v>2012</v>
      <v>2012</v>
      <v>2012</v>
      <v>2015</v>
      <v>2012</v>
      <v>2012</v>
      <v>1998</v>
      <v>1986</v>
      <v>2019</v>
    </spb>
    <spb s="1">
      <v xml:space="preserve">Wikipedia	</v>
      <v xml:space="preserve">CC BY-SA 3.0	</v>
      <v xml:space="preserve">https://en.wikipedia.org/wiki/Tegucigalpa	</v>
      <v xml:space="preserve">https://creativecommons.org/licenses/by-sa/3.0	</v>
    </spb>
    <spb s="2">
      <v>682</v>
      <v>682</v>
      <v>682</v>
      <v>682</v>
      <v>682</v>
      <v>682</v>
      <v>682</v>
      <v>682</v>
      <v>682</v>
      <v>682</v>
    </spb>
    <spb s="1">
      <v xml:space="preserve">Wikipedia	Cia	travel.state.gov	</v>
      <v xml:space="preserve">CC-BY-SA			</v>
      <v xml:space="preserve">http://en.wikipedia.org/wiki/Honduras	https://www.cia.gov/library/publications/the-world-factbook/geos/ho.html?Transportation	https://travel.state.gov/content/travel/en/international-travel/International-Travel-Country-Information-Pages/Honduras.html	</v>
      <v xml:space="preserve">http://creativecommons.org/licenses/by-sa/3.0/			</v>
    </spb>
    <spb s="1">
      <v xml:space="preserve">Wikipedia	</v>
      <v xml:space="preserve">CC BY-SA 3.0	</v>
      <v xml:space="preserve">https://en.wikipedia.org/wiki/Honduras	</v>
      <v xml:space="preserve">https://creativecommons.org/licenses/by-sa/3.0	</v>
    </spb>
    <spb s="1">
      <v xml:space="preserve">Wikipedia	</v>
      <v xml:space="preserve">CC-BY-SA	</v>
      <v xml:space="preserve">http://en.wikipedia.org/wiki/Honduras	</v>
      <v xml:space="preserve">http://creativecommons.org/licenses/by-sa/3.0/	</v>
    </spb>
    <spb s="1">
      <v xml:space="preserve">Cia	</v>
      <v xml:space="preserve">	</v>
      <v xml:space="preserve">https://www.cia.gov/library/publications/the-world-factbook/geos/ho.html?Transportation	</v>
      <v xml:space="preserve">	</v>
    </spb>
    <spb s="12">
      <v>10</v>
      <v>684</v>
      <v>685</v>
      <v>685</v>
      <v>13</v>
      <v>685</v>
      <v>685</v>
      <v>685</v>
      <v>686</v>
      <v>685</v>
      <v>685</v>
      <v>686</v>
      <v>685</v>
      <v>685</v>
      <v>687</v>
      <v>16</v>
      <v>684</v>
      <v>687</v>
      <v>17</v>
      <v>685</v>
      <v>687</v>
      <v>18</v>
      <v>19</v>
      <v>20</v>
      <v>687</v>
      <v>687</v>
      <v>685</v>
      <v>687</v>
      <v>21</v>
      <v>22</v>
      <v>23</v>
      <v>44</v>
      <v>687</v>
      <v>687</v>
      <v>687</v>
      <v>687</v>
      <v>687</v>
      <v>687</v>
      <v>687</v>
      <v>687</v>
      <v>687</v>
      <v>687</v>
      <v>687</v>
      <v>24</v>
    </spb>
    <spb s="13">
      <v>2019</v>
      <v>2019</v>
      <v>square km</v>
      <v>per thousand (2018)</v>
      <v>2022</v>
      <v>2019</v>
      <v>2018</v>
      <v>per liter (2016)</v>
      <v>2019</v>
      <v>years (2018)</v>
      <v>2015</v>
      <v>per thousand (2018)</v>
      <v>2019</v>
      <v>2017</v>
      <v>2016</v>
      <v>2019</v>
      <v>2016</v>
      <v>2017</v>
      <v>kilotons per year (2016)</v>
      <v>deaths per 100,000 (2017)</v>
      <v>kWh (2014)</v>
      <v>2014</v>
      <v>2018</v>
      <v>2018</v>
      <v>2018</v>
      <v>2018</v>
      <v>2018</v>
      <v>2015</v>
      <v>2018</v>
      <v>2018</v>
      <v>2017</v>
      <v>2018</v>
      <v>2019</v>
    </spb>
    <spb s="1">
      <v xml:space="preserve">Wikipedia	</v>
      <v xml:space="preserve">CC-BY-SA	</v>
      <v xml:space="preserve">http://en.wikipedia.org/wiki/Budapest	</v>
      <v xml:space="preserve">http://creativecommons.org/licenses/by-sa/3.0/	</v>
    </spb>
    <spb s="1">
      <v xml:space="preserve">Wikipedia	</v>
      <v xml:space="preserve">CC BY-SA 3.0	</v>
      <v xml:space="preserve">https://en.wikipedia.org/wiki/Budapest	</v>
      <v xml:space="preserve">https://creativecommons.org/licenses/by-sa/3.0	</v>
    </spb>
    <spb s="16">
      <v>690</v>
      <v>691</v>
      <v>691</v>
      <v>691</v>
      <v>691</v>
      <v>690</v>
      <v>691</v>
    </spb>
    <spb s="1">
      <v xml:space="preserve">Wikipedia	Cia	travel.state.gov	</v>
      <v xml:space="preserve">CC-BY-SA			</v>
      <v xml:space="preserve">http://en.wikipedia.org/wiki/Hungary	https://www.cia.gov/library/publications/the-world-factbook/geos/hu.html?Transportation	https://travel.state.gov/content/travel/en/international-travel/International-Travel-Country-Information-Pages/Hungary.html	</v>
      <v xml:space="preserve">http://creativecommons.org/licenses/by-sa/3.0/			</v>
    </spb>
    <spb s="1">
      <v xml:space="preserve">Wikipedia	</v>
      <v xml:space="preserve">CC BY-SA 3.0	</v>
      <v xml:space="preserve">https://en.wikipedia.org/wiki/Hungary	</v>
      <v xml:space="preserve">https://creativecommons.org/licenses/by-sa/3.0	</v>
    </spb>
    <spb s="1">
      <v xml:space="preserve">Wikipedia	</v>
      <v xml:space="preserve">CC-BY-SA	</v>
      <v xml:space="preserve">http://en.wikipedia.org/wiki/Hungary	</v>
      <v xml:space="preserve">http://creativecommons.org/licenses/by-sa/3.0/	</v>
    </spb>
    <spb s="1">
      <v xml:space="preserve">Cia	</v>
      <v xml:space="preserve">	</v>
      <v xml:space="preserve">https://www.cia.gov/library/publications/the-world-factbook/geos/hu.html?Transportation	</v>
      <v xml:space="preserve">	</v>
    </spb>
    <spb s="14">
      <v>10</v>
      <v>693</v>
      <v>694</v>
      <v>694</v>
      <v>13</v>
      <v>694</v>
      <v>694</v>
      <v>694</v>
      <v>695</v>
      <v>694</v>
      <v>694</v>
      <v>695</v>
      <v>694</v>
      <v>694</v>
      <v>696</v>
      <v>16</v>
      <v>693</v>
      <v>696</v>
      <v>17</v>
      <v>694</v>
      <v>696</v>
      <v>18</v>
      <v>19</v>
      <v>20</v>
      <v>696</v>
      <v>696</v>
      <v>694</v>
      <v>696</v>
      <v>21</v>
      <v>22</v>
      <v>23</v>
      <v>44</v>
      <v>696</v>
      <v>693</v>
      <v>696</v>
      <v>696</v>
      <v>696</v>
      <v>696</v>
      <v>696</v>
      <v>696</v>
      <v>696</v>
      <v>696</v>
      <v>696</v>
      <v>696</v>
      <v>24</v>
    </spb>
    <spb s="1">
      <v xml:space="preserve">Wikipedia	</v>
      <v xml:space="preserve">CC-BY-SA	</v>
      <v xml:space="preserve">http://fr.wikipedia.org/wiki/Reykjavik	</v>
      <v xml:space="preserve">http://creativecommons.org/licenses/by-sa/3.0/	</v>
    </spb>
    <spb s="1">
      <v xml:space="preserve">Wikipedia	</v>
      <v xml:space="preserve">CC BY-SA 3.0	</v>
      <v xml:space="preserve">https://en.wikipedia.org/wiki/Reykjav%C3%ADk	</v>
      <v xml:space="preserve">https://creativecommons.org/licenses/by-sa/3.0	</v>
    </spb>
    <spb s="11">
      <v>698</v>
      <v>699</v>
      <v>699</v>
      <v>699</v>
      <v>699</v>
      <v>699</v>
      <v>699</v>
      <v>699</v>
      <v>699</v>
    </spb>
    <spb s="1">
      <v xml:space="preserve">Wikipedia	</v>
      <v xml:space="preserve">CC BY-SA 3.0	</v>
      <v xml:space="preserve">https://en.wikipedia.org/wiki/New_Delhi	</v>
      <v xml:space="preserve">https://creativecommons.org/licenses/by-sa/3.0	</v>
    </spb>
    <spb s="21">
      <v>701</v>
      <v>701</v>
      <v>701</v>
      <v>701</v>
      <v>701</v>
      <v>701</v>
      <v>701</v>
      <v>701</v>
    </spb>
    <spb s="3">
      <v>50</v>
      <v>Name</v>
      <v>LearnMoreOnLink</v>
    </spb>
    <spb s="1">
      <v xml:space="preserve">Wikipedia	</v>
      <v xml:space="preserve">CC BY-SA 3.0	</v>
      <v xml:space="preserve">https://en.wikipedia.org/wiki/Jakarta	</v>
      <v xml:space="preserve">https://creativecommons.org/licenses/by-sa/3.0	</v>
    </spb>
    <spb s="1">
      <v xml:space="preserve">sp2010.bps.go.id	</v>
      <v xml:space="preserve">	</v>
      <v xml:space="preserve">https://sp2010.bps.go.id/index.php/site/tabel?tid=336&amp;wid=0000000000&amp;lang=en	</v>
      <v xml:space="preserve">	</v>
    </spb>
    <spb s="1">
      <v xml:space="preserve">Wikipedia	</v>
      <v xml:space="preserve">CC-BY-SA	</v>
      <v xml:space="preserve">http://en.wikipedia.org/wiki/Jakarta	</v>
      <v xml:space="preserve">http://creativecommons.org/licenses/by-sa/3.0/	</v>
    </spb>
    <spb s="76">
      <v>704</v>
      <v>704</v>
      <v>705</v>
      <v>704</v>
      <v>704</v>
      <v>704</v>
      <v>706</v>
      <v>704</v>
      <v>704</v>
      <v>705</v>
    </spb>
    <spb s="3">
      <v>51</v>
      <v>Name</v>
      <v>LearnMoreOnLink</v>
    </spb>
    <spb s="77">
      <v>square km</v>
      <v>2010</v>
      <v>2020</v>
      <v>2010</v>
    </spb>
    <spb s="1">
      <v xml:space="preserve">Wikipedia	Cia	travel.state.gov	</v>
      <v xml:space="preserve">CC-BY-SA			</v>
      <v xml:space="preserve">http://en.wikipedia.org/wiki/Indonesia	https://www.cia.gov/library/publications/the-world-factbook/geos/id.html?Transportation	https://travel.state.gov/content/travel/en/international-travel/International-Travel-Country-Information-Pages/Indonesia.html	</v>
      <v xml:space="preserve">http://creativecommons.org/licenses/by-sa/3.0/			</v>
    </spb>
    <spb s="1">
      <v xml:space="preserve">Wikipedia	</v>
      <v xml:space="preserve">CC BY-SA 3.0	</v>
      <v xml:space="preserve">https://en.wikipedia.org/wiki/Indonesia	</v>
      <v xml:space="preserve">https://creativecommons.org/licenses/by-sa/3.0	</v>
    </spb>
    <spb s="1">
      <v xml:space="preserve">Wikipedia	</v>
      <v xml:space="preserve">CC-BY-SA	</v>
      <v xml:space="preserve">http://en.wikipedia.org/wiki/Indonesia	</v>
      <v xml:space="preserve">http://creativecommons.org/licenses/by-sa/3.0/	</v>
    </spb>
    <spb s="1">
      <v xml:space="preserve">Cia	</v>
      <v xml:space="preserve">	</v>
      <v xml:space="preserve">https://www.cia.gov/library/publications/the-world-factbook/geos/id.html?Transportation	</v>
      <v xml:space="preserve">	</v>
    </spb>
    <spb s="14">
      <v>10</v>
      <v>710</v>
      <v>711</v>
      <v>711</v>
      <v>13</v>
      <v>711</v>
      <v>711</v>
      <v>711</v>
      <v>712</v>
      <v>711</v>
      <v>711</v>
      <v>712</v>
      <v>711</v>
      <v>711</v>
      <v>713</v>
      <v>16</v>
      <v>710</v>
      <v>713</v>
      <v>17</v>
      <v>711</v>
      <v>713</v>
      <v>18</v>
      <v>19</v>
      <v>20</v>
      <v>713</v>
      <v>713</v>
      <v>711</v>
      <v>713</v>
      <v>21</v>
      <v>22</v>
      <v>23</v>
      <v>44</v>
      <v>713</v>
      <v>710</v>
      <v>713</v>
      <v>713</v>
      <v>713</v>
      <v>713</v>
      <v>713</v>
      <v>713</v>
      <v>713</v>
      <v>713</v>
      <v>713</v>
      <v>713</v>
      <v>24</v>
    </spb>
    <spb s="1">
      <v xml:space="preserve">Wikipedia	</v>
      <v xml:space="preserve">CC BY-SA 3.0	</v>
      <v xml:space="preserve">https://en.wikipedia.org/wiki/Tehran	</v>
      <v xml:space="preserve">https://creativecommons.org/licenses/by-sa/3.0	</v>
    </spb>
    <spb s="21">
      <v>715</v>
      <v>715</v>
      <v>715</v>
      <v>715</v>
      <v>715</v>
      <v>715</v>
      <v>715</v>
      <v>715</v>
    </spb>
    <spb s="1">
      <v xml:space="preserve">Wikipedia	</v>
      <v xml:space="preserve">CC BY-SA 3.0	</v>
      <v xml:space="preserve">https://en.wikipedia.org/wiki/Baghdad	</v>
      <v xml:space="preserve">https://creativecommons.org/licenses/by-sa/3.0	</v>
    </spb>
    <spb s="11">
      <v>717</v>
      <v>717</v>
      <v>717</v>
      <v>717</v>
      <v>717</v>
      <v>717</v>
      <v>717</v>
      <v>717</v>
      <v>717</v>
    </spb>
    <spb s="1">
      <v xml:space="preserve">Wikipedia	</v>
      <v xml:space="preserve">CC-BY-SA	</v>
      <v xml:space="preserve">http://en.wikipedia.org/wiki/Dublin	</v>
      <v xml:space="preserve">http://creativecommons.org/licenses/by-sa/3.0/	</v>
    </spb>
    <spb s="1">
      <v xml:space="preserve">Wikipedia	</v>
      <v xml:space="preserve">CC BY-SA 3.0	</v>
      <v xml:space="preserve">https://en.wikipedia.org/wiki/Dublin	</v>
      <v xml:space="preserve">https://creativecommons.org/licenses/by-sa/3.0	</v>
    </spb>
    <spb s="21">
      <v>719</v>
      <v>720</v>
      <v>720</v>
      <v>720</v>
      <v>720</v>
      <v>720</v>
      <v>720</v>
      <v>720</v>
    </spb>
    <spb s="1">
      <v xml:space="preserve">Wikipedia	Cia	</v>
      <v xml:space="preserve">CC-BY-SA		</v>
      <v xml:space="preserve">http://en.wikipedia.org/wiki/Republic_of_Ireland	https://www.cia.gov/library/publications/the-world-factbook/geos/ei.html?Transportation	</v>
      <v xml:space="preserve">http://creativecommons.org/licenses/by-sa/3.0/		</v>
    </spb>
    <spb s="1">
      <v xml:space="preserve">Wikipedia	</v>
      <v xml:space="preserve">CC BY-SA 3.0	</v>
      <v xml:space="preserve">https://en.wikipedia.org/wiki/Republic_of_Ireland	</v>
      <v xml:space="preserve">https://creativecommons.org/licenses/by-sa/3.0	</v>
    </spb>
    <spb s="1">
      <v xml:space="preserve">Wikipedia	</v>
      <v xml:space="preserve">CC-BY-SA	</v>
      <v xml:space="preserve">http://en.wikipedia.org/wiki/Republic_of_Ireland	</v>
      <v xml:space="preserve">http://creativecommons.org/licenses/by-sa/3.0/	</v>
    </spb>
    <spb s="1">
      <v xml:space="preserve">Cia	</v>
      <v xml:space="preserve">	</v>
      <v xml:space="preserve">https://www.cia.gov/library/publications/the-world-factbook/geos/ei.html?Transportation	</v>
      <v xml:space="preserve">	</v>
    </spb>
    <spb s="78">
      <v>10</v>
      <v>722</v>
      <v>723</v>
      <v>723</v>
      <v>13</v>
      <v>723</v>
      <v>723</v>
      <v>723</v>
      <v>723</v>
      <v>723</v>
      <v>724</v>
      <v>723</v>
      <v>723</v>
      <v>725</v>
      <v>16</v>
      <v>722</v>
      <v>725</v>
      <v>17</v>
      <v>723</v>
      <v>725</v>
      <v>18</v>
      <v>19</v>
      <v>20</v>
      <v>725</v>
      <v>725</v>
      <v>723</v>
      <v>725</v>
      <v>21</v>
      <v>22</v>
      <v>23</v>
      <v>44</v>
      <v>725</v>
      <v>722</v>
      <v>725</v>
      <v>725</v>
      <v>725</v>
      <v>725</v>
      <v>725</v>
      <v>725</v>
      <v>725</v>
      <v>725</v>
      <v>725</v>
      <v>725</v>
      <v>24</v>
    </spb>
    <spb s="3">
      <v>52</v>
      <v>Name</v>
      <v>LearnMoreOnLink</v>
    </spb>
    <spb s="15">
      <v>2019</v>
      <v>2019</v>
      <v>square km</v>
      <v>per thousand (2018)</v>
      <v>2022</v>
      <v>2019</v>
      <v>2018</v>
      <v>per liter (2016)</v>
      <v>2019</v>
      <v>years (2018)</v>
      <v>2018</v>
      <v>per thousand (2018)</v>
      <v>2019</v>
      <v>2017</v>
      <v>2016</v>
      <v>2019</v>
      <v>2016</v>
      <v>2018</v>
      <v>kilotons per year (2016)</v>
      <v>deaths per 100,000 (2017)</v>
      <v>kWh (2014)</v>
      <v>2015</v>
      <v>2018</v>
      <v>2016</v>
      <v>2016</v>
      <v>2016</v>
      <v>2016</v>
      <v>2016</v>
      <v>2015</v>
      <v>2016</v>
      <v>2016</v>
      <v>2017</v>
      <v>2017</v>
      <v>2019</v>
    </spb>
    <spb s="1">
      <v xml:space="preserve">Wikipedia	</v>
      <v xml:space="preserve">CC BY-SA 3.0	</v>
      <v xml:space="preserve">https://en.wikipedia.org/wiki/Jerusalem	</v>
      <v xml:space="preserve">https://creativecommons.org/licenses/by-sa/3.0	</v>
    </spb>
    <spb s="11">
      <v>729</v>
      <v>729</v>
      <v>729</v>
      <v>729</v>
      <v>729</v>
      <v>729</v>
      <v>729</v>
      <v>729</v>
      <v>729</v>
    </spb>
    <spb s="1">
      <v xml:space="preserve">Wikipedia	Cia	</v>
      <v xml:space="preserve">CC-BY-SA		</v>
      <v xml:space="preserve">http://en.wikipedia.org/wiki/Israel	https://www.cia.gov/library/publications/the-world-factbook/geos/is.html?Transportation	</v>
      <v xml:space="preserve">http://creativecommons.org/licenses/by-sa/3.0/		</v>
    </spb>
    <spb s="1">
      <v xml:space="preserve">Wikipedia	</v>
      <v xml:space="preserve">CC BY-SA 3.0	</v>
      <v xml:space="preserve">https://en.wikipedia.org/wiki/Israel	</v>
      <v xml:space="preserve">https://creativecommons.org/licenses/by-sa/3.0	</v>
    </spb>
    <spb s="1">
      <v xml:space="preserve">Wikipedia	</v>
      <v xml:space="preserve">CC-BY-SA	</v>
      <v xml:space="preserve">http://en.wikipedia.org/wiki/Israel	</v>
      <v xml:space="preserve">http://creativecommons.org/licenses/by-sa/3.0/	</v>
    </spb>
    <spb s="1">
      <v xml:space="preserve">Cia	</v>
      <v xml:space="preserve">	</v>
      <v xml:space="preserve">https://www.cia.gov/library/publications/the-world-factbook/geos/is.html?Transportation	</v>
      <v xml:space="preserve">	</v>
    </spb>
    <spb s="14">
      <v>10</v>
      <v>731</v>
      <v>732</v>
      <v>732</v>
      <v>13</v>
      <v>732</v>
      <v>732</v>
      <v>732</v>
      <v>733</v>
      <v>732</v>
      <v>732</v>
      <v>733</v>
      <v>732</v>
      <v>732</v>
      <v>734</v>
      <v>16</v>
      <v>731</v>
      <v>734</v>
      <v>17</v>
      <v>732</v>
      <v>734</v>
      <v>18</v>
      <v>19</v>
      <v>20</v>
      <v>734</v>
      <v>734</v>
      <v>732</v>
      <v>734</v>
      <v>21</v>
      <v>22</v>
      <v>23</v>
      <v>44</v>
      <v>734</v>
      <v>731</v>
      <v>734</v>
      <v>734</v>
      <v>734</v>
      <v>734</v>
      <v>734</v>
      <v>734</v>
      <v>734</v>
      <v>734</v>
      <v>734</v>
      <v>734</v>
      <v>24</v>
    </spb>
    <spb s="15">
      <v>2019</v>
      <v>2019</v>
      <v>square km</v>
      <v>per thousand (2018)</v>
      <v>2022</v>
      <v>2019</v>
      <v>2018</v>
      <v>per liter (2016)</v>
      <v>2019</v>
      <v>years (2018)</v>
      <v>2018</v>
      <v>per thousand (2018)</v>
      <v>2019</v>
      <v>2017</v>
      <v>2016</v>
      <v>2019</v>
      <v>2016</v>
      <v>2018</v>
      <v>kilotons per year (2016)</v>
      <v>deaths per 100,000 (2017)</v>
      <v>kWh (2014)</v>
      <v>2015</v>
      <v>2019</v>
      <v>2016</v>
      <v>2016</v>
      <v>2016</v>
      <v>2016</v>
      <v>2016</v>
      <v>2015</v>
      <v>2016</v>
      <v>2016</v>
      <v>2017</v>
      <v>2017</v>
      <v>2019</v>
    </spb>
    <spb s="1">
      <v xml:space="preserve">Wikipedia	</v>
      <v xml:space="preserve">CC BY-SA 3.0	</v>
      <v xml:space="preserve">https://en.wikipedia.org/wiki/Rome	</v>
      <v xml:space="preserve">https://creativecommons.org/licenses/by-sa/3.0	</v>
    </spb>
    <spb s="2">
      <v>737</v>
      <v>737</v>
      <v>737</v>
      <v>737</v>
      <v>737</v>
      <v>737</v>
      <v>737</v>
      <v>737</v>
      <v>737</v>
      <v>737</v>
    </spb>
    <spb s="1">
      <v xml:space="preserve">Wikipedia	Wikipedia	Cia	travel.state.gov	</v>
      <v xml:space="preserve">CC-BY-SA	CC-BY-SA			</v>
      <v xml:space="preserve">http://es.wikipedia.org/wiki/Italia	http://en.wikipedia.org/wiki/Italy	https://www.cia.gov/library/publications/the-world-factbook/geos/it.html?Transportation	https://travel.state.gov/content/travel/en/international-travel/International-Travel-Country-Information-Pages/SanMarino.html	</v>
      <v xml:space="preserve">http://creativecommons.org/licenses/by-sa/3.0/	http://creativecommons.org/licenses/by-sa/3.0/			</v>
    </spb>
    <spb s="1">
      <v xml:space="preserve">Wikipedia	</v>
      <v xml:space="preserve">CC BY-SA 3.0	</v>
      <v xml:space="preserve">https://en.wikipedia.org/wiki/Italy	</v>
      <v xml:space="preserve">https://creativecommons.org/licenses/by-sa/3.0	</v>
    </spb>
    <spb s="1">
      <v xml:space="preserve">Wikipedia	</v>
      <v xml:space="preserve">CC-BY-SA	</v>
      <v xml:space="preserve">http://en.wikipedia.org/wiki/Italy	</v>
      <v xml:space="preserve">http://creativecommons.org/licenses/by-sa/3.0/	</v>
    </spb>
    <spb s="1">
      <v xml:space="preserve">Cia	</v>
      <v xml:space="preserve">	</v>
      <v xml:space="preserve">https://www.cia.gov/library/publications/the-world-factbook/geos/it.html?Transportation	</v>
      <v xml:space="preserve">	</v>
    </spb>
    <spb s="52">
      <v>10</v>
      <v>739</v>
      <v>740</v>
      <v>740</v>
      <v>13</v>
      <v>740</v>
      <v>740</v>
      <v>740</v>
      <v>741</v>
      <v>740</v>
      <v>740</v>
      <v>740</v>
      <v>740</v>
      <v>742</v>
      <v>16</v>
      <v>739</v>
      <v>742</v>
      <v>17</v>
      <v>740</v>
      <v>742</v>
      <v>18</v>
      <v>19</v>
      <v>20</v>
      <v>742</v>
      <v>742</v>
      <v>740</v>
      <v>742</v>
      <v>21</v>
      <v>22</v>
      <v>23</v>
      <v>44</v>
      <v>742</v>
      <v>739</v>
      <v>742</v>
      <v>742</v>
      <v>742</v>
      <v>742</v>
      <v>742</v>
      <v>742</v>
      <v>742</v>
      <v>742</v>
      <v>742</v>
      <v>742</v>
      <v>24</v>
    </spb>
    <spb s="15">
      <v>2019</v>
      <v>2019</v>
      <v>square km</v>
      <v>per thousand (2018)</v>
      <v>2022</v>
      <v>2019</v>
      <v>2018</v>
      <v>per liter (2016)</v>
      <v>2019</v>
      <v>years (2018)</v>
      <v>2018</v>
      <v>per thousand (2018)</v>
      <v>2019</v>
      <v>2017</v>
      <v>2016</v>
      <v>2019</v>
      <v>2016</v>
      <v>2018</v>
      <v>kilotons per year (2014)</v>
      <v>deaths per 100,000 (2017)</v>
      <v>kWh (2014)</v>
      <v>2015</v>
      <v>2008</v>
      <v>2017</v>
      <v>2017</v>
      <v>2017</v>
      <v>2017</v>
      <v>2017</v>
      <v>2015</v>
      <v>2017</v>
      <v>2017</v>
      <v>2017</v>
      <v>2017</v>
      <v>2019</v>
    </spb>
    <spb s="1">
      <v xml:space="preserve">Wikipedia	</v>
      <v xml:space="preserve">CC-BY-SA	</v>
      <v xml:space="preserve">http://en.wikipedia.org/wiki/Kingston,_Jamaica	</v>
      <v xml:space="preserve">http://creativecommons.org/licenses/by-sa/3.0/	</v>
    </spb>
    <spb s="1">
      <v xml:space="preserve">Wikipedia	</v>
      <v xml:space="preserve">CC BY-SA 3.0	</v>
      <v xml:space="preserve">https://en.wikipedia.org/wiki/Kingston,_Jamaica	</v>
      <v xml:space="preserve">https://creativecommons.org/licenses/by-sa/3.0	</v>
    </spb>
    <spb s="21">
      <v>745</v>
      <v>746</v>
      <v>746</v>
      <v>746</v>
      <v>746</v>
      <v>746</v>
      <v>746</v>
      <v>746</v>
    </spb>
    <spb s="1">
      <v xml:space="preserve">Wikipedia	Cia	travel.state.gov	</v>
      <v xml:space="preserve">CC-BY-SA			</v>
      <v xml:space="preserve">http://en.wikipedia.org/wiki/Jamaica	https://www.cia.gov/library/publications/the-world-factbook/geos/jm.html?Transportation	https://travel.state.gov/content/travel/en/international-travel/International-Travel-Country-Information-Pages/Jamaica.html	</v>
      <v xml:space="preserve">http://creativecommons.org/licenses/by-sa/3.0/			</v>
    </spb>
    <spb s="1">
      <v xml:space="preserve">Wikipedia	</v>
      <v xml:space="preserve">CC BY-SA 3.0	</v>
      <v xml:space="preserve">https://en.wikipedia.org/wiki/Jamaica	</v>
      <v xml:space="preserve">https://creativecommons.org/licenses/by-sa/3.0	</v>
    </spb>
    <spb s="1">
      <v xml:space="preserve">Wikipedia	</v>
      <v xml:space="preserve">CC-BY-SA	</v>
      <v xml:space="preserve">http://en.wikipedia.org/wiki/Jamaica	</v>
      <v xml:space="preserve">http://creativecommons.org/licenses/by-sa/3.0/	</v>
    </spb>
    <spb s="1">
      <v xml:space="preserve">Cia	</v>
      <v xml:space="preserve">	</v>
      <v xml:space="preserve">https://www.cia.gov/library/publications/the-world-factbook/geos/jm.html?Transportation	</v>
      <v xml:space="preserve">	</v>
    </spb>
    <spb s="14">
      <v>10</v>
      <v>748</v>
      <v>749</v>
      <v>749</v>
      <v>13</v>
      <v>749</v>
      <v>749</v>
      <v>749</v>
      <v>750</v>
      <v>749</v>
      <v>749</v>
      <v>750</v>
      <v>749</v>
      <v>749</v>
      <v>751</v>
      <v>16</v>
      <v>748</v>
      <v>751</v>
      <v>17</v>
      <v>749</v>
      <v>751</v>
      <v>18</v>
      <v>19</v>
      <v>20</v>
      <v>751</v>
      <v>751</v>
      <v>749</v>
      <v>751</v>
      <v>21</v>
      <v>22</v>
      <v>23</v>
      <v>44</v>
      <v>751</v>
      <v>748</v>
      <v>751</v>
      <v>751</v>
      <v>751</v>
      <v>751</v>
      <v>751</v>
      <v>751</v>
      <v>751</v>
      <v>751</v>
      <v>751</v>
      <v>751</v>
      <v>24</v>
    </spb>
    <spb s="15">
      <v>2019</v>
      <v>2019</v>
      <v>square km</v>
      <v>per thousand (2018)</v>
      <v>2022</v>
      <v>2019</v>
      <v>2018</v>
      <v>per liter (2016)</v>
      <v>2019</v>
      <v>years (2018)</v>
      <v>2018</v>
      <v>per thousand (2018)</v>
      <v>2019</v>
      <v>2017</v>
      <v>2016</v>
      <v>2019</v>
      <v>2016</v>
      <v>2017</v>
      <v>kilotons per year (2016)</v>
      <v>deaths per 100,000 (2017)</v>
      <v>kWh (2014)</v>
      <v>2014</v>
      <v>2019</v>
      <v>2004</v>
      <v>2004</v>
      <v>2004</v>
      <v>2004</v>
      <v>2004</v>
      <v>2015</v>
      <v>2004</v>
      <v>2004</v>
      <v>2018</v>
      <v>2015</v>
      <v>2019</v>
    </spb>
    <spb s="1">
      <v xml:space="preserve">Wikipedia	</v>
      <v xml:space="preserve">CC BY-SA 3.0	</v>
      <v xml:space="preserve">https://en.wikipedia.org/wiki/Tokyo	</v>
      <v xml:space="preserve">https://creativecommons.org/licenses/by-sa/3.0	</v>
    </spb>
    <spb s="1">
      <v xml:space="preserve">Wikipedia	</v>
      <v xml:space="preserve">CC-BY-SA	</v>
      <v xml:space="preserve">http://en.wikipedia.org/wiki/Tokyo	</v>
      <v xml:space="preserve">http://creativecommons.org/licenses/by-sa/3.0/	</v>
    </spb>
    <spb s="79">
      <v>754</v>
      <v>754</v>
      <v>754</v>
      <v>754</v>
      <v>754</v>
      <v>755</v>
      <v>754</v>
      <v>754</v>
      <v>754</v>
    </spb>
    <spb s="3">
      <v>53</v>
      <v>Name</v>
      <v>LearnMoreOnLink</v>
    </spb>
    <spb s="1">
      <v xml:space="preserve">Wikipedia	Cia	travel.state.gov	</v>
      <v xml:space="preserve">CC-BY-SA			</v>
      <v xml:space="preserve">http://en.wikipedia.org/wiki/Japan	https://www.cia.gov/library/publications/the-world-factbook/geos/ja.html?Transportation	https://travel.state.gov/content/travel/en/international-travel/International-Travel-Country-Information-Pages/Japan.html	</v>
      <v xml:space="preserve">http://creativecommons.org/licenses/by-sa/3.0/			</v>
    </spb>
    <spb s="1">
      <v xml:space="preserve">Wikipedia	</v>
      <v xml:space="preserve">CC BY-SA 3.0	</v>
      <v xml:space="preserve">https://en.wikipedia.org/wiki/Japan	</v>
      <v xml:space="preserve">https://creativecommons.org/licenses/by-sa/3.0	</v>
    </spb>
    <spb s="1">
      <v xml:space="preserve">Wikipedia	</v>
      <v xml:space="preserve">CC-BY-SA	</v>
      <v xml:space="preserve">http://en.wikipedia.org/wiki/Japan	</v>
      <v xml:space="preserve">http://creativecommons.org/licenses/by-sa/3.0/	</v>
    </spb>
    <spb s="1">
      <v xml:space="preserve">Cia	</v>
      <v xml:space="preserve">	</v>
      <v xml:space="preserve">https://www.cia.gov/library/publications/the-world-factbook/geos/ja.html?Transportation	</v>
      <v xml:space="preserve">	</v>
    </spb>
    <spb s="14">
      <v>10</v>
      <v>758</v>
      <v>759</v>
      <v>759</v>
      <v>13</v>
      <v>759</v>
      <v>759</v>
      <v>759</v>
      <v>760</v>
      <v>759</v>
      <v>759</v>
      <v>760</v>
      <v>759</v>
      <v>759</v>
      <v>761</v>
      <v>16</v>
      <v>758</v>
      <v>761</v>
      <v>17</v>
      <v>759</v>
      <v>761</v>
      <v>18</v>
      <v>19</v>
      <v>20</v>
      <v>761</v>
      <v>761</v>
      <v>759</v>
      <v>761</v>
      <v>21</v>
      <v>22</v>
      <v>23</v>
      <v>44</v>
      <v>761</v>
      <v>758</v>
      <v>761</v>
      <v>761</v>
      <v>761</v>
      <v>761</v>
      <v>761</v>
      <v>761</v>
      <v>761</v>
      <v>761</v>
      <v>761</v>
      <v>761</v>
      <v>24</v>
    </spb>
    <spb s="15">
      <v>2019</v>
      <v>2019</v>
      <v>square km</v>
      <v>per thousand (2018)</v>
      <v>2022</v>
      <v>2019</v>
      <v>2018</v>
      <v>per liter (2016)</v>
      <v>2019</v>
      <v>years (2018)</v>
      <v>2018</v>
      <v>per thousand (2018)</v>
      <v>2019</v>
      <v>2017</v>
      <v>2016</v>
      <v>2019</v>
      <v>2016</v>
      <v>2016</v>
      <v>kilotons per year (2016)</v>
      <v>deaths per 100,000 (2017)</v>
      <v>kWh (2014)</v>
      <v>2015</v>
      <v>2019</v>
      <v>2013</v>
      <v>2013</v>
      <v>2013</v>
      <v>2013</v>
      <v>2013</v>
      <v>2015</v>
      <v>2013</v>
      <v>2013</v>
      <v>2015</v>
      <v>2015</v>
      <v>2019</v>
    </spb>
    <spb s="1">
      <v xml:space="preserve">Wikipedia	</v>
      <v xml:space="preserve">CC BY-SA 3.0	</v>
      <v xml:space="preserve">https://en.wikipedia.org/wiki/Amman	</v>
      <v xml:space="preserve">https://creativecommons.org/licenses/by-sa/3.0	</v>
    </spb>
    <spb s="11">
      <v>764</v>
      <v>764</v>
      <v>764</v>
      <v>764</v>
      <v>764</v>
      <v>764</v>
      <v>764</v>
      <v>764</v>
      <v>764</v>
    </spb>
    <spb s="1">
      <v xml:space="preserve">Wikipedia	Cia	travel.state.gov	</v>
      <v xml:space="preserve">CC-BY-SA			</v>
      <v xml:space="preserve">http://en.wikipedia.org/wiki/Jordan	https://www.cia.gov/library/publications/the-world-factbook/geos/jo.html?Transportation	https://travel.state.gov/content/travel/en/international-travel/International-Travel-Country-Information-Pages/Jordan.html	</v>
      <v xml:space="preserve">http://creativecommons.org/licenses/by-sa/3.0/			</v>
    </spb>
    <spb s="1">
      <v xml:space="preserve">Wikipedia	</v>
      <v xml:space="preserve">CC BY-SA 3.0	</v>
      <v xml:space="preserve">https://en.wikipedia.org/wiki/Jordan	</v>
      <v xml:space="preserve">https://creativecommons.org/licenses/by-sa/3.0	</v>
    </spb>
    <spb s="1">
      <v xml:space="preserve">Wikipedia	</v>
      <v xml:space="preserve">CC-BY-SA	</v>
      <v xml:space="preserve">http://en.wikipedia.org/wiki/Jordan	</v>
      <v xml:space="preserve">http://creativecommons.org/licenses/by-sa/3.0/	</v>
    </spb>
    <spb s="1">
      <v xml:space="preserve">Cia	</v>
      <v xml:space="preserve">	</v>
      <v xml:space="preserve">https://www.cia.gov/library/publications/the-world-factbook/geos/jo.html?Transportation	</v>
      <v xml:space="preserve">	</v>
    </spb>
    <spb s="14">
      <v>10</v>
      <v>766</v>
      <v>767</v>
      <v>767</v>
      <v>13</v>
      <v>767</v>
      <v>767</v>
      <v>767</v>
      <v>768</v>
      <v>767</v>
      <v>767</v>
      <v>768</v>
      <v>767</v>
      <v>767</v>
      <v>769</v>
      <v>16</v>
      <v>766</v>
      <v>769</v>
      <v>17</v>
      <v>767</v>
      <v>769</v>
      <v>18</v>
      <v>19</v>
      <v>20</v>
      <v>769</v>
      <v>769</v>
      <v>767</v>
      <v>769</v>
      <v>21</v>
      <v>22</v>
      <v>23</v>
      <v>44</v>
      <v>769</v>
      <v>766</v>
      <v>769</v>
      <v>769</v>
      <v>769</v>
      <v>769</v>
      <v>769</v>
      <v>769</v>
      <v>769</v>
      <v>769</v>
      <v>769</v>
      <v>769</v>
      <v>24</v>
    </spb>
    <spb s="15">
      <v>2019</v>
      <v>2019</v>
      <v>square km</v>
      <v>per thousand (2018)</v>
      <v>2022</v>
      <v>2019</v>
      <v>2018</v>
      <v>per liter (2016)</v>
      <v>2019</v>
      <v>years (2018)</v>
      <v>2018</v>
      <v>per thousand (2018)</v>
      <v>2019</v>
      <v>2017</v>
      <v>2016</v>
      <v>2019</v>
      <v>2016</v>
      <v>2017</v>
      <v>kilotons per year (2016)</v>
      <v>deaths per 100,000 (2017)</v>
      <v>kWh (2014)</v>
      <v>2014</v>
      <v>2019</v>
      <v>2010</v>
      <v>2010</v>
      <v>2010</v>
      <v>2010</v>
      <v>2010</v>
      <v>2015</v>
      <v>2010</v>
      <v>2010</v>
      <v>2018</v>
      <v>2018</v>
      <v>2019</v>
    </spb>
    <spb s="1">
      <v xml:space="preserve">Wikipedia	</v>
      <v xml:space="preserve">CC BY-SA 3.0	</v>
      <v xml:space="preserve">https://en.wikipedia.org/wiki/Astana	</v>
      <v xml:space="preserve">https://creativecommons.org/licenses/by-sa/3.0	</v>
    </spb>
    <spb s="80">
      <v>772</v>
      <v>772</v>
      <v>772</v>
      <v>772</v>
      <v>772</v>
      <v>772</v>
    </spb>
    <spb s="3">
      <v>54</v>
      <v>Name</v>
      <v>LearnMoreOnLink</v>
    </spb>
    <spb s="1">
      <v xml:space="preserve">Wikipedia	</v>
      <v xml:space="preserve">CC BY-SA 3.0	</v>
      <v xml:space="preserve">https://en.wikipedia.org/wiki/Nairobi	</v>
      <v xml:space="preserve">https://creativecommons.org/licenses/by-sa/3.0	</v>
    </spb>
    <spb s="2">
      <v>775</v>
      <v>775</v>
      <v>775</v>
      <v>775</v>
      <v>775</v>
      <v>775</v>
      <v>775</v>
      <v>775</v>
      <v>775</v>
      <v>775</v>
    </spb>
    <spb s="1">
      <v xml:space="preserve">Wikipedia	Cia	travel.state.gov	</v>
      <v xml:space="preserve">CC-BY-SA			</v>
      <v xml:space="preserve">http://en.wikipedia.org/wiki/Kenya	https://www.cia.gov/library/publications/the-world-factbook/geos/ke.html?Transportation	https://travel.state.gov/content/travel/en/international-travel/International-Travel-Country-Information-Pages/Kenya.html	</v>
      <v xml:space="preserve">http://creativecommons.org/licenses/by-sa/3.0/			</v>
    </spb>
    <spb s="1">
      <v xml:space="preserve">Wikipedia	</v>
      <v xml:space="preserve">CC BY-SA 3.0	</v>
      <v xml:space="preserve">https://en.wikipedia.org/wiki/Kenya	</v>
      <v xml:space="preserve">https://creativecommons.org/licenses/by-sa/3.0	</v>
    </spb>
    <spb s="1">
      <v xml:space="preserve">Wikipedia	</v>
      <v xml:space="preserve">CC-BY-SA	</v>
      <v xml:space="preserve">http://en.wikipedia.org/wiki/Kenya	</v>
      <v xml:space="preserve">http://creativecommons.org/licenses/by-sa/3.0/	</v>
    </spb>
    <spb s="1">
      <v xml:space="preserve">Cia	</v>
      <v xml:space="preserve">	</v>
      <v xml:space="preserve">https://www.cia.gov/library/publications/the-world-factbook/geos/ke.html?Transportation	</v>
      <v xml:space="preserve">	</v>
    </spb>
    <spb s="14">
      <v>10</v>
      <v>777</v>
      <v>778</v>
      <v>778</v>
      <v>13</v>
      <v>778</v>
      <v>778</v>
      <v>778</v>
      <v>779</v>
      <v>778</v>
      <v>778</v>
      <v>779</v>
      <v>778</v>
      <v>778</v>
      <v>780</v>
      <v>16</v>
      <v>777</v>
      <v>780</v>
      <v>17</v>
      <v>778</v>
      <v>780</v>
      <v>18</v>
      <v>19</v>
      <v>20</v>
      <v>780</v>
      <v>780</v>
      <v>778</v>
      <v>780</v>
      <v>21</v>
      <v>22</v>
      <v>23</v>
      <v>44</v>
      <v>780</v>
      <v>777</v>
      <v>780</v>
      <v>780</v>
      <v>780</v>
      <v>780</v>
      <v>780</v>
      <v>780</v>
      <v>780</v>
      <v>780</v>
      <v>780</v>
      <v>780</v>
      <v>24</v>
    </spb>
    <spb s="15">
      <v>2018</v>
      <v>2019</v>
      <v>square km</v>
      <v>per thousand (2018)</v>
      <v>2022</v>
      <v>2018</v>
      <v>2018</v>
      <v>per liter (2016)</v>
      <v>2019</v>
      <v>years (2018)</v>
      <v>2018</v>
      <v>per thousand (2018)</v>
      <v>2019</v>
      <v>2017</v>
      <v>2016</v>
      <v>2019</v>
      <v>2016</v>
      <v>2018</v>
      <v>kilotons per year (2016)</v>
      <v>deaths per 100,000 (2017)</v>
      <v>kWh (2014)</v>
      <v>2014</v>
      <v>2019</v>
      <v>2015</v>
      <v>2015</v>
      <v>2015</v>
      <v>2015</v>
      <v>2015</v>
      <v>2015</v>
      <v>2015</v>
      <v>2015</v>
      <v>2016</v>
      <v>2017</v>
      <v>2019</v>
    </spb>
    <spb s="1">
      <v xml:space="preserve">Wikipedia	</v>
      <v xml:space="preserve">CC-BY-SA	</v>
      <v xml:space="preserve">http://en.wikipedia.org/wiki/Kuwait_City	</v>
      <v xml:space="preserve">http://creativecommons.org/licenses/by-sa/3.0/	</v>
    </spb>
    <spb s="1">
      <v xml:space="preserve">Wikipedia	</v>
      <v xml:space="preserve">CC BY-SA 3.0	</v>
      <v xml:space="preserve">https://en.wikipedia.org/wiki/Kuwait_City	</v>
      <v xml:space="preserve">https://creativecommons.org/licenses/by-sa/3.0	</v>
    </spb>
    <spb s="21">
      <v>783</v>
      <v>784</v>
      <v>784</v>
      <v>784</v>
      <v>784</v>
      <v>784</v>
      <v>784</v>
      <v>784</v>
    </spb>
    <spb s="1">
      <v xml:space="preserve">Wikipedia	Cia	travel.state.gov	</v>
      <v xml:space="preserve">CC-BY-SA			</v>
      <v xml:space="preserve">http://en.wikipedia.org/wiki/Kuwait	https://www.cia.gov/library/publications/the-world-factbook/geos/ku.html?Transportation	https://travel.state.gov/content/travel/en/international-travel/International-Travel-Country-Information-Pages/Kuwait.html	</v>
      <v xml:space="preserve">http://creativecommons.org/licenses/by-sa/3.0/			</v>
    </spb>
    <spb s="1">
      <v xml:space="preserve">Wikipedia	</v>
      <v xml:space="preserve">CC BY-SA 3.0	</v>
      <v xml:space="preserve">https://en.wikipedia.org/wiki/Kuwait	</v>
      <v xml:space="preserve">https://creativecommons.org/licenses/by-sa/3.0	</v>
    </spb>
    <spb s="1">
      <v xml:space="preserve">Wikipedia	</v>
      <v xml:space="preserve">CC-BY-SA	</v>
      <v xml:space="preserve">http://en.wikipedia.org/wiki/Kuwait	</v>
      <v xml:space="preserve">http://creativecommons.org/licenses/by-sa/3.0/	</v>
    </spb>
    <spb s="1">
      <v xml:space="preserve">Cia	</v>
      <v xml:space="preserve">	</v>
      <v xml:space="preserve">https://www.cia.gov/library/publications/the-world-factbook/geos/ku.html?Transportation	</v>
      <v xml:space="preserve">	</v>
    </spb>
    <spb s="81">
      <v>10</v>
      <v>786</v>
      <v>787</v>
      <v>787</v>
      <v>13</v>
      <v>787</v>
      <v>787</v>
      <v>787</v>
      <v>788</v>
      <v>787</v>
      <v>787</v>
      <v>788</v>
      <v>787</v>
      <v>787</v>
      <v>789</v>
      <v>16</v>
      <v>786</v>
      <v>789</v>
      <v>17</v>
      <v>787</v>
      <v>789</v>
      <v>18</v>
      <v>19</v>
      <v>20</v>
      <v>789</v>
      <v>789</v>
      <v>787</v>
      <v>789</v>
      <v>21</v>
      <v>22</v>
      <v>23</v>
      <v>44</v>
      <v>789</v>
      <v>786</v>
      <v>789</v>
      <v>789</v>
      <v>789</v>
      <v>24</v>
    </spb>
    <spb s="3">
      <v>55</v>
      <v>Name</v>
      <v>LearnMoreOnLink</v>
    </spb>
    <spb s="82">
      <v>2019</v>
      <v>2019</v>
      <v>square km</v>
      <v>per thousand (2018)</v>
      <v>2022</v>
      <v>2019</v>
      <v>2018</v>
      <v>per liter (2016)</v>
      <v>2019</v>
      <v>years (2018)</v>
      <v>2015</v>
      <v>per thousand (2018)</v>
      <v>2019</v>
      <v>2017</v>
      <v>2016</v>
      <v>2019</v>
      <v>2016</v>
      <v>2015</v>
      <v>kilotons per year (2016)</v>
      <v>deaths per 100,000 (2017)</v>
      <v>kWh (2014)</v>
      <v>2014</v>
      <v>2006</v>
      <v>2015</v>
      <v>2018</v>
      <v>2018</v>
      <v>2019</v>
    </spb>
    <spb s="1">
      <v xml:space="preserve">Wikipedia	</v>
      <v xml:space="preserve">CC BY-SA 3.0	</v>
      <v xml:space="preserve">https://en.wikipedia.org/wiki/Bishkek	</v>
      <v xml:space="preserve">https://creativecommons.org/licenses/by-sa/3.0	</v>
    </spb>
    <spb s="1">
      <v xml:space="preserve">Wikipedia	</v>
      <v xml:space="preserve">CC-BY-SA	</v>
      <v xml:space="preserve">http://en.wikipedia.org/wiki/Bishkek	</v>
      <v xml:space="preserve">http://creativecommons.org/licenses/by-sa/3.0/	</v>
    </spb>
    <spb s="16">
      <v>793</v>
      <v>793</v>
      <v>793</v>
      <v>793</v>
      <v>793</v>
      <v>794</v>
      <v>793</v>
    </spb>
    <spb s="1">
      <v xml:space="preserve">Wikipedia	</v>
      <v xml:space="preserve">CC BY-SA 3.0	</v>
      <v xml:space="preserve">https://en.wikipedia.org/wiki/Vientiane	</v>
      <v xml:space="preserve">https://creativecommons.org/licenses/by-sa/3.0	</v>
    </spb>
    <spb s="11">
      <v>796</v>
      <v>796</v>
      <v>796</v>
      <v>796</v>
      <v>796</v>
      <v>796</v>
      <v>796</v>
      <v>796</v>
      <v>796</v>
    </spb>
    <spb s="1">
      <v xml:space="preserve">Wikipedia	Cia	travel.state.gov	</v>
      <v xml:space="preserve">CC-BY-SA			</v>
      <v xml:space="preserve">http://en.wikipedia.org/wiki/Laos	https://www.cia.gov/library/publications/the-world-factbook/geos/la.html?Transportation	https://travel.state.gov/content/travel/en/international-travel/International-Travel-Country-Information-Pages/Laos.html	</v>
      <v xml:space="preserve">http://creativecommons.org/licenses/by-sa/3.0/			</v>
    </spb>
    <spb s="1">
      <v xml:space="preserve">Wikipedia	</v>
      <v xml:space="preserve">CC BY-SA 3.0	</v>
      <v xml:space="preserve">https://en.wikipedia.org/wiki/Laos	</v>
      <v xml:space="preserve">https://creativecommons.org/licenses/by-sa/3.0	</v>
    </spb>
    <spb s="1">
      <v xml:space="preserve">Wikipedia	</v>
      <v xml:space="preserve">CC-BY-SA	</v>
      <v xml:space="preserve">http://en.wikipedia.org/wiki/Laos	</v>
      <v xml:space="preserve">http://creativecommons.org/licenses/by-sa/3.0/	</v>
    </spb>
    <spb s="1">
      <v xml:space="preserve">Cia	</v>
      <v xml:space="preserve">	</v>
      <v xml:space="preserve">https://www.cia.gov/library/publications/the-world-factbook/geos/la.html?Transportation	</v>
      <v xml:space="preserve">	</v>
    </spb>
    <spb s="40">
      <v>10</v>
      <v>798</v>
      <v>799</v>
      <v>799</v>
      <v>13</v>
      <v>799</v>
      <v>799</v>
      <v>799</v>
      <v>800</v>
      <v>799</v>
      <v>799</v>
      <v>800</v>
      <v>799</v>
      <v>799</v>
      <v>801</v>
      <v>16</v>
      <v>798</v>
      <v>801</v>
      <v>17</v>
      <v>799</v>
      <v>801</v>
      <v>18</v>
      <v>19</v>
      <v>20</v>
      <v>801</v>
      <v>801</v>
      <v>799</v>
      <v>801</v>
      <v>21</v>
      <v>22</v>
      <v>23</v>
      <v>801</v>
      <v>801</v>
      <v>801</v>
      <v>801</v>
      <v>801</v>
      <v>801</v>
      <v>801</v>
      <v>801</v>
      <v>801</v>
      <v>801</v>
      <v>24</v>
    </spb>
    <spb s="37">
      <v>2019</v>
      <v>2019</v>
      <v>square km</v>
      <v>per thousand (2018)</v>
      <v>2022</v>
      <v>2019</v>
      <v>2018</v>
      <v>per liter (2016)</v>
      <v>2019</v>
      <v>years (2018)</v>
      <v>2016</v>
      <v>per thousand (2018)</v>
      <v>2019</v>
      <v>2017</v>
      <v>2016</v>
      <v>2019</v>
      <v>2016</v>
      <v>2017</v>
      <v>kilotons per year (2016)</v>
      <v>deaths per 100,000 (2017)</v>
      <v>2012</v>
      <v>2012</v>
      <v>2012</v>
      <v>2012</v>
      <v>2012</v>
      <v>2015</v>
      <v>2012</v>
      <v>2012</v>
      <v>2018</v>
      <v>2018</v>
      <v>2019</v>
    </spb>
    <spb s="1">
      <v xml:space="preserve">Wikipedia	</v>
      <v xml:space="preserve">CC BY-SA 3.0	</v>
      <v xml:space="preserve">https://en.wikipedia.org/wiki/Riga	</v>
      <v xml:space="preserve">https://creativecommons.org/licenses/by-sa/3.0	</v>
    </spb>
    <spb s="21">
      <v>804</v>
      <v>804</v>
      <v>804</v>
      <v>804</v>
      <v>804</v>
      <v>804</v>
      <v>804</v>
      <v>804</v>
    </spb>
    <spb s="1">
      <v xml:space="preserve">Wikipedia	</v>
      <v xml:space="preserve">CC-BY-SA	</v>
      <v xml:space="preserve">http://en.wikipedia.org/wiki/Beirut	</v>
      <v xml:space="preserve">http://creativecommons.org/licenses/by-sa/3.0/	</v>
    </spb>
    <spb s="1">
      <v xml:space="preserve">Wikipedia	</v>
      <v xml:space="preserve">CC BY-SA 3.0	</v>
      <v xml:space="preserve">https://en.wikipedia.org/wiki/Beirut	</v>
      <v xml:space="preserve">https://creativecommons.org/licenses/by-sa/3.0	</v>
    </spb>
    <spb s="11">
      <v>806</v>
      <v>807</v>
      <v>807</v>
      <v>807</v>
      <v>807</v>
      <v>807</v>
      <v>807</v>
      <v>807</v>
      <v>807</v>
    </spb>
    <spb s="1">
      <v xml:space="preserve">Wikipedia	</v>
      <v xml:space="preserve">CC BY-SA 3.0	</v>
      <v xml:space="preserve">https://en.wikipedia.org/wiki/Maseru	</v>
      <v xml:space="preserve">https://creativecommons.org/licenses/by-sa/3.0	</v>
    </spb>
    <spb s="11">
      <v>809</v>
      <v>809</v>
      <v>809</v>
      <v>809</v>
      <v>809</v>
      <v>809</v>
      <v>809</v>
      <v>809</v>
      <v>809</v>
    </spb>
    <spb s="1">
      <v xml:space="preserve">Wikipedia	Cia	travel.state.gov	</v>
      <v xml:space="preserve">CC-BY-SA			</v>
      <v xml:space="preserve">http://en.wikipedia.org/wiki/Lesotho	https://www.cia.gov/library/publications/the-world-factbook/geos/lt.html?Transportation	https://travel.state.gov/content/travel/en/international-travel/International-Travel-Country-Information-Pages/Lesotho.html	</v>
      <v xml:space="preserve">http://creativecommons.org/licenses/by-sa/3.0/			</v>
    </spb>
    <spb s="1">
      <v xml:space="preserve">Wikipedia	</v>
      <v xml:space="preserve">CC BY-SA 3.0	</v>
      <v xml:space="preserve">https://en.wikipedia.org/wiki/Lesotho	</v>
      <v xml:space="preserve">https://creativecommons.org/licenses/by-sa/3.0	</v>
    </spb>
    <spb s="1">
      <v xml:space="preserve">Wikipedia	</v>
      <v xml:space="preserve">CC-BY-SA	</v>
      <v xml:space="preserve">http://en.wikipedia.org/wiki/Lesotho	</v>
      <v xml:space="preserve">http://creativecommons.org/licenses/by-sa/3.0/	</v>
    </spb>
    <spb s="1">
      <v xml:space="preserve">Cia	</v>
      <v xml:space="preserve">	</v>
      <v xml:space="preserve">https://www.cia.gov/library/publications/the-world-factbook/geos/lt.html?Transportation	</v>
      <v xml:space="preserve">	</v>
    </spb>
    <spb s="28">
      <v>10</v>
      <v>811</v>
      <v>812</v>
      <v>812</v>
      <v>13</v>
      <v>812</v>
      <v>812</v>
      <v>812</v>
      <v>813</v>
      <v>812</v>
      <v>812</v>
      <v>813</v>
      <v>812</v>
      <v>812</v>
      <v>814</v>
      <v>16</v>
      <v>811</v>
      <v>814</v>
      <v>17</v>
      <v>812</v>
      <v>814</v>
      <v>18</v>
      <v>19</v>
      <v>20</v>
      <v>814</v>
      <v>814</v>
      <v>812</v>
      <v>814</v>
      <v>21</v>
      <v>22</v>
      <v>23</v>
      <v>814</v>
      <v>814</v>
      <v>814</v>
      <v>814</v>
      <v>814</v>
      <v>814</v>
      <v>814</v>
      <v>814</v>
      <v>814</v>
      <v>814</v>
      <v>814</v>
      <v>24</v>
    </spb>
    <spb s="29">
      <v>2019</v>
      <v>2019</v>
      <v>square km</v>
      <v>per thousand (2018)</v>
      <v>2022</v>
      <v>2019</v>
      <v>2018</v>
      <v>per liter (2016)</v>
      <v>2019</v>
      <v>years (2018)</v>
      <v>2018</v>
      <v>per thousand (2018)</v>
      <v>2019</v>
      <v>2017</v>
      <v>2016</v>
      <v>2019</v>
      <v>2016</v>
      <v>2010</v>
      <v>kilotons per year (2016)</v>
      <v>deaths per 100,000 (2017)</v>
      <v>2007</v>
      <v>2017</v>
      <v>2017</v>
      <v>2017</v>
      <v>2017</v>
      <v>2017</v>
      <v>2015</v>
      <v>2017</v>
      <v>2017</v>
      <v>2017</v>
      <v>2018</v>
      <v>2019</v>
    </spb>
    <spb s="1">
      <v xml:space="preserve">Wikipedia	</v>
      <v xml:space="preserve">CC BY-SA 3.0	</v>
      <v xml:space="preserve">https://en.wikipedia.org/wiki/Monrovia	</v>
      <v xml:space="preserve">https://creativecommons.org/licenses/by-sa/3.0	</v>
    </spb>
    <spb s="2">
      <v>817</v>
      <v>817</v>
      <v>817</v>
      <v>817</v>
      <v>817</v>
      <v>817</v>
      <v>817</v>
      <v>817</v>
      <v>817</v>
      <v>817</v>
    </spb>
    <spb s="8">
      <v>square km</v>
      <v>2008</v>
    </spb>
    <spb s="1">
      <v xml:space="preserve">Wikipedia	Cia	travel.state.gov	</v>
      <v xml:space="preserve">CC-BY-SA			</v>
      <v xml:space="preserve">http://en.wikipedia.org/wiki/Liberia	https://www.cia.gov/library/publications/the-world-factbook/geos/li.html?Transportation	https://travel.state.gov/content/travel/en/international-travel/International-Travel-Country-Information-Pages/Liberia.html	</v>
      <v xml:space="preserve">http://creativecommons.org/licenses/by-sa/3.0/			</v>
    </spb>
    <spb s="1">
      <v xml:space="preserve">Wikipedia	</v>
      <v xml:space="preserve">CC BY-SA 3.0	</v>
      <v xml:space="preserve">https://en.wikipedia.org/wiki/Liberia	</v>
      <v xml:space="preserve">https://creativecommons.org/licenses/by-sa/3.0	</v>
    </spb>
    <spb s="1">
      <v xml:space="preserve">Wikipedia	</v>
      <v xml:space="preserve">CC-BY-SA	</v>
      <v xml:space="preserve">http://en.wikipedia.org/wiki/Liberia	</v>
      <v xml:space="preserve">http://creativecommons.org/licenses/by-sa/3.0/	</v>
    </spb>
    <spb s="1">
      <v xml:space="preserve">Cia	</v>
      <v xml:space="preserve">	</v>
      <v xml:space="preserve">https://www.cia.gov/library/publications/the-world-factbook/geos/li.html?Transportation	</v>
      <v xml:space="preserve">	</v>
    </spb>
    <spb s="40">
      <v>10</v>
      <v>820</v>
      <v>821</v>
      <v>821</v>
      <v>13</v>
      <v>821</v>
      <v>821</v>
      <v>821</v>
      <v>822</v>
      <v>821</v>
      <v>821</v>
      <v>822</v>
      <v>821</v>
      <v>821</v>
      <v>823</v>
      <v>16</v>
      <v>820</v>
      <v>823</v>
      <v>17</v>
      <v>821</v>
      <v>823</v>
      <v>18</v>
      <v>19</v>
      <v>20</v>
      <v>823</v>
      <v>823</v>
      <v>821</v>
      <v>823</v>
      <v>21</v>
      <v>22</v>
      <v>23</v>
      <v>823</v>
      <v>823</v>
      <v>823</v>
      <v>823</v>
      <v>823</v>
      <v>823</v>
      <v>823</v>
      <v>823</v>
      <v>823</v>
      <v>823</v>
      <v>24</v>
    </spb>
    <spb s="37">
      <v>2018</v>
      <v>2019</v>
      <v>square km</v>
      <v>per thousand (2018)</v>
      <v>2022</v>
      <v>2018</v>
      <v>2018</v>
      <v>per liter (2016)</v>
      <v>2019</v>
      <v>years (2018)</v>
      <v>2013</v>
      <v>per thousand (2018)</v>
      <v>2019</v>
      <v>2017</v>
      <v>2016</v>
      <v>2019</v>
      <v>2016</v>
      <v>2015</v>
      <v>kilotons per year (2016)</v>
      <v>deaths per 100,000 (2017)</v>
      <v>2016</v>
      <v>2016</v>
      <v>2016</v>
      <v>2016</v>
      <v>2016</v>
      <v>2015</v>
      <v>2016</v>
      <v>2016</v>
      <v>2017</v>
      <v>2012</v>
      <v>2019</v>
    </spb>
    <spb s="1">
      <v xml:space="preserve">Wikipedia	</v>
      <v xml:space="preserve">CC-BY-SA	</v>
      <v xml:space="preserve">http://en.wikipedia.org/wiki/Tripoli	</v>
      <v xml:space="preserve">http://creativecommons.org/licenses/by-sa/3.0/	</v>
    </spb>
    <spb s="1">
      <v xml:space="preserve">Wikipedia	Wikipedia	</v>
      <v xml:space="preserve">CC-BY-SA	CC-BY-SA	</v>
      <v xml:space="preserve">http://en.wikipedia.org/wiki/Tripoli	https://en.wikipedia.org/wiki/Tripoli	</v>
      <v xml:space="preserve">http://creativecommons.org/licenses/by-sa/3.0/	http://creativecommons.org/licenses/by-sa/3.0/	</v>
    </spb>
    <spb s="80">
      <v>826</v>
      <v>826</v>
      <v>826</v>
      <v>826</v>
      <v>826</v>
      <v>827</v>
    </spb>
    <spb s="3">
      <v>56</v>
      <v>Name</v>
      <v>LearnMoreOnLink</v>
    </spb>
    <spb s="83">
      <v>0</v>
      <v>0</v>
    </spb>
    <spb s="84">
      <v>4</v>
      <v>4</v>
      <v>830</v>
      <v>4</v>
    </spb>
    <spb s="85">
      <v>2</v>
      <v>13</v>
    </spb>
    <spb s="1">
      <v xml:space="preserve">Wikipedia	Cia	travel.state.gov	</v>
      <v xml:space="preserve">CC-BY-SA			</v>
      <v xml:space="preserve">http://en.wikipedia.org/wiki/Libya	https://www.cia.gov/library/publications/the-world-factbook/geos/ly.html?Transportation	https://travel.state.gov/content/travel/en/international-travel/International-Travel-Country-Information-Pages/Libya.html	</v>
      <v xml:space="preserve">http://creativecommons.org/licenses/by-sa/3.0/			</v>
    </spb>
    <spb s="1">
      <v xml:space="preserve">Wikipedia	</v>
      <v xml:space="preserve">CC BY-SA 3.0	</v>
      <v xml:space="preserve">https://en.wikipedia.org/wiki/Libya	</v>
      <v xml:space="preserve">https://creativecommons.org/licenses/by-sa/3.0	</v>
    </spb>
    <spb s="1">
      <v xml:space="preserve">Wikipedia	</v>
      <v xml:space="preserve">CC-BY-SA	</v>
      <v xml:space="preserve">http://en.wikipedia.org/wiki/Libya	</v>
      <v xml:space="preserve">http://creativecommons.org/licenses/by-sa/3.0/	</v>
    </spb>
    <spb s="1">
      <v xml:space="preserve">Cia	</v>
      <v xml:space="preserve">	</v>
      <v xml:space="preserve">https://www.cia.gov/library/publications/the-world-factbook/geos/ly.html?Transportation	</v>
      <v xml:space="preserve">	</v>
    </spb>
    <spb s="86">
      <v>10</v>
      <v>833</v>
      <v>834</v>
      <v>834</v>
      <v>13</v>
      <v>834</v>
      <v>834</v>
      <v>834</v>
      <v>835</v>
      <v>834</v>
      <v>834</v>
      <v>835</v>
      <v>834</v>
      <v>834</v>
      <v>836</v>
      <v>16</v>
      <v>833</v>
      <v>836</v>
      <v>17</v>
      <v>834</v>
      <v>18</v>
      <v>19</v>
      <v>20</v>
      <v>836</v>
      <v>836</v>
      <v>834</v>
      <v>836</v>
      <v>21</v>
      <v>22</v>
      <v>23</v>
      <v>44</v>
      <v>836</v>
      <v>836</v>
      <v>836</v>
      <v>836</v>
      <v>24</v>
    </spb>
    <spb s="3">
      <v>57</v>
      <v>Name</v>
      <v>LearnMoreOnLink</v>
    </spb>
    <spb s="35">
      <v>2013</v>
      <v>2019</v>
      <v>square km</v>
      <v>per thousand (2018)</v>
      <v>2022</v>
      <v>2013</v>
      <v>2018</v>
      <v>per liter (2016)</v>
      <v>2019</v>
      <v>years (2018)</v>
      <v>per thousand (2018)</v>
      <v>2019</v>
      <v>2014</v>
      <v>2016</v>
      <v>2019</v>
      <v>2016</v>
      <v>2017</v>
      <v>kilotons per year (2016)</v>
      <v>deaths per 100,000 (2017)</v>
      <v>kWh (2014)</v>
      <v>2014</v>
      <v>2011</v>
      <v>2006</v>
      <v>2003</v>
      <v>2019</v>
    </spb>
    <spb s="1">
      <v xml:space="preserve">Wikipedia	</v>
      <v xml:space="preserve">CC BY-SA 3.0	</v>
      <v xml:space="preserve">https://en.wikipedia.org/wiki/Vaduz	</v>
      <v xml:space="preserve">https://creativecommons.org/licenses/by-sa/3.0	</v>
    </spb>
    <spb s="1">
      <v xml:space="preserve">Wikipedia	</v>
      <v xml:space="preserve">CC-BY-SA	</v>
      <v xml:space="preserve">http://en.wikipedia.org/wiki/Vaduz	</v>
      <v xml:space="preserve">http://creativecommons.org/licenses/by-sa/3.0/	</v>
    </spb>
    <spb s="16">
      <v>840</v>
      <v>840</v>
      <v>840</v>
      <v>840</v>
      <v>840</v>
      <v>841</v>
      <v>840</v>
    </spb>
    <spb s="1">
      <v xml:space="preserve">Wikipedia	Cia	travel.state.gov	</v>
      <v xml:space="preserve">CC-BY-SA			</v>
      <v xml:space="preserve">http://en.wikipedia.org/wiki/Liechtenstein	https://www.cia.gov/library/publications/the-world-factbook/geos/ls.html?Transportation	https://travel.state.gov/content/travel/en/international-travel/International-Travel-Country-Information-Pages/Liechtenstein.html	</v>
      <v xml:space="preserve">http://creativecommons.org/licenses/by-sa/3.0/			</v>
    </spb>
    <spb s="1">
      <v xml:space="preserve">Wikipedia	</v>
      <v xml:space="preserve">CC BY-SA 3.0	</v>
      <v xml:space="preserve">https://en.wikipedia.org/wiki/Liechtenstein	</v>
      <v xml:space="preserve">https://creativecommons.org/licenses/by-sa/3.0	</v>
    </spb>
    <spb s="1">
      <v xml:space="preserve">Wikipedia	</v>
      <v xml:space="preserve">CC-BY-SA	</v>
      <v xml:space="preserve">http://en.wikipedia.org/wiki/Liechtenstein	</v>
      <v xml:space="preserve">http://creativecommons.org/licenses/by-sa/3.0/	</v>
    </spb>
    <spb s="1">
      <v xml:space="preserve">Cia	</v>
      <v xml:space="preserve">	</v>
      <v xml:space="preserve">https://www.cia.gov/library/publications/the-world-factbook/geos/ls.html?Transportation	</v>
      <v xml:space="preserve">	</v>
    </spb>
    <spb s="87">
      <v>843</v>
      <v>844</v>
      <v>844</v>
      <v>13</v>
      <v>844</v>
      <v>844</v>
      <v>844</v>
      <v>845</v>
      <v>844</v>
      <v>844</v>
      <v>844</v>
      <v>844</v>
      <v>16</v>
      <v>843</v>
      <v>846</v>
      <v>17</v>
      <v>844</v>
      <v>19</v>
      <v>846</v>
      <v>844</v>
      <v>846</v>
      <v>22</v>
      <v>846</v>
      <v>846</v>
    </spb>
    <spb s="3">
      <v>58</v>
      <v>Name</v>
      <v>LearnMoreOnLink</v>
    </spb>
    <spb s="88">
      <v>2017</v>
      <v>square km</v>
      <v>per thousand (2018)</v>
      <v>2022</v>
      <v>2018</v>
      <v>per liter (2014)</v>
      <v>2019</v>
      <v>years (2018)</v>
      <v>2019</v>
      <v>2016</v>
      <v>2016</v>
      <v>kilotons per year (2016)</v>
      <v>2017</v>
      <v>2017</v>
    </spb>
    <spb s="1">
      <v xml:space="preserve">Wikipedia	</v>
      <v xml:space="preserve">CC BY-SA 3.0	</v>
      <v xml:space="preserve">https://en.wikipedia.org/wiki/Vilnius	</v>
      <v xml:space="preserve">https://creativecommons.org/licenses/by-sa/3.0	</v>
    </spb>
    <spb s="11">
      <v>850</v>
      <v>850</v>
      <v>850</v>
      <v>850</v>
      <v>850</v>
      <v>850</v>
      <v>850</v>
      <v>850</v>
      <v>850</v>
    </spb>
    <spb s="1">
      <v xml:space="preserve">Wikipedia	Cia	travel.state.gov	</v>
      <v xml:space="preserve">CC-BY-SA			</v>
      <v xml:space="preserve">http://en.wikipedia.org/wiki/Lithuania	https://www.cia.gov/library/publications/the-world-factbook/geos/lh.html?Transportation	https://travel.state.gov/content/travel/en/international-travel/International-Travel-Country-Information-Pages/Lithuania.html	</v>
      <v xml:space="preserve">http://creativecommons.org/licenses/by-sa/3.0/			</v>
    </spb>
    <spb s="1">
      <v xml:space="preserve">Wikipedia	</v>
      <v xml:space="preserve">CC BY-SA 3.0	</v>
      <v xml:space="preserve">https://en.wikipedia.org/wiki/Lithuania	</v>
      <v xml:space="preserve">https://creativecommons.org/licenses/by-sa/3.0	</v>
    </spb>
    <spb s="1">
      <v xml:space="preserve">Wikipedia	</v>
      <v xml:space="preserve">CC-BY-SA	</v>
      <v xml:space="preserve">http://en.wikipedia.org/wiki/Lithuania	</v>
      <v xml:space="preserve">http://creativecommons.org/licenses/by-sa/3.0/	</v>
    </spb>
    <spb s="1">
      <v xml:space="preserve">Cia	</v>
      <v xml:space="preserve">	</v>
      <v xml:space="preserve">https://www.cia.gov/library/publications/the-world-factbook/geos/lh.html?Transportation	</v>
      <v xml:space="preserve">	</v>
    </spb>
    <spb s="12">
      <v>10</v>
      <v>852</v>
      <v>853</v>
      <v>853</v>
      <v>13</v>
      <v>853</v>
      <v>853</v>
      <v>853</v>
      <v>854</v>
      <v>853</v>
      <v>853</v>
      <v>854</v>
      <v>853</v>
      <v>853</v>
      <v>855</v>
      <v>16</v>
      <v>852</v>
      <v>855</v>
      <v>17</v>
      <v>853</v>
      <v>855</v>
      <v>18</v>
      <v>19</v>
      <v>20</v>
      <v>855</v>
      <v>855</v>
      <v>853</v>
      <v>855</v>
      <v>21</v>
      <v>22</v>
      <v>23</v>
      <v>44</v>
      <v>855</v>
      <v>855</v>
      <v>855</v>
      <v>855</v>
      <v>855</v>
      <v>855</v>
      <v>855</v>
      <v>855</v>
      <v>855</v>
      <v>855</v>
      <v>855</v>
      <v>24</v>
    </spb>
    <spb s="13">
      <v>2019</v>
      <v>2019</v>
      <v>square km</v>
      <v>per thousand (2018)</v>
      <v>2022</v>
      <v>2019</v>
      <v>2018</v>
      <v>per liter (2016)</v>
      <v>2019</v>
      <v>years (2018)</v>
      <v>2018</v>
      <v>per thousand (2018)</v>
      <v>2019</v>
      <v>2017</v>
      <v>2016</v>
      <v>2019</v>
      <v>2016</v>
      <v>2018</v>
      <v>kilotons per year (2016)</v>
      <v>deaths per 100,000 (2017)</v>
      <v>kWh (2014)</v>
      <v>2014</v>
      <v>2017</v>
      <v>2017</v>
      <v>2017</v>
      <v>2017</v>
      <v>2017</v>
      <v>2015</v>
      <v>2017</v>
      <v>2017</v>
      <v>2017</v>
      <v>2017</v>
      <v>2019</v>
    </spb>
    <spb s="1">
      <v xml:space="preserve">Wikipedia	</v>
      <v xml:space="preserve">CC BY-SA 3.0	</v>
      <v xml:space="preserve">https://en.wikipedia.org/wiki/Luxembourg_City	</v>
      <v xml:space="preserve">https://creativecommons.org/licenses/by-sa/3.0	</v>
    </spb>
    <spb s="11">
      <v>858</v>
      <v>858</v>
      <v>858</v>
      <v>858</v>
      <v>858</v>
      <v>858</v>
      <v>858</v>
      <v>858</v>
      <v>858</v>
    </spb>
    <spb s="1">
      <v xml:space="preserve">Wikipedia	Cia	travel.state.gov	</v>
      <v xml:space="preserve">CC-BY-SA			</v>
      <v xml:space="preserve">http://en.wikipedia.org/wiki/Luxembourg	https://www.cia.gov/library/publications/the-world-factbook/geos/lu.html?Transportation	https://travel.state.gov/content/travel/en/international-travel/International-Travel-Country-Information-Pages/Luxembourg.html	</v>
      <v xml:space="preserve">http://creativecommons.org/licenses/by-sa/3.0/			</v>
    </spb>
    <spb s="1">
      <v xml:space="preserve">Wikipedia	</v>
      <v xml:space="preserve">CC BY-SA 3.0	</v>
      <v xml:space="preserve">https://en.wikipedia.org/wiki/Luxembourg	</v>
      <v xml:space="preserve">https://creativecommons.org/licenses/by-sa/3.0	</v>
    </spb>
    <spb s="1">
      <v xml:space="preserve">Wikipedia	</v>
      <v xml:space="preserve">CC-BY-SA	</v>
      <v xml:space="preserve">http://en.wikipedia.org/wiki/Luxembourg	</v>
      <v xml:space="preserve">http://creativecommons.org/licenses/by-sa/3.0/	</v>
    </spb>
    <spb s="1">
      <v xml:space="preserve">Cia	</v>
      <v xml:space="preserve">	</v>
      <v xml:space="preserve">https://www.cia.gov/library/publications/the-world-factbook/geos/lu.html?Transportation	</v>
      <v xml:space="preserve">	</v>
    </spb>
    <spb s="14">
      <v>10</v>
      <v>860</v>
      <v>861</v>
      <v>861</v>
      <v>13</v>
      <v>861</v>
      <v>861</v>
      <v>861</v>
      <v>862</v>
      <v>861</v>
      <v>861</v>
      <v>862</v>
      <v>861</v>
      <v>861</v>
      <v>863</v>
      <v>16</v>
      <v>860</v>
      <v>863</v>
      <v>17</v>
      <v>861</v>
      <v>863</v>
      <v>18</v>
      <v>19</v>
      <v>20</v>
      <v>863</v>
      <v>863</v>
      <v>861</v>
      <v>863</v>
      <v>21</v>
      <v>22</v>
      <v>23</v>
      <v>44</v>
      <v>863</v>
      <v>860</v>
      <v>863</v>
      <v>863</v>
      <v>863</v>
      <v>863</v>
      <v>863</v>
      <v>863</v>
      <v>863</v>
      <v>863</v>
      <v>863</v>
      <v>863</v>
      <v>24</v>
    </spb>
    <spb s="1">
      <v xml:space="preserve">Wikipedia	</v>
      <v xml:space="preserve">CC-BY-SA	</v>
      <v xml:space="preserve">http://en.wikipedia.org/wiki/Antananarivo	</v>
      <v xml:space="preserve">http://creativecommons.org/licenses/by-sa/3.0/	</v>
    </spb>
    <spb s="1">
      <v xml:space="preserve">Wikipedia	</v>
      <v xml:space="preserve">CC BY-SA 3.0	</v>
      <v xml:space="preserve">https://en.wikipedia.org/wiki/Antananarivo	</v>
      <v xml:space="preserve">https://creativecommons.org/licenses/by-sa/3.0	</v>
    </spb>
    <spb s="21">
      <v>865</v>
      <v>866</v>
      <v>866</v>
      <v>866</v>
      <v>866</v>
      <v>866</v>
      <v>866</v>
      <v>866</v>
    </spb>
    <spb s="1">
      <v xml:space="preserve">Wikipedia	Cia	travel.state.gov	</v>
      <v xml:space="preserve">CC-BY-SA			</v>
      <v xml:space="preserve">http://en.wikipedia.org/wiki/Madagascar	https://www.cia.gov/library/publications/the-world-factbook/geos/ma.html?Transportation	https://travel.state.gov/content/travel/en/international-travel/International-Travel-Country-Information-Pages/Madagascar.html	</v>
      <v xml:space="preserve">http://creativecommons.org/licenses/by-sa/3.0/			</v>
    </spb>
    <spb s="1">
      <v xml:space="preserve">Wikipedia	</v>
      <v xml:space="preserve">CC BY-SA 3.0	</v>
      <v xml:space="preserve">https://en.wikipedia.org/wiki/Madagascar	</v>
      <v xml:space="preserve">https://creativecommons.org/licenses/by-sa/3.0	</v>
    </spb>
    <spb s="1">
      <v xml:space="preserve">Wikipedia	</v>
      <v xml:space="preserve">CC-BY-SA	</v>
      <v xml:space="preserve">http://en.wikipedia.org/wiki/Madagascar	</v>
      <v xml:space="preserve">http://creativecommons.org/licenses/by-sa/3.0/	</v>
    </spb>
    <spb s="1">
      <v xml:space="preserve">Cia	</v>
      <v xml:space="preserve">	</v>
      <v xml:space="preserve">https://www.cia.gov/library/publications/the-world-factbook/geos/ma.html?Transportation	</v>
      <v xml:space="preserve">	</v>
    </spb>
    <spb s="40">
      <v>10</v>
      <v>868</v>
      <v>869</v>
      <v>869</v>
      <v>13</v>
      <v>869</v>
      <v>869</v>
      <v>869</v>
      <v>870</v>
      <v>869</v>
      <v>869</v>
      <v>870</v>
      <v>869</v>
      <v>869</v>
      <v>871</v>
      <v>16</v>
      <v>868</v>
      <v>871</v>
      <v>17</v>
      <v>869</v>
      <v>871</v>
      <v>18</v>
      <v>19</v>
      <v>20</v>
      <v>871</v>
      <v>871</v>
      <v>869</v>
      <v>871</v>
      <v>21</v>
      <v>22</v>
      <v>23</v>
      <v>871</v>
      <v>871</v>
      <v>871</v>
      <v>871</v>
      <v>871</v>
      <v>871</v>
      <v>871</v>
      <v>871</v>
      <v>871</v>
      <v>871</v>
      <v>24</v>
    </spb>
    <spb s="37">
      <v>2019</v>
      <v>2019</v>
      <v>square km</v>
      <v>per thousand (2018)</v>
      <v>2022</v>
      <v>2019</v>
      <v>2018</v>
      <v>per liter (2016)</v>
      <v>2019</v>
      <v>years (2018)</v>
      <v>2018</v>
      <v>per thousand (2018)</v>
      <v>2019</v>
      <v>2017</v>
      <v>2016</v>
      <v>2019</v>
      <v>2016</v>
      <v>2014</v>
      <v>kilotons per year (2016)</v>
      <v>deaths per 100,000 (2017)</v>
      <v>2012</v>
      <v>2012</v>
      <v>2012</v>
      <v>2012</v>
      <v>2012</v>
      <v>2015</v>
      <v>2012</v>
      <v>2012</v>
      <v>2018</v>
      <v>2018</v>
      <v>2019</v>
    </spb>
    <spb s="1">
      <v xml:space="preserve">Wikipedia	</v>
      <v xml:space="preserve">CC BY-SA 3.0	</v>
      <v xml:space="preserve">https://en.wikipedia.org/wiki/Lilongwe	</v>
      <v xml:space="preserve">https://creativecommons.org/licenses/by-sa/3.0	</v>
    </spb>
    <spb s="89">
      <v>874</v>
      <v>874</v>
      <v>874</v>
      <v>874</v>
      <v>874</v>
      <v>874</v>
      <v>874</v>
      <v>874</v>
      <v>874</v>
    </spb>
    <spb s="3">
      <v>59</v>
      <v>Name</v>
      <v>LearnMoreOnLink</v>
    </spb>
    <spb s="1">
      <v xml:space="preserve">Wikipedia	Cia	travel.state.gov	</v>
      <v xml:space="preserve">CC-BY-SA			</v>
      <v xml:space="preserve">http://en.wikipedia.org/wiki/Malawi	https://www.cia.gov/library/publications/the-world-factbook/geos/mi.html?Transportation	https://travel.state.gov/content/travel/en/international-travel/International-Travel-Country-Information-Pages/Malawi.html	</v>
      <v xml:space="preserve">http://creativecommons.org/licenses/by-sa/3.0/			</v>
    </spb>
    <spb s="1">
      <v xml:space="preserve">Wikipedia	</v>
      <v xml:space="preserve">CC BY-SA 3.0	</v>
      <v xml:space="preserve">https://en.wikipedia.org/wiki/Malawi	</v>
      <v xml:space="preserve">https://creativecommons.org/licenses/by-sa/3.0	</v>
    </spb>
    <spb s="1">
      <v xml:space="preserve">Wikipedia	</v>
      <v xml:space="preserve">CC-BY-SA	</v>
      <v xml:space="preserve">http://en.wikipedia.org/wiki/Malawi	</v>
      <v xml:space="preserve">http://creativecommons.org/licenses/by-sa/3.0/	</v>
    </spb>
    <spb s="1">
      <v xml:space="preserve">Cia	</v>
      <v xml:space="preserve">	</v>
      <v xml:space="preserve">https://www.cia.gov/library/publications/the-world-factbook/geos/mi.html?Transportation	</v>
      <v xml:space="preserve">	</v>
    </spb>
    <spb s="40">
      <v>10</v>
      <v>877</v>
      <v>878</v>
      <v>878</v>
      <v>13</v>
      <v>878</v>
      <v>878</v>
      <v>878</v>
      <v>879</v>
      <v>878</v>
      <v>878</v>
      <v>879</v>
      <v>878</v>
      <v>878</v>
      <v>880</v>
      <v>16</v>
      <v>877</v>
      <v>880</v>
      <v>17</v>
      <v>878</v>
      <v>880</v>
      <v>18</v>
      <v>19</v>
      <v>20</v>
      <v>880</v>
      <v>880</v>
      <v>878</v>
      <v>880</v>
      <v>21</v>
      <v>22</v>
      <v>23</v>
      <v>880</v>
      <v>880</v>
      <v>880</v>
      <v>880</v>
      <v>880</v>
      <v>880</v>
      <v>880</v>
      <v>880</v>
      <v>880</v>
      <v>880</v>
      <v>24</v>
    </spb>
    <spb s="3">
      <v>60</v>
      <v>Name</v>
      <v>LearnMoreOnLink</v>
    </spb>
    <spb s="37">
      <v>2019</v>
      <v>2019</v>
      <v>square km</v>
      <v>per thousand (2018)</v>
      <v>2022</v>
      <v>2019</v>
      <v>2018</v>
      <v>per liter (2016)</v>
      <v>2019</v>
      <v>years (2018)</v>
      <v>2019</v>
      <v>per thousand (2018)</v>
      <v>2019</v>
      <v>2017</v>
      <v>2016</v>
      <v>2019</v>
      <v>2016</v>
      <v>2018</v>
      <v>kilotons per year (2016)</v>
      <v>deaths per 100,000 (2017)</v>
      <v>2016</v>
      <v>2016</v>
      <v>2016</v>
      <v>2016</v>
      <v>2016</v>
      <v>2015</v>
      <v>2016</v>
      <v>2016</v>
      <v>2018</v>
      <v>2011</v>
      <v>2019</v>
    </spb>
    <spb s="1">
      <v xml:space="preserve">Wikipedia	</v>
      <v xml:space="preserve">CC BY-SA 3.0	</v>
      <v xml:space="preserve">https://en.wikipedia.org/wiki/Kuala_Lumpur	</v>
      <v xml:space="preserve">https://creativecommons.org/licenses/by-sa/3.0	</v>
    </spb>
    <spb s="1">
      <v xml:space="preserve">Wikipedia	</v>
      <v xml:space="preserve">CC-BY-SA	</v>
      <v xml:space="preserve">http://en.wikipedia.org/wiki/Kuala_Lumpur	</v>
      <v xml:space="preserve">http://creativecommons.org/licenses/by-sa/3.0/	</v>
    </spb>
    <spb s="16">
      <v>884</v>
      <v>884</v>
      <v>884</v>
      <v>884</v>
      <v>884</v>
      <v>885</v>
      <v>884</v>
    </spb>
    <spb s="1">
      <v xml:space="preserve">Wikipedia	Cia	travel.state.gov	</v>
      <v xml:space="preserve">CC-BY-SA			</v>
      <v xml:space="preserve">http://en.wikipedia.org/wiki/Malaysia	https://www.cia.gov/library/publications/the-world-factbook/geos/my.html?Transportation	https://travel.state.gov/content/travel/en/international-travel/International-Travel-Country-Information-Pages/Malaysia.html	</v>
      <v xml:space="preserve">http://creativecommons.org/licenses/by-sa/3.0/			</v>
    </spb>
    <spb s="1">
      <v xml:space="preserve">Wikipedia	</v>
      <v xml:space="preserve">CC BY-SA 3.0	</v>
      <v xml:space="preserve">https://en.wikipedia.org/wiki/Malaysia	</v>
      <v xml:space="preserve">https://creativecommons.org/licenses/by-sa/3.0	</v>
    </spb>
    <spb s="1">
      <v xml:space="preserve">Wikipedia	</v>
      <v xml:space="preserve">CC-BY-SA	</v>
      <v xml:space="preserve">http://en.wikipedia.org/wiki/Malaysia	</v>
      <v xml:space="preserve">http://creativecommons.org/licenses/by-sa/3.0/	</v>
    </spb>
    <spb s="1">
      <v xml:space="preserve">Cia	</v>
      <v xml:space="preserve">	</v>
      <v xml:space="preserve">https://www.cia.gov/library/publications/the-world-factbook/geos/my.html?Transportation	</v>
      <v xml:space="preserve">	</v>
    </spb>
    <spb s="14">
      <v>10</v>
      <v>887</v>
      <v>888</v>
      <v>888</v>
      <v>13</v>
      <v>888</v>
      <v>888</v>
      <v>888</v>
      <v>889</v>
      <v>888</v>
      <v>888</v>
      <v>889</v>
      <v>888</v>
      <v>888</v>
      <v>890</v>
      <v>16</v>
      <v>887</v>
      <v>890</v>
      <v>17</v>
      <v>888</v>
      <v>890</v>
      <v>18</v>
      <v>19</v>
      <v>20</v>
      <v>890</v>
      <v>890</v>
      <v>888</v>
      <v>890</v>
      <v>21</v>
      <v>22</v>
      <v>23</v>
      <v>44</v>
      <v>890</v>
      <v>887</v>
      <v>890</v>
      <v>890</v>
      <v>890</v>
      <v>890</v>
      <v>890</v>
      <v>890</v>
      <v>890</v>
      <v>890</v>
      <v>890</v>
      <v>890</v>
      <v>24</v>
    </spb>
    <spb s="15">
      <v>2019</v>
      <v>2019</v>
      <v>square km</v>
      <v>per thousand (2018)</v>
      <v>2022</v>
      <v>2019</v>
      <v>2018</v>
      <v>per liter (2016)</v>
      <v>2019</v>
      <v>years (2018)</v>
      <v>2018</v>
      <v>per thousand (2018)</v>
      <v>2019</v>
      <v>2017</v>
      <v>2016</v>
      <v>2019</v>
      <v>2016</v>
      <v>2015</v>
      <v>kilotons per year (2016)</v>
      <v>deaths per 100,000 (2017)</v>
      <v>kWh (2014)</v>
      <v>2014</v>
      <v>2019</v>
      <v>2015</v>
      <v>2015</v>
      <v>2015</v>
      <v>2015</v>
      <v>2015</v>
      <v>2015</v>
      <v>2015</v>
      <v>2015</v>
      <v>2017</v>
      <v>2018</v>
      <v>2019</v>
    </spb>
    <spb s="1">
      <v xml:space="preserve">Wikipedia	</v>
      <v xml:space="preserve">CC BY-SA 3.0	</v>
      <v xml:space="preserve">https://en.wikipedia.org/wiki/Mal%C3%A9	</v>
      <v xml:space="preserve">https://creativecommons.org/licenses/by-sa/3.0	</v>
    </spb>
    <spb s="80">
      <v>893</v>
      <v>893</v>
      <v>893</v>
      <v>893</v>
      <v>893</v>
      <v>893</v>
    </spb>
    <spb s="3">
      <v>61</v>
      <v>Name</v>
      <v>LearnMoreOnLink</v>
    </spb>
    <spb s="1">
      <v xml:space="preserve">Wikipedia	Cia	Youtube	</v>
      <v xml:space="preserve">CC-BY-SA			</v>
      <v xml:space="preserve">http://en.wikipedia.org/wiki/Maldives	https://www.cia.gov/library/publications/the-world-factbook/geos/mv.html?Transportation	https://www.youtube.com/user/myvisitmaldives	</v>
      <v xml:space="preserve">http://creativecommons.org/licenses/by-sa/3.0/			</v>
    </spb>
    <spb s="1">
      <v xml:space="preserve">Wikipedia	</v>
      <v xml:space="preserve">CC BY-SA 3.0	</v>
      <v xml:space="preserve">https://en.wikipedia.org/wiki/Maldives	</v>
      <v xml:space="preserve">https://creativecommons.org/licenses/by-sa/3.0	</v>
    </spb>
    <spb s="1">
      <v xml:space="preserve">Wikipedia	</v>
      <v xml:space="preserve">CC-BY-SA	</v>
      <v xml:space="preserve">http://en.wikipedia.org/wiki/Maldives	</v>
      <v xml:space="preserve">http://creativecommons.org/licenses/by-sa/3.0/	</v>
    </spb>
    <spb s="1">
      <v xml:space="preserve">Cia	</v>
      <v xml:space="preserve">	</v>
      <v xml:space="preserve">https://www.cia.gov/library/publications/the-world-factbook/geos/mv.html?Transportation	</v>
      <v xml:space="preserve">	</v>
    </spb>
    <spb s="90">
      <v>10</v>
      <v>896</v>
      <v>897</v>
      <v>897</v>
      <v>13</v>
      <v>897</v>
      <v>897</v>
      <v>897</v>
      <v>898</v>
      <v>897</v>
      <v>897</v>
      <v>897</v>
      <v>897</v>
      <v>899</v>
      <v>16</v>
      <v>896</v>
      <v>899</v>
      <v>17</v>
      <v>897</v>
      <v>899</v>
      <v>18</v>
      <v>19</v>
      <v>20</v>
      <v>899</v>
      <v>899</v>
      <v>897</v>
      <v>899</v>
      <v>21</v>
      <v>22</v>
      <v>23</v>
      <v>899</v>
      <v>899</v>
      <v>899</v>
      <v>899</v>
      <v>899</v>
      <v>899</v>
      <v>899</v>
      <v>899</v>
      <v>899</v>
      <v>899</v>
      <v>899</v>
      <v>24</v>
    </spb>
    <spb s="3">
      <v>62</v>
      <v>Name</v>
      <v>LearnMoreOnLink</v>
    </spb>
    <spb s="29">
      <v>2019</v>
      <v>2019</v>
      <v>square km</v>
      <v>per thousand (2018)</v>
      <v>2022</v>
      <v>2019</v>
      <v>2018</v>
      <v>per liter (2014)</v>
      <v>2019</v>
      <v>years (2018)</v>
      <v>2014</v>
      <v>per thousand (2018)</v>
      <v>2019</v>
      <v>2000</v>
      <v>2016</v>
      <v>2019</v>
      <v>2016</v>
      <v>2018</v>
      <v>kilotons per year (2016)</v>
      <v>deaths per 100,000 (2017)</v>
      <v>2007</v>
      <v>2016</v>
      <v>2016</v>
      <v>2016</v>
      <v>2016</v>
      <v>2016</v>
      <v>2015</v>
      <v>2016</v>
      <v>2016</v>
      <v>2017</v>
      <v>2017</v>
      <v>2019</v>
    </spb>
    <spb s="1">
      <v xml:space="preserve">Wikipedia	</v>
      <v xml:space="preserve">CC BY-SA 3.0	</v>
      <v xml:space="preserve">https://en.wikipedia.org/wiki/Bamako	</v>
      <v xml:space="preserve">https://creativecommons.org/licenses/by-sa/3.0	</v>
    </spb>
    <spb s="1">
      <v xml:space="preserve">Wikipedia	</v>
      <v xml:space="preserve">CC-BY-SA	</v>
      <v xml:space="preserve">http://en.wikipedia.org/wiki/Bamako	</v>
      <v xml:space="preserve">http://creativecommons.org/licenses/by-sa/3.0/	</v>
    </spb>
    <spb s="16">
      <v>903</v>
      <v>903</v>
      <v>903</v>
      <v>903</v>
      <v>903</v>
      <v>904</v>
      <v>903</v>
    </spb>
    <spb s="1">
      <v xml:space="preserve">Wikipedia	Cia	travel.state.gov	</v>
      <v xml:space="preserve">CC-BY-SA			</v>
      <v xml:space="preserve">http://en.wikipedia.org/wiki/Mali	https://www.cia.gov/library/publications/the-world-factbook/geos/ml.html?Transportation	https://travel.state.gov/content/travel/en/international-travel/International-Travel-Country-Information-Pages/Mali.html	</v>
      <v xml:space="preserve">http://creativecommons.org/licenses/by-sa/3.0/			</v>
    </spb>
    <spb s="1">
      <v xml:space="preserve">Wikipedia	</v>
      <v xml:space="preserve">CC BY-SA 3.0	</v>
      <v xml:space="preserve">https://en.wikipedia.org/wiki/Mali	</v>
      <v xml:space="preserve">https://creativecommons.org/licenses/by-sa/3.0	</v>
    </spb>
    <spb s="1">
      <v xml:space="preserve">Wikipedia	</v>
      <v xml:space="preserve">CC-BY-SA	</v>
      <v xml:space="preserve">http://en.wikipedia.org/wiki/Mali	</v>
      <v xml:space="preserve">http://creativecommons.org/licenses/by-sa/3.0/	</v>
    </spb>
    <spb s="1">
      <v xml:space="preserve">Cia	</v>
      <v xml:space="preserve">	</v>
      <v xml:space="preserve">https://www.cia.gov/library/publications/the-world-factbook/geos/ml.html?Transportation	</v>
      <v xml:space="preserve">	</v>
    </spb>
    <spb s="40">
      <v>10</v>
      <v>906</v>
      <v>907</v>
      <v>907</v>
      <v>13</v>
      <v>907</v>
      <v>907</v>
      <v>907</v>
      <v>908</v>
      <v>907</v>
      <v>907</v>
      <v>908</v>
      <v>907</v>
      <v>907</v>
      <v>909</v>
      <v>16</v>
      <v>906</v>
      <v>909</v>
      <v>17</v>
      <v>907</v>
      <v>909</v>
      <v>18</v>
      <v>19</v>
      <v>20</v>
      <v>909</v>
      <v>909</v>
      <v>907</v>
      <v>909</v>
      <v>21</v>
      <v>22</v>
      <v>23</v>
      <v>909</v>
      <v>909</v>
      <v>909</v>
      <v>909</v>
      <v>909</v>
      <v>909</v>
      <v>909</v>
      <v>909</v>
      <v>909</v>
      <v>909</v>
      <v>24</v>
    </spb>
    <spb s="37">
      <v>2019</v>
      <v>2019</v>
      <v>square km</v>
      <v>per thousand (2018)</v>
      <v>2022</v>
      <v>2019</v>
      <v>2018</v>
      <v>per liter (2016)</v>
      <v>2019</v>
      <v>years (2018)</v>
      <v>2018</v>
      <v>per thousand (2018)</v>
      <v>2019</v>
      <v>2017</v>
      <v>2016</v>
      <v>2019</v>
      <v>2016</v>
      <v>2018</v>
      <v>kilotons per year (2016)</v>
      <v>deaths per 100,000 (2017)</v>
      <v>2009</v>
      <v>2009</v>
      <v>2009</v>
      <v>2009</v>
      <v>2009</v>
      <v>2015</v>
      <v>2009</v>
      <v>2009</v>
      <v>2018</v>
      <v>2017</v>
      <v>2019</v>
    </spb>
    <spb s="1">
      <v xml:space="preserve">Wikipedia	Wikipedia	Wikipedia	</v>
      <v xml:space="preserve">CC-BY-SA	CC-BY-SA	CC-BY-SA	</v>
      <v xml:space="preserve">http://en.wikipedia.org/wiki/Valletta	http://es.wikipedia.org/wiki/La_Valeta	http://fr.wikipedia.org/wiki/La_Valette	</v>
      <v xml:space="preserve">http://creativecommons.org/licenses/by-sa/3.0/	http://creativecommons.org/licenses/by-sa/3.0/	http://creativecommons.org/licenses/by-sa/3.0/	</v>
    </spb>
    <spb s="1">
      <v xml:space="preserve">Wikipedia	</v>
      <v xml:space="preserve">CC BY-SA 3.0	</v>
      <v xml:space="preserve">https://en.wikipedia.org/wiki/Valletta	</v>
      <v xml:space="preserve">https://creativecommons.org/licenses/by-sa/3.0	</v>
    </spb>
    <spb s="21">
      <v>912</v>
      <v>913</v>
      <v>913</v>
      <v>913</v>
      <v>913</v>
      <v>913</v>
      <v>913</v>
      <v>913</v>
    </spb>
    <spb s="1">
      <v xml:space="preserve">Wikipedia	Cia	travel.state.gov	</v>
      <v xml:space="preserve">CC-BY-SA			</v>
      <v xml:space="preserve">http://en.wikipedia.org/wiki/Malta	https://www.cia.gov/library/publications/the-world-factbook/geos/mt.html?Transportation	https://travel.state.gov/content/travel/en/international-travel/International-Travel-Country-Information-Pages/Malta.html	</v>
      <v xml:space="preserve">http://creativecommons.org/licenses/by-sa/3.0/			</v>
    </spb>
    <spb s="1">
      <v xml:space="preserve">Wikipedia	</v>
      <v xml:space="preserve">CC BY-SA 3.0	</v>
      <v xml:space="preserve">https://en.wikipedia.org/wiki/Malta	</v>
      <v xml:space="preserve">https://creativecommons.org/licenses/by-sa/3.0	</v>
    </spb>
    <spb s="1">
      <v xml:space="preserve">Wikipedia	</v>
      <v xml:space="preserve">CC-BY-SA	</v>
      <v xml:space="preserve">http://en.wikipedia.org/wiki/Malta	</v>
      <v xml:space="preserve">http://creativecommons.org/licenses/by-sa/3.0/	</v>
    </spb>
    <spb s="1">
      <v xml:space="preserve">Cia	</v>
      <v xml:space="preserve">	</v>
      <v xml:space="preserve">https://www.cia.gov/library/publications/the-world-factbook/geos/mt.html?Transportation	</v>
      <v xml:space="preserve">	</v>
    </spb>
    <spb s="91">
      <v>10</v>
      <v>915</v>
      <v>916</v>
      <v>916</v>
      <v>13</v>
      <v>916</v>
      <v>916</v>
      <v>916</v>
      <v>917</v>
      <v>916</v>
      <v>917</v>
      <v>916</v>
      <v>916</v>
      <v>918</v>
      <v>16</v>
      <v>915</v>
      <v>918</v>
      <v>17</v>
      <v>916</v>
      <v>918</v>
      <v>18</v>
      <v>19</v>
      <v>20</v>
      <v>918</v>
      <v>918</v>
      <v>916</v>
      <v>918</v>
      <v>21</v>
      <v>22</v>
      <v>23</v>
      <v>44</v>
      <v>918</v>
      <v>915</v>
      <v>918</v>
      <v>918</v>
      <v>918</v>
      <v>918</v>
      <v>918</v>
      <v>918</v>
      <v>918</v>
      <v>918</v>
      <v>918</v>
      <v>918</v>
      <v>24</v>
    </spb>
    <spb s="3">
      <v>63</v>
      <v>Name</v>
      <v>LearnMoreOnLink</v>
    </spb>
    <spb s="15">
      <v>2019</v>
      <v>2019</v>
      <v>square km</v>
      <v>per thousand (2018)</v>
      <v>2022</v>
      <v>2019</v>
      <v>2018</v>
      <v>per liter (2016)</v>
      <v>2019</v>
      <v>years (2018)</v>
      <v>2018</v>
      <v>per thousand (2018)</v>
      <v>2019</v>
      <v>2017</v>
      <v>2016</v>
      <v>2019</v>
      <v>2016</v>
      <v>2015</v>
      <v>kilotons per year (2016)</v>
      <v>deaths per 100,000 (2017)</v>
      <v>kWh (2014)</v>
      <v>2014</v>
      <v>2019</v>
      <v>2017</v>
      <v>2017</v>
      <v>2017</v>
      <v>2017</v>
      <v>2017</v>
      <v>2015</v>
      <v>2017</v>
      <v>2017</v>
      <v>2017</v>
      <v>2017</v>
      <v>2019</v>
    </spb>
    <spb s="1">
      <v xml:space="preserve">Wikipedia	</v>
      <v xml:space="preserve">CC BY-SA 3.0	</v>
      <v xml:space="preserve">https://en.wikipedia.org/wiki/Majuro	</v>
      <v xml:space="preserve">https://creativecommons.org/licenses/by-sa/3.0	</v>
    </spb>
    <spb s="1">
      <v xml:space="preserve">Wikipedia	</v>
      <v xml:space="preserve">CC-BY-SA	</v>
      <v xml:space="preserve">http://en.wikipedia.org/wiki/Majuro	</v>
      <v xml:space="preserve">http://creativecommons.org/licenses/by-sa/3.0/	</v>
    </spb>
    <spb s="16">
      <v>922</v>
      <v>922</v>
      <v>922</v>
      <v>922</v>
      <v>922</v>
      <v>923</v>
      <v>922</v>
    </spb>
    <spb s="1">
      <v xml:space="preserve">Wikipedia	Cia	travel.state.gov	</v>
      <v xml:space="preserve">CC-BY-SA			</v>
      <v xml:space="preserve">http://en.wikipedia.org/wiki/Marshall_Islands	https://www.cia.gov/library/publications/the-world-factbook/geos/rm.html?Transportation	https://travel.state.gov/content/travel/en/international-travel/International-Travel-Country-Information-Pages/MarshallIslands.html	</v>
      <v xml:space="preserve">http://creativecommons.org/licenses/by-sa/3.0/			</v>
    </spb>
    <spb s="1">
      <v xml:space="preserve">Wikipedia	</v>
      <v xml:space="preserve">CC BY-SA 3.0	</v>
      <v xml:space="preserve">https://en.wikipedia.org/wiki/Marshall_Islands	</v>
      <v xml:space="preserve">https://creativecommons.org/licenses/by-sa/3.0	</v>
    </spb>
    <spb s="1">
      <v xml:space="preserve">Wikipedia	</v>
      <v xml:space="preserve">CC-BY-SA	</v>
      <v xml:space="preserve">http://en.wikipedia.org/wiki/Marshall_Islands	</v>
      <v xml:space="preserve">http://creativecommons.org/licenses/by-sa/3.0/	</v>
    </spb>
    <spb s="1">
      <v xml:space="preserve">Cia	</v>
      <v xml:space="preserve">	</v>
      <v xml:space="preserve">https://www.cia.gov/library/publications/the-world-factbook/geos/rm.html?Transportation	</v>
      <v xml:space="preserve">	</v>
    </spb>
    <spb s="92">
      <v>925</v>
      <v>926</v>
      <v>926</v>
      <v>13</v>
      <v>926</v>
      <v>926</v>
      <v>926</v>
      <v>927</v>
      <v>926</v>
      <v>926</v>
      <v>927</v>
      <v>926</v>
      <v>926</v>
      <v>16</v>
      <v>925</v>
      <v>928</v>
      <v>17</v>
      <v>926</v>
      <v>928</v>
      <v>18</v>
      <v>19</v>
      <v>928</v>
      <v>926</v>
      <v>928</v>
      <v>21</v>
      <v>22</v>
      <v>928</v>
      <v>928</v>
      <v>928</v>
      <v>928</v>
    </spb>
    <spb s="3">
      <v>64</v>
      <v>Name</v>
      <v>LearnMoreOnLink</v>
    </spb>
    <spb s="93">
      <v>2018</v>
      <v>square km</v>
      <v>per thousand (2011)</v>
      <v>2022</v>
      <v>2011</v>
      <v>per liter (2014)</v>
      <v>2019</v>
      <v>years (2000)</v>
      <v>2018</v>
      <v>per thousand (2018)</v>
      <v>2019</v>
      <v>2016</v>
      <v>2016</v>
      <v>2012</v>
      <v>kilotons per year (2016)</v>
      <v>2007</v>
      <v>2015</v>
      <v>2016</v>
      <v>2012</v>
    </spb>
    <spb s="1">
      <v xml:space="preserve">Wikipedia	</v>
      <v xml:space="preserve">CC-BY-SA	</v>
      <v xml:space="preserve">http://en.wikipedia.org/wiki/Nouakchott	</v>
      <v xml:space="preserve">http://creativecommons.org/licenses/by-sa/3.0/	</v>
    </spb>
    <spb s="1">
      <v xml:space="preserve">Wikipedia	</v>
      <v xml:space="preserve">CC BY-SA 3.0	</v>
      <v xml:space="preserve">https://en.wikipedia.org/wiki/Nouakchott	</v>
      <v xml:space="preserve">https://creativecommons.org/licenses/by-sa/3.0	</v>
    </spb>
    <spb s="11">
      <v>932</v>
      <v>933</v>
      <v>933</v>
      <v>933</v>
      <v>933</v>
      <v>933</v>
      <v>933</v>
      <v>933</v>
      <v>933</v>
    </spb>
    <spb s="1">
      <v xml:space="preserve">Wikipedia	Cia	travel.state.gov	</v>
      <v xml:space="preserve">CC-BY-SA			</v>
      <v xml:space="preserve">http://en.wikipedia.org/wiki/Mauritania	https://www.cia.gov/library/publications/the-world-factbook/geos/mr.html?Transportation	https://travel.state.gov/content/travel/en/international-travel/International-Travel-Country-Information-Pages/Mauritania.html	</v>
      <v xml:space="preserve">http://creativecommons.org/licenses/by-sa/3.0/			</v>
    </spb>
    <spb s="1">
      <v xml:space="preserve">Wikipedia	</v>
      <v xml:space="preserve">CC BY-SA 3.0	</v>
      <v xml:space="preserve">https://en.wikipedia.org/wiki/Mauritania	</v>
      <v xml:space="preserve">https://creativecommons.org/licenses/by-sa/3.0	</v>
    </spb>
    <spb s="1">
      <v xml:space="preserve">Wikipedia	</v>
      <v xml:space="preserve">CC-BY-SA	</v>
      <v xml:space="preserve">http://en.wikipedia.org/wiki/Mauritania	</v>
      <v xml:space="preserve">http://creativecommons.org/licenses/by-sa/3.0/	</v>
    </spb>
    <spb s="1">
      <v xml:space="preserve">Cia	</v>
      <v xml:space="preserve">	</v>
      <v xml:space="preserve">https://www.cia.gov/library/publications/the-world-factbook/geos/mr.html?Transportation	</v>
      <v xml:space="preserve">	</v>
    </spb>
    <spb s="41">
      <v>10</v>
      <v>935</v>
      <v>936</v>
      <v>936</v>
      <v>13</v>
      <v>936</v>
      <v>936</v>
      <v>936</v>
      <v>937</v>
      <v>936</v>
      <v>936</v>
      <v>937</v>
      <v>936</v>
      <v>936</v>
      <v>938</v>
      <v>16</v>
      <v>935</v>
      <v>938</v>
      <v>17</v>
      <v>936</v>
      <v>18</v>
      <v>19</v>
      <v>20</v>
      <v>938</v>
      <v>938</v>
      <v>936</v>
      <v>938</v>
      <v>21</v>
      <v>22</v>
      <v>23</v>
      <v>938</v>
      <v>938</v>
      <v>938</v>
      <v>938</v>
      <v>938</v>
      <v>938</v>
      <v>938</v>
      <v>938</v>
      <v>938</v>
      <v>938</v>
      <v>24</v>
    </spb>
    <spb s="42">
      <v>2019</v>
      <v>2019</v>
      <v>square km</v>
      <v>per thousand (2018)</v>
      <v>2022</v>
      <v>2019</v>
      <v>2018</v>
      <v>per liter (2016)</v>
      <v>2019</v>
      <v>years (2018)</v>
      <v>per thousand (2018)</v>
      <v>2019</v>
      <v>2017</v>
      <v>2016</v>
      <v>2019</v>
      <v>2016</v>
      <v>2018</v>
      <v>kilotons per year (2016)</v>
      <v>deaths per 100,000 (2017)</v>
      <v>2014</v>
      <v>2014</v>
      <v>2014</v>
      <v>2014</v>
      <v>2014</v>
      <v>2015</v>
      <v>2014</v>
      <v>2014</v>
      <v>2018</v>
      <v>2017</v>
      <v>2019</v>
    </spb>
    <spb s="1">
      <v xml:space="preserve">Wikipedia	Wikipedia	</v>
      <v xml:space="preserve">CC-BY-SA	CC-BY-SA	</v>
      <v xml:space="preserve">http://en.wikipedia.org/wiki/Port_Louis	http://es.wikipedia.org/wiki/Port_Louis	</v>
      <v xml:space="preserve">http://creativecommons.org/licenses/by-sa/3.0/	http://creativecommons.org/licenses/by-sa/3.0/	</v>
    </spb>
    <spb s="1">
      <v xml:space="preserve">Wikipedia	</v>
      <v xml:space="preserve">CC BY-SA 3.0	</v>
      <v xml:space="preserve">https://en.wikipedia.org/wiki/Port_Louis	</v>
      <v xml:space="preserve">https://creativecommons.org/licenses/by-sa/3.0	</v>
    </spb>
    <spb s="1">
      <v xml:space="preserve">Wikipedia	</v>
      <v xml:space="preserve">CC-BY-SA	</v>
      <v xml:space="preserve">http://en.wikipedia.org/wiki/Port_Louis	</v>
      <v xml:space="preserve">http://creativecommons.org/licenses/by-sa/3.0/	</v>
    </spb>
    <spb s="16">
      <v>941</v>
      <v>942</v>
      <v>942</v>
      <v>942</v>
      <v>942</v>
      <v>943</v>
      <v>942</v>
    </spb>
    <spb s="1">
      <v xml:space="preserve">Wikipedia	Cia	travel.state.gov	</v>
      <v xml:space="preserve">CC-BY-SA			</v>
      <v xml:space="preserve">http://en.wikipedia.org/wiki/Mauritius	https://www.cia.gov/library/publications/the-world-factbook/geos/mp.html?Transportation	https://travel.state.gov/content/travel/en/international-travel/International-Travel-Country-Information-Pages/Mauritius.html	</v>
      <v xml:space="preserve">http://creativecommons.org/licenses/by-sa/3.0/			</v>
    </spb>
    <spb s="1">
      <v xml:space="preserve">Wikipedia	</v>
      <v xml:space="preserve">CC BY-SA 3.0	</v>
      <v xml:space="preserve">https://en.wikipedia.org/wiki/Mauritius	</v>
      <v xml:space="preserve">https://creativecommons.org/licenses/by-sa/3.0	</v>
    </spb>
    <spb s="1">
      <v xml:space="preserve">Wikipedia	</v>
      <v xml:space="preserve">CC-BY-SA	</v>
      <v xml:space="preserve">http://en.wikipedia.org/wiki/Mauritius	</v>
      <v xml:space="preserve">http://creativecommons.org/licenses/by-sa/3.0/	</v>
    </spb>
    <spb s="1">
      <v xml:space="preserve">Cia	</v>
      <v xml:space="preserve">	</v>
      <v xml:space="preserve">https://www.cia.gov/library/publications/the-world-factbook/geos/mp.html?Transportation	</v>
      <v xml:space="preserve">	</v>
    </spb>
    <spb s="14">
      <v>10</v>
      <v>945</v>
      <v>946</v>
      <v>946</v>
      <v>13</v>
      <v>946</v>
      <v>946</v>
      <v>946</v>
      <v>947</v>
      <v>946</v>
      <v>946</v>
      <v>947</v>
      <v>946</v>
      <v>946</v>
      <v>948</v>
      <v>16</v>
      <v>945</v>
      <v>948</v>
      <v>17</v>
      <v>946</v>
      <v>948</v>
      <v>18</v>
      <v>19</v>
      <v>20</v>
      <v>948</v>
      <v>948</v>
      <v>946</v>
      <v>948</v>
      <v>21</v>
      <v>22</v>
      <v>23</v>
      <v>44</v>
      <v>948</v>
      <v>945</v>
      <v>948</v>
      <v>948</v>
      <v>948</v>
      <v>948</v>
      <v>948</v>
      <v>948</v>
      <v>948</v>
      <v>948</v>
      <v>948</v>
      <v>948</v>
      <v>24</v>
    </spb>
    <spb s="15">
      <v>2019</v>
      <v>2019</v>
      <v>square km</v>
      <v>per thousand (2018)</v>
      <v>2022</v>
      <v>2019</v>
      <v>2018</v>
      <v>per liter (2016)</v>
      <v>2019</v>
      <v>years (2018)</v>
      <v>2018</v>
      <v>per thousand (2018)</v>
      <v>2019</v>
      <v>2017</v>
      <v>2016</v>
      <v>2019</v>
      <v>2016</v>
      <v>2018</v>
      <v>kilotons per year (2016)</v>
      <v>deaths per 100,000 (2017)</v>
      <v>kWh (2014)</v>
      <v>2014</v>
      <v>2019</v>
      <v>2017</v>
      <v>2017</v>
      <v>2017</v>
      <v>2017</v>
      <v>2017</v>
      <v>2015</v>
      <v>2017</v>
      <v>2017</v>
      <v>2018</v>
      <v>2017</v>
      <v>2019</v>
    </spb>
    <spb s="1">
      <v xml:space="preserve">Wikipedia	</v>
      <v xml:space="preserve">CC BY-SA 3.0	</v>
      <v xml:space="preserve">https://en.wikipedia.org/wiki/Mexico_City	</v>
      <v xml:space="preserve">https://creativecommons.org/licenses/by-sa/3.0	</v>
    </spb>
    <spb s="1">
      <v xml:space="preserve">beta.inegi.org.mx	</v>
      <v xml:space="preserve">	</v>
      <v xml:space="preserve">http://www.beta.inegi.org.mx/app/tmp/Infoenoe/Default_15mas_en.aspx#EmploymentAmount	</v>
      <v xml:space="preserve">	</v>
    </spb>
    <spb s="1">
      <v xml:space="preserve">Wikipedia	</v>
      <v xml:space="preserve">CC-BY-SA	</v>
      <v xml:space="preserve">http://en.wikipedia.org/wiki/Mexico_City	</v>
      <v xml:space="preserve">http://creativecommons.org/licenses/by-sa/3.0/	</v>
    </spb>
    <spb s="94">
      <v>951</v>
      <v>951</v>
      <v>952</v>
      <v>951</v>
      <v>951</v>
      <v>951</v>
      <v>953</v>
      <v>951</v>
    </spb>
    <spb s="3">
      <v>65</v>
      <v>Name</v>
      <v>LearnMoreOnLink</v>
    </spb>
    <spb s="95">
      <v>square km</v>
      <v>2017</v>
      <v>2020</v>
    </spb>
    <spb s="1">
      <v xml:space="preserve">Wikipedia	Cia	travel.state.gov	</v>
      <v xml:space="preserve">CC-BY-SA			</v>
      <v xml:space="preserve">http://en.wikipedia.org/wiki/Mexico	https://www.cia.gov/library/publications/the-world-factbook/geos/mx.html?Transportation	https://travel.state.gov/content/travel/en/international-travel/International-Travel-Country-Information-Pages/Mexico.html	</v>
      <v xml:space="preserve">http://creativecommons.org/licenses/by-sa/3.0/			</v>
    </spb>
    <spb s="1">
      <v xml:space="preserve">Wikipedia	</v>
      <v xml:space="preserve">CC BY-SA 3.0	</v>
      <v xml:space="preserve">https://en.wikipedia.org/wiki/Mexico	</v>
      <v xml:space="preserve">https://creativecommons.org/licenses/by-sa/3.0	</v>
    </spb>
    <spb s="1">
      <v xml:space="preserve">Wikipedia	</v>
      <v xml:space="preserve">CC-BY-SA	</v>
      <v xml:space="preserve">http://en.wikipedia.org/wiki/Mexico	</v>
      <v xml:space="preserve">http://creativecommons.org/licenses/by-sa/3.0/	</v>
    </spb>
    <spb s="1">
      <v xml:space="preserve">Cia	</v>
      <v xml:space="preserve">	</v>
      <v xml:space="preserve">https://www.cia.gov/library/publications/the-world-factbook/geos/mx.html?Transportation	</v>
      <v xml:space="preserve">	</v>
    </spb>
    <spb s="14">
      <v>10</v>
      <v>957</v>
      <v>958</v>
      <v>958</v>
      <v>13</v>
      <v>958</v>
      <v>958</v>
      <v>958</v>
      <v>959</v>
      <v>958</v>
      <v>958</v>
      <v>959</v>
      <v>958</v>
      <v>958</v>
      <v>960</v>
      <v>16</v>
      <v>957</v>
      <v>960</v>
      <v>17</v>
      <v>958</v>
      <v>960</v>
      <v>18</v>
      <v>19</v>
      <v>20</v>
      <v>960</v>
      <v>960</v>
      <v>958</v>
      <v>960</v>
      <v>21</v>
      <v>22</v>
      <v>23</v>
      <v>44</v>
      <v>960</v>
      <v>957</v>
      <v>960</v>
      <v>960</v>
      <v>960</v>
      <v>960</v>
      <v>960</v>
      <v>960</v>
      <v>960</v>
      <v>960</v>
      <v>960</v>
      <v>960</v>
      <v>24</v>
    </spb>
    <spb s="15">
      <v>2019</v>
      <v>2019</v>
      <v>square km</v>
      <v>per thousand (2018)</v>
      <v>2022</v>
      <v>2019</v>
      <v>2018</v>
      <v>per liter (2016)</v>
      <v>2019</v>
      <v>years (2018)</v>
      <v>2018</v>
      <v>per thousand (2018)</v>
      <v>2019</v>
      <v>2017</v>
      <v>2016</v>
      <v>2019</v>
      <v>2016</v>
      <v>2017</v>
      <v>kilotons per year (2016)</v>
      <v>deaths per 100,000 (2017)</v>
      <v>kWh (2014)</v>
      <v>2015</v>
      <v>2019</v>
      <v>2018</v>
      <v>2018</v>
      <v>2018</v>
      <v>2018</v>
      <v>2018</v>
      <v>2015</v>
      <v>2018</v>
      <v>2018</v>
      <v>2017</v>
      <v>2017</v>
      <v>2019</v>
    </spb>
    <spb s="1">
      <v xml:space="preserve">Wikipedia	</v>
      <v xml:space="preserve">CC BY-SA 3.0	</v>
      <v xml:space="preserve">https://en.wikipedia.org/wiki/Palikir	</v>
      <v xml:space="preserve">https://creativecommons.org/licenses/by-sa/3.0	</v>
    </spb>
    <spb s="55">
      <v>963</v>
      <v>963</v>
      <v>963</v>
      <v>963</v>
      <v>963</v>
      <v>963</v>
      <v>963</v>
      <v>963</v>
    </spb>
    <spb s="3">
      <v>66</v>
      <v>Name</v>
      <v>LearnMoreOnLink</v>
    </spb>
    <spb s="56">
      <v>2010</v>
    </spb>
    <spb s="1">
      <v xml:space="preserve">Wikipedia	Cia	travel.state.gov	</v>
      <v xml:space="preserve">CC-BY-SA			</v>
      <v xml:space="preserve">http://en.wikipedia.org/wiki/Federated_States_of_Micronesia	https://www.cia.gov/library/publications/the-world-factbook/geos/fm.html?Transportation	https://travel.state.gov/content/travel/en/international-travel/International-Travel-Country-Information-Pages/Micronesia.html	</v>
      <v xml:space="preserve">http://creativecommons.org/licenses/by-sa/3.0/			</v>
    </spb>
    <spb s="1">
      <v xml:space="preserve">Wikipedia	</v>
      <v xml:space="preserve">CC BY-SA 3.0	</v>
      <v xml:space="preserve">https://en.wikipedia.org/wiki/Federated_States_of_Micronesia	</v>
      <v xml:space="preserve">https://creativecommons.org/licenses/by-sa/3.0	</v>
    </spb>
    <spb s="1">
      <v xml:space="preserve">Wikipedia	</v>
      <v xml:space="preserve">CC-BY-SA	</v>
      <v xml:space="preserve">http://en.wikipedia.org/wiki/Federated_States_of_Micronesia	</v>
      <v xml:space="preserve">http://creativecommons.org/licenses/by-sa/3.0/	</v>
    </spb>
    <spb s="1">
      <v xml:space="preserve">Cia	</v>
      <v xml:space="preserve">	</v>
      <v xml:space="preserve">https://www.cia.gov/library/publications/the-world-factbook/geos/fm.html?Transportation	</v>
      <v xml:space="preserve">	</v>
    </spb>
    <spb s="96">
      <v>10</v>
      <v>967</v>
      <v>968</v>
      <v>968</v>
      <v>13</v>
      <v>968</v>
      <v>968</v>
      <v>968</v>
      <v>969</v>
      <v>968</v>
      <v>968</v>
      <v>968</v>
      <v>968</v>
      <v>970</v>
      <v>16</v>
      <v>970</v>
      <v>17</v>
      <v>968</v>
      <v>970</v>
      <v>18</v>
      <v>19</v>
      <v>970</v>
      <v>968</v>
      <v>970</v>
      <v>21</v>
      <v>22</v>
      <v>23</v>
      <v>970</v>
      <v>970</v>
      <v>970</v>
      <v>970</v>
      <v>970</v>
      <v>970</v>
      <v>970</v>
      <v>970</v>
      <v>970</v>
      <v>970</v>
    </spb>
    <spb s="3">
      <v>67</v>
      <v>Name</v>
      <v>LearnMoreOnLink</v>
    </spb>
    <spb s="97">
      <v>2017</v>
      <v>2018</v>
      <v>square km</v>
      <v>per thousand (2018)</v>
      <v>2022</v>
      <v>2017</v>
      <v>2018</v>
      <v>2019</v>
      <v>years (2018)</v>
      <v>2018</v>
      <v>per thousand (2018)</v>
      <v>2019</v>
      <v>2016</v>
      <v>2016</v>
      <v>2010</v>
      <v>kilotons per year (2016)</v>
      <v>deaths per 100,000 (2017)</v>
      <v>2013</v>
      <v>2013</v>
      <v>2013</v>
      <v>2013</v>
      <v>2013</v>
      <v>2015</v>
      <v>2013</v>
      <v>2013</v>
      <v>2015</v>
      <v>2000</v>
    </spb>
    <spb s="1">
      <v xml:space="preserve">Wikipedia	</v>
      <v xml:space="preserve">CC BY-SA 3.0	</v>
      <v xml:space="preserve">https://en.wikipedia.org/wiki/Chi%C8%99in%C4%83u	</v>
      <v xml:space="preserve">https://creativecommons.org/licenses/by-sa/3.0	</v>
    </spb>
    <spb s="1">
      <v xml:space="preserve">Wikipedia	</v>
      <v xml:space="preserve">CC-BY-SA	</v>
      <v xml:space="preserve">http://en.wikipedia.org/wiki/Chișinău	</v>
      <v xml:space="preserve">http://creativecommons.org/licenses/by-sa/3.0/	</v>
    </spb>
    <spb s="16">
      <v>974</v>
      <v>974</v>
      <v>974</v>
      <v>974</v>
      <v>974</v>
      <v>975</v>
      <v>974</v>
    </spb>
    <spb s="1">
      <v xml:space="preserve">Wikipedia	Cia	travel.state.gov	</v>
      <v xml:space="preserve">CC-BY-SA			</v>
      <v xml:space="preserve">http://en.wikipedia.org/wiki/Moldova	https://www.cia.gov/library/publications/the-world-factbook/geos/md.html?Transportation	https://travel.state.gov/content/travel/en/international-travel/International-Travel-Country-Information-Pages/Moldova.html	</v>
      <v xml:space="preserve">http://creativecommons.org/licenses/by-sa/3.0/			</v>
    </spb>
    <spb s="1">
      <v xml:space="preserve">Wikipedia	</v>
      <v xml:space="preserve">CC BY-SA 3.0	</v>
      <v xml:space="preserve">https://en.wikipedia.org/wiki/Moldova	</v>
      <v xml:space="preserve">https://creativecommons.org/licenses/by-sa/3.0	</v>
    </spb>
    <spb s="1">
      <v xml:space="preserve">Wikipedia	</v>
      <v xml:space="preserve">CC-BY-SA	</v>
      <v xml:space="preserve">http://en.wikipedia.org/wiki/Moldova	</v>
      <v xml:space="preserve">http://creativecommons.org/licenses/by-sa/3.0/	</v>
    </spb>
    <spb s="1">
      <v xml:space="preserve">Cia	</v>
      <v xml:space="preserve">	</v>
      <v xml:space="preserve">https://www.cia.gov/library/publications/the-world-factbook/geos/md.html?Transportation	</v>
      <v xml:space="preserve">	</v>
    </spb>
    <spb s="12">
      <v>10</v>
      <v>977</v>
      <v>978</v>
      <v>978</v>
      <v>13</v>
      <v>978</v>
      <v>978</v>
      <v>978</v>
      <v>979</v>
      <v>978</v>
      <v>978</v>
      <v>979</v>
      <v>978</v>
      <v>978</v>
      <v>980</v>
      <v>16</v>
      <v>977</v>
      <v>980</v>
      <v>17</v>
      <v>978</v>
      <v>980</v>
      <v>18</v>
      <v>19</v>
      <v>20</v>
      <v>980</v>
      <v>980</v>
      <v>978</v>
      <v>980</v>
      <v>21</v>
      <v>22</v>
      <v>23</v>
      <v>44</v>
      <v>980</v>
      <v>980</v>
      <v>980</v>
      <v>980</v>
      <v>980</v>
      <v>980</v>
      <v>980</v>
      <v>980</v>
      <v>980</v>
      <v>980</v>
      <v>980</v>
      <v>24</v>
    </spb>
    <spb s="1">
      <v xml:space="preserve">Wikipedia	</v>
      <v xml:space="preserve">CC BY-SA 3.0	</v>
      <v xml:space="preserve">https://en.wikipedia.org/wiki/Monaco_City	</v>
      <v xml:space="preserve">https://creativecommons.org/licenses/by-sa/3.0	</v>
    </spb>
    <spb s="21">
      <v>982</v>
      <v>982</v>
      <v>982</v>
      <v>982</v>
      <v>982</v>
      <v>982</v>
      <v>982</v>
      <v>982</v>
    </spb>
    <spb s="1">
      <v xml:space="preserve">Wikipedia	Cia	</v>
      <v xml:space="preserve">CC-BY-SA		</v>
      <v xml:space="preserve">http://en.wikipedia.org/wiki/Monaco	https://www.cia.gov/library/publications/the-world-factbook/geos/mn.html?Transportation	</v>
      <v xml:space="preserve">http://creativecommons.org/licenses/by-sa/3.0/		</v>
    </spb>
    <spb s="1">
      <v xml:space="preserve">Wikipedia	</v>
      <v xml:space="preserve">CC BY-SA 3.0	</v>
      <v xml:space="preserve">https://en.wikipedia.org/wiki/Monaco	</v>
      <v xml:space="preserve">https://creativecommons.org/licenses/by-sa/3.0	</v>
    </spb>
    <spb s="1">
      <v xml:space="preserve">Wikipedia	</v>
      <v xml:space="preserve">CC-BY-SA	</v>
      <v xml:space="preserve">http://en.wikipedia.org/wiki/Monaco	</v>
      <v xml:space="preserve">http://creativecommons.org/licenses/by-sa/3.0/	</v>
    </spb>
    <spb s="1">
      <v xml:space="preserve">Cia	</v>
      <v xml:space="preserve">	</v>
      <v xml:space="preserve">https://www.cia.gov/library/publications/the-world-factbook/geos/mn.html?Transportation	</v>
      <v xml:space="preserve">	</v>
    </spb>
    <spb s="98">
      <v>984</v>
      <v>985</v>
      <v>985</v>
      <v>13</v>
      <v>985</v>
      <v>985</v>
      <v>985</v>
      <v>986</v>
      <v>985</v>
      <v>985</v>
      <v>986</v>
      <v>985</v>
      <v>985</v>
      <v>984</v>
      <v>985</v>
      <v>18</v>
      <v>19</v>
      <v>985</v>
      <v>21</v>
      <v>987</v>
    </spb>
    <spb s="3">
      <v>68</v>
      <v>Name</v>
      <v>LearnMoreOnLink</v>
    </spb>
    <spb s="99">
      <v>2018</v>
      <v>square km</v>
      <v>per thousand (2018)</v>
      <v>2022</v>
      <v>per liter (2014)</v>
      <v>per thousand (2018)</v>
      <v>2019</v>
      <v>2014</v>
      <v>2015</v>
    </spb>
    <spb s="1">
      <v xml:space="preserve">Wikipedia	</v>
      <v xml:space="preserve">CC BY-SA 3.0	</v>
      <v xml:space="preserve">https://en.wikipedia.org/wiki/Ulaanbaatar	</v>
      <v xml:space="preserve">https://creativecommons.org/licenses/by-sa/3.0	</v>
    </spb>
    <spb s="1">
      <v xml:space="preserve">Wikipedia	</v>
      <v xml:space="preserve">CC-BY-SA	</v>
      <v xml:space="preserve">http://en.wikipedia.org/wiki/Ulaanbaatar	</v>
      <v xml:space="preserve">http://creativecommons.org/licenses/by-sa/3.0/	</v>
    </spb>
    <spb s="16">
      <v>991</v>
      <v>991</v>
      <v>991</v>
      <v>991</v>
      <v>991</v>
      <v>992</v>
      <v>991</v>
    </spb>
    <spb s="1">
      <v xml:space="preserve">Wikipedia	Cia	</v>
      <v xml:space="preserve">CC-BY-SA		</v>
      <v xml:space="preserve">http://en.wikipedia.org/wiki/Mongolia	https://www.cia.gov/library/publications/the-world-factbook/geos/mg.html?Transportation	</v>
      <v xml:space="preserve">http://creativecommons.org/licenses/by-sa/3.0/		</v>
    </spb>
    <spb s="1">
      <v xml:space="preserve">Wikipedia	</v>
      <v xml:space="preserve">CC BY-SA 3.0	</v>
      <v xml:space="preserve">https://en.wikipedia.org/wiki/Mongolia	</v>
      <v xml:space="preserve">https://creativecommons.org/licenses/by-sa/3.0	</v>
    </spb>
    <spb s="1">
      <v xml:space="preserve">Wikipedia	</v>
      <v xml:space="preserve">CC-BY-SA	</v>
      <v xml:space="preserve">http://en.wikipedia.org/wiki/Mongolia	</v>
      <v xml:space="preserve">http://creativecommons.org/licenses/by-sa/3.0/	</v>
    </spb>
    <spb s="1">
      <v xml:space="preserve">Cia	</v>
      <v xml:space="preserve">	</v>
      <v xml:space="preserve">https://www.cia.gov/library/publications/the-world-factbook/geos/mg.html?Transportation	</v>
      <v xml:space="preserve">	</v>
    </spb>
    <spb s="12">
      <v>10</v>
      <v>994</v>
      <v>995</v>
      <v>995</v>
      <v>13</v>
      <v>995</v>
      <v>995</v>
      <v>995</v>
      <v>996</v>
      <v>995</v>
      <v>995</v>
      <v>996</v>
      <v>995</v>
      <v>995</v>
      <v>997</v>
      <v>16</v>
      <v>994</v>
      <v>997</v>
      <v>17</v>
      <v>995</v>
      <v>997</v>
      <v>18</v>
      <v>19</v>
      <v>20</v>
      <v>997</v>
      <v>997</v>
      <v>995</v>
      <v>997</v>
      <v>21</v>
      <v>22</v>
      <v>23</v>
      <v>44</v>
      <v>997</v>
      <v>997</v>
      <v>997</v>
      <v>997</v>
      <v>997</v>
      <v>997</v>
      <v>997</v>
      <v>997</v>
      <v>997</v>
      <v>997</v>
      <v>997</v>
      <v>24</v>
    </spb>
    <spb s="1">
      <v xml:space="preserve">Wikipedia	</v>
      <v xml:space="preserve">CC BY-SA 3.0	</v>
      <v xml:space="preserve">https://en.wikipedia.org/wiki/Podgorica	</v>
      <v xml:space="preserve">https://creativecommons.org/licenses/by-sa/3.0	</v>
    </spb>
    <spb s="11">
      <v>999</v>
      <v>999</v>
      <v>999</v>
      <v>999</v>
      <v>999</v>
      <v>999</v>
      <v>999</v>
      <v>999</v>
      <v>999</v>
    </spb>
    <spb s="1">
      <v xml:space="preserve">Wikipedia	Cia	travel.state.gov	</v>
      <v xml:space="preserve">CC-BY-SA			</v>
      <v xml:space="preserve">http://en.wikipedia.org/wiki/Montenegro	https://www.cia.gov/library/publications/the-world-factbook/geos/mj.html?Transportation	https://travel.state.gov/content/travel/en/international-travel/International-Travel-Country-Information-Pages/Montenegro.html	</v>
      <v xml:space="preserve">http://creativecommons.org/licenses/by-sa/3.0/			</v>
    </spb>
    <spb s="1">
      <v xml:space="preserve">Wikipedia	</v>
      <v xml:space="preserve">CC BY-SA 3.0	</v>
      <v xml:space="preserve">https://en.wikipedia.org/wiki/Montenegro	</v>
      <v xml:space="preserve">https://creativecommons.org/licenses/by-sa/3.0	</v>
    </spb>
    <spb s="1">
      <v xml:space="preserve">Wikipedia	</v>
      <v xml:space="preserve">CC-BY-SA	</v>
      <v xml:space="preserve">http://en.wikipedia.org/wiki/Montenegro	</v>
      <v xml:space="preserve">http://creativecommons.org/licenses/by-sa/3.0/	</v>
    </spb>
    <spb s="1">
      <v xml:space="preserve">Cia	</v>
      <v xml:space="preserve">	</v>
      <v xml:space="preserve">https://www.cia.gov/library/publications/the-world-factbook/geos/mj.html?Transportation	</v>
      <v xml:space="preserve">	</v>
    </spb>
    <spb s="59">
      <v>10</v>
      <v>1001</v>
      <v>1002</v>
      <v>1002</v>
      <v>13</v>
      <v>1002</v>
      <v>1002</v>
      <v>1002</v>
      <v>1003</v>
      <v>1002</v>
      <v>1002</v>
      <v>1003</v>
      <v>1002</v>
      <v>1002</v>
      <v>1004</v>
      <v>16</v>
      <v>1001</v>
      <v>1004</v>
      <v>17</v>
      <v>1002</v>
      <v>18</v>
      <v>19</v>
      <v>20</v>
      <v>1004</v>
      <v>1004</v>
      <v>1002</v>
      <v>1004</v>
      <v>21</v>
      <v>22</v>
      <v>23</v>
      <v>44</v>
      <v>1004</v>
      <v>1001</v>
      <v>1004</v>
      <v>1004</v>
      <v>1004</v>
      <v>1004</v>
      <v>1004</v>
      <v>1004</v>
      <v>1004</v>
      <v>1004</v>
      <v>1004</v>
      <v>1004</v>
      <v>24</v>
    </spb>
    <spb s="60">
      <v>2018</v>
      <v>2019</v>
      <v>square km</v>
      <v>per thousand (2018)</v>
      <v>2022</v>
      <v>2018</v>
      <v>2018</v>
      <v>per liter (2016)</v>
      <v>2019</v>
      <v>years (2018)</v>
      <v>per thousand (2018)</v>
      <v>2019</v>
      <v>2017</v>
      <v>2016</v>
      <v>2019</v>
      <v>2016</v>
      <v>2018</v>
      <v>kilotons per year (2016)</v>
      <v>deaths per 100,000 (2017)</v>
      <v>kWh (2014)</v>
      <v>2014</v>
      <v>2012</v>
      <v>2015</v>
      <v>2015</v>
      <v>2015</v>
      <v>2015</v>
      <v>2015</v>
      <v>2015</v>
      <v>2015</v>
      <v>2015</v>
      <v>2018</v>
      <v>2018</v>
      <v>2019</v>
    </spb>
    <spb s="1">
      <v xml:space="preserve">Wikipedia	</v>
      <v xml:space="preserve">CC BY-SA 3.0	</v>
      <v xml:space="preserve">https://en.wikipedia.org/wiki/Rabat	</v>
      <v xml:space="preserve">https://creativecommons.org/licenses/by-sa/3.0	</v>
    </spb>
    <spb s="11">
      <v>1007</v>
      <v>1007</v>
      <v>1007</v>
      <v>1007</v>
      <v>1007</v>
      <v>1007</v>
      <v>1007</v>
      <v>1007</v>
      <v>1007</v>
    </spb>
    <spb s="1">
      <v xml:space="preserve">Wikipedia	Cia	travel.state.gov	</v>
      <v xml:space="preserve">CC-BY-SA			</v>
      <v xml:space="preserve">http://en.wikipedia.org/wiki/Morocco	https://www.cia.gov/library/publications/the-world-factbook/geos/mo.html?Transportation	https://travel.state.gov/content/travel/en/international-travel/International-Travel-Country-Information-Pages/Morocco.html	</v>
      <v xml:space="preserve">http://creativecommons.org/licenses/by-sa/3.0/			</v>
    </spb>
    <spb s="1">
      <v xml:space="preserve">Wikipedia	</v>
      <v xml:space="preserve">CC BY-SA 3.0	</v>
      <v xml:space="preserve">https://en.wikipedia.org/wiki/Morocco	</v>
      <v xml:space="preserve">https://creativecommons.org/licenses/by-sa/3.0	</v>
    </spb>
    <spb s="1">
      <v xml:space="preserve">Wikipedia	</v>
      <v xml:space="preserve">CC-BY-SA	</v>
      <v xml:space="preserve">http://en.wikipedia.org/wiki/Morocco	</v>
      <v xml:space="preserve">http://creativecommons.org/licenses/by-sa/3.0/	</v>
    </spb>
    <spb s="1">
      <v xml:space="preserve">Cia	</v>
      <v xml:space="preserve">	</v>
      <v xml:space="preserve">https://www.cia.gov/library/publications/the-world-factbook/geos/mo.html?Transportation	</v>
      <v xml:space="preserve">	</v>
    </spb>
    <spb s="14">
      <v>10</v>
      <v>1009</v>
      <v>1010</v>
      <v>1010</v>
      <v>13</v>
      <v>1010</v>
      <v>1010</v>
      <v>1010</v>
      <v>1011</v>
      <v>1010</v>
      <v>1010</v>
      <v>1011</v>
      <v>1010</v>
      <v>1010</v>
      <v>1012</v>
      <v>16</v>
      <v>1009</v>
      <v>1012</v>
      <v>17</v>
      <v>1010</v>
      <v>1012</v>
      <v>18</v>
      <v>19</v>
      <v>20</v>
      <v>1012</v>
      <v>1012</v>
      <v>1010</v>
      <v>1012</v>
      <v>21</v>
      <v>22</v>
      <v>23</v>
      <v>44</v>
      <v>1012</v>
      <v>1009</v>
      <v>1012</v>
      <v>1012</v>
      <v>1012</v>
      <v>1012</v>
      <v>1012</v>
      <v>1012</v>
      <v>1012</v>
      <v>1012</v>
      <v>1012</v>
      <v>1012</v>
      <v>24</v>
    </spb>
    <spb s="15">
      <v>2019</v>
      <v>2019</v>
      <v>square km</v>
      <v>per thousand (2018)</v>
      <v>2022</v>
      <v>2019</v>
      <v>2018</v>
      <v>per liter (2016)</v>
      <v>2019</v>
      <v>years (2018)</v>
      <v>2018</v>
      <v>per thousand (2018)</v>
      <v>2019</v>
      <v>2017</v>
      <v>2016</v>
      <v>2019</v>
      <v>2016</v>
      <v>2017</v>
      <v>kilotons per year (2016)</v>
      <v>deaths per 100,000 (2017)</v>
      <v>kWh (2014)</v>
      <v>2014</v>
      <v>2019</v>
      <v>2013</v>
      <v>2013</v>
      <v>2013</v>
      <v>2013</v>
      <v>2013</v>
      <v>2015</v>
      <v>2013</v>
      <v>2013</v>
      <v>2018</v>
      <v>2018</v>
      <v>2019</v>
    </spb>
    <spb s="1">
      <v xml:space="preserve">Wikipedia	</v>
      <v xml:space="preserve">CC BY-SA 3.0	</v>
      <v xml:space="preserve">https://en.wikipedia.org/wiki/Maputo	</v>
      <v xml:space="preserve">https://creativecommons.org/licenses/by-sa/3.0	</v>
    </spb>
    <spb s="1">
      <v xml:space="preserve">Wikipedia	</v>
      <v xml:space="preserve">CC-BY-SA	</v>
      <v xml:space="preserve">http://en.wikipedia.org/wiki/Maputo	</v>
      <v xml:space="preserve">http://creativecommons.org/licenses/by-sa/3.0/	</v>
    </spb>
    <spb s="16">
      <v>1015</v>
      <v>1015</v>
      <v>1015</v>
      <v>1015</v>
      <v>1015</v>
      <v>1016</v>
      <v>1015</v>
    </spb>
    <spb s="1">
      <v xml:space="preserve">Wikipedia	Cia	travel.state.gov	</v>
      <v xml:space="preserve">CC-BY-SA			</v>
      <v xml:space="preserve">http://en.wikipedia.org/wiki/Mozambique	https://www.cia.gov/library/publications/the-world-factbook/geos/mz.html?Transportation	https://travel.state.gov/content/travel/en/international-travel/International-Travel-Country-Information-Pages/Mozambique.html	</v>
      <v xml:space="preserve">http://creativecommons.org/licenses/by-sa/3.0/			</v>
    </spb>
    <spb s="1">
      <v xml:space="preserve">Wikipedia	</v>
      <v xml:space="preserve">CC BY-SA 3.0	</v>
      <v xml:space="preserve">https://en.wikipedia.org/wiki/Mozambique	</v>
      <v xml:space="preserve">https://creativecommons.org/licenses/by-sa/3.0	</v>
    </spb>
    <spb s="1">
      <v xml:space="preserve">Wikipedia	</v>
      <v xml:space="preserve">CC-BY-SA	</v>
      <v xml:space="preserve">http://en.wikipedia.org/wiki/Mozambique	</v>
      <v xml:space="preserve">http://creativecommons.org/licenses/by-sa/3.0/	</v>
    </spb>
    <spb s="1">
      <v xml:space="preserve">Cia	</v>
      <v xml:space="preserve">	</v>
      <v xml:space="preserve">https://www.cia.gov/library/publications/the-world-factbook/geos/mz.html?Transportation	</v>
      <v xml:space="preserve">	</v>
    </spb>
    <spb s="12">
      <v>10</v>
      <v>1018</v>
      <v>1019</v>
      <v>1019</v>
      <v>13</v>
      <v>1019</v>
      <v>1019</v>
      <v>1019</v>
      <v>1020</v>
      <v>1019</v>
      <v>1019</v>
      <v>1020</v>
      <v>1019</v>
      <v>1019</v>
      <v>1021</v>
      <v>16</v>
      <v>1018</v>
      <v>1021</v>
      <v>17</v>
      <v>1019</v>
      <v>1021</v>
      <v>18</v>
      <v>19</v>
      <v>20</v>
      <v>1021</v>
      <v>1021</v>
      <v>1019</v>
      <v>1021</v>
      <v>21</v>
      <v>22</v>
      <v>23</v>
      <v>44</v>
      <v>1021</v>
      <v>1021</v>
      <v>1021</v>
      <v>1021</v>
      <v>1021</v>
      <v>1021</v>
      <v>1021</v>
      <v>1021</v>
      <v>1021</v>
      <v>1021</v>
      <v>1021</v>
      <v>24</v>
    </spb>
    <spb s="13">
      <v>2019</v>
      <v>2019</v>
      <v>square km</v>
      <v>per thousand (2018)</v>
      <v>2022</v>
      <v>2019</v>
      <v>2018</v>
      <v>per liter (2016)</v>
      <v>2019</v>
      <v>years (2018)</v>
      <v>2018</v>
      <v>per thousand (2018)</v>
      <v>2019</v>
      <v>2017</v>
      <v>2016</v>
      <v>2019</v>
      <v>2016</v>
      <v>2018</v>
      <v>kilotons per year (2016)</v>
      <v>deaths per 100,000 (2017)</v>
      <v>kWh (2014)</v>
      <v>2014</v>
      <v>2014</v>
      <v>2014</v>
      <v>2014</v>
      <v>2014</v>
      <v>2014</v>
      <v>2015</v>
      <v>2014</v>
      <v>2014</v>
      <v>2018</v>
      <v>2018</v>
      <v>2019</v>
    </spb>
    <spb s="1">
      <v xml:space="preserve">Wikipedia	</v>
      <v xml:space="preserve">CC BY-SA 3.0	</v>
      <v xml:space="preserve">https://en.wikipedia.org/wiki/Naypyidaw	</v>
      <v xml:space="preserve">https://creativecommons.org/licenses/by-sa/3.0	</v>
    </spb>
    <spb s="11">
      <v>1024</v>
      <v>1024</v>
      <v>1024</v>
      <v>1024</v>
      <v>1024</v>
      <v>1024</v>
      <v>1024</v>
      <v>1024</v>
      <v>1024</v>
    </spb>
    <spb s="1">
      <v xml:space="preserve">Wikipedia	Wikipedia	Cia	travel.state.gov	</v>
      <v xml:space="preserve">CC-BY-SA	CC-BY-SA			</v>
      <v xml:space="preserve">http://en.wikipedia.org/wiki/Myanmar	http://en.wikipedia.org/wiki/Burma	https://www.cia.gov/library/publications/the-world-factbook/geos/bm.html?Transportation	https://travel.state.gov/content/travel/en/international-travel/International-Travel-Country-Information-Pages/Burma.html	</v>
      <v xml:space="preserve">http://creativecommons.org/licenses/by-sa/3.0/	http://creativecommons.org/licenses/by-sa/3.0/			</v>
    </spb>
    <spb s="1">
      <v xml:space="preserve">Wikipedia	</v>
      <v xml:space="preserve">CC BY-SA 3.0	</v>
      <v xml:space="preserve">https://en.wikipedia.org/wiki/Myanmar	</v>
      <v xml:space="preserve">https://creativecommons.org/licenses/by-sa/3.0	</v>
    </spb>
    <spb s="1">
      <v xml:space="preserve">Wikipedia	</v>
      <v xml:space="preserve">CC-BY-SA	</v>
      <v xml:space="preserve">http://en.wikipedia.org/wiki/Myanmar	</v>
      <v xml:space="preserve">http://creativecommons.org/licenses/by-sa/3.0/	</v>
    </spb>
    <spb s="1">
      <v xml:space="preserve">Cia	</v>
      <v xml:space="preserve">	</v>
      <v xml:space="preserve">https://www.cia.gov/library/publications/the-world-factbook/geos/bm.html?Transportation	</v>
      <v xml:space="preserve">	</v>
    </spb>
    <spb s="12">
      <v>10</v>
      <v>1026</v>
      <v>1027</v>
      <v>1027</v>
      <v>13</v>
      <v>1027</v>
      <v>1027</v>
      <v>1027</v>
      <v>1028</v>
      <v>1027</v>
      <v>1027</v>
      <v>1028</v>
      <v>1027</v>
      <v>1027</v>
      <v>1029</v>
      <v>16</v>
      <v>1026</v>
      <v>1029</v>
      <v>17</v>
      <v>1027</v>
      <v>1029</v>
      <v>18</v>
      <v>19</v>
      <v>20</v>
      <v>1029</v>
      <v>1029</v>
      <v>1027</v>
      <v>1029</v>
      <v>21</v>
      <v>22</v>
      <v>23</v>
      <v>44</v>
      <v>1029</v>
      <v>1029</v>
      <v>1029</v>
      <v>1029</v>
      <v>1029</v>
      <v>1029</v>
      <v>1029</v>
      <v>1029</v>
      <v>1029</v>
      <v>1029</v>
      <v>1029</v>
      <v>24</v>
    </spb>
    <spb s="13">
      <v>2019</v>
      <v>2019</v>
      <v>square km</v>
      <v>per thousand (2018)</v>
      <v>2022</v>
      <v>2019</v>
      <v>2018</v>
      <v>per liter (2016)</v>
      <v>2019</v>
      <v>years (2018)</v>
      <v>2019</v>
      <v>per thousand (2018)</v>
      <v>2019</v>
      <v>2017</v>
      <v>2016</v>
      <v>2019</v>
      <v>2016</v>
      <v>2018</v>
      <v>kilotons per year (2016)</v>
      <v>deaths per 100,000 (2017)</v>
      <v>kWh (2014)</v>
      <v>2014</v>
      <v>2017</v>
      <v>2017</v>
      <v>2017</v>
      <v>2017</v>
      <v>2017</v>
      <v>2015</v>
      <v>2017</v>
      <v>2017</v>
      <v>2018</v>
      <v>2018</v>
      <v>2019</v>
    </spb>
    <spb s="1">
      <v xml:space="preserve">Wikipedia	</v>
      <v xml:space="preserve">CC-BY-SA	</v>
      <v xml:space="preserve">http://en.wikipedia.org/wiki/Windhoek	</v>
      <v xml:space="preserve">http://creativecommons.org/licenses/by-sa/3.0/	</v>
    </spb>
    <spb s="1">
      <v xml:space="preserve">Wikipedia	</v>
      <v xml:space="preserve">CC BY-SA 3.0	</v>
      <v xml:space="preserve">https://en.wikipedia.org/wiki/Windhoek	</v>
      <v xml:space="preserve">https://creativecommons.org/licenses/by-sa/3.0	</v>
    </spb>
    <spb s="11">
      <v>1032</v>
      <v>1033</v>
      <v>1033</v>
      <v>1033</v>
      <v>1033</v>
      <v>1033</v>
      <v>1033</v>
      <v>1033</v>
      <v>1033</v>
    </spb>
    <spb s="1">
      <v xml:space="preserve">Wikipedia	Cia	travel.state.gov	</v>
      <v xml:space="preserve">CC-BY-SA			</v>
      <v xml:space="preserve">http://en.wikipedia.org/wiki/Namibia	https://www.cia.gov/library/publications/the-world-factbook/geos/wa.html?Transportation	https://travel.state.gov/content/travel/en/international-travel/International-Travel-Country-Information-Pages/Namibia.html	</v>
      <v xml:space="preserve">http://creativecommons.org/licenses/by-sa/3.0/			</v>
    </spb>
    <spb s="1">
      <v xml:space="preserve">Wikipedia	</v>
      <v xml:space="preserve">CC BY-SA 3.0	</v>
      <v xml:space="preserve">https://en.wikipedia.org/wiki/Namibia	</v>
      <v xml:space="preserve">https://creativecommons.org/licenses/by-sa/3.0	</v>
    </spb>
    <spb s="1">
      <v xml:space="preserve">Wikipedia	</v>
      <v xml:space="preserve">CC-BY-SA	</v>
      <v xml:space="preserve">http://en.wikipedia.org/wiki/Namibia	</v>
      <v xml:space="preserve">http://creativecommons.org/licenses/by-sa/3.0/	</v>
    </spb>
    <spb s="1">
      <v xml:space="preserve">Cia	</v>
      <v xml:space="preserve">	</v>
      <v xml:space="preserve">https://www.cia.gov/library/publications/the-world-factbook/geos/wa.html?Transportation	</v>
      <v xml:space="preserve">	</v>
    </spb>
    <spb s="52">
      <v>10</v>
      <v>1035</v>
      <v>1036</v>
      <v>1036</v>
      <v>13</v>
      <v>1036</v>
      <v>1036</v>
      <v>1036</v>
      <v>1037</v>
      <v>1036</v>
      <v>1036</v>
      <v>1036</v>
      <v>1036</v>
      <v>1038</v>
      <v>16</v>
      <v>1035</v>
      <v>1038</v>
      <v>17</v>
      <v>1036</v>
      <v>1038</v>
      <v>18</v>
      <v>19</v>
      <v>20</v>
      <v>1038</v>
      <v>1038</v>
      <v>1036</v>
      <v>1038</v>
      <v>21</v>
      <v>22</v>
      <v>23</v>
      <v>44</v>
      <v>1038</v>
      <v>1035</v>
      <v>1038</v>
      <v>1038</v>
      <v>1038</v>
      <v>1038</v>
      <v>1038</v>
      <v>1038</v>
      <v>1038</v>
      <v>1038</v>
      <v>1038</v>
      <v>1038</v>
      <v>24</v>
    </spb>
    <spb s="15">
      <v>2019</v>
      <v>2019</v>
      <v>square km</v>
      <v>per thousand (2018)</v>
      <v>2022</v>
      <v>2019</v>
      <v>2018</v>
      <v>per liter (2016)</v>
      <v>2019</v>
      <v>years (2018)</v>
      <v>2018</v>
      <v>per thousand (2018)</v>
      <v>2019</v>
      <v>2017</v>
      <v>2016</v>
      <v>2019</v>
      <v>2016</v>
      <v>2018</v>
      <v>kilotons per year (2016)</v>
      <v>deaths per 100,000 (2017)</v>
      <v>kWh (2014)</v>
      <v>2014</v>
      <v>2019</v>
      <v>2015</v>
      <v>2015</v>
      <v>2015</v>
      <v>2015</v>
      <v>2015</v>
      <v>2015</v>
      <v>2015</v>
      <v>2015</v>
      <v>2018</v>
      <v>2017</v>
      <v>2019</v>
    </spb>
    <spb s="1">
      <v xml:space="preserve">Wikipedia	</v>
      <v xml:space="preserve">CC BY-SA 3.0	</v>
      <v xml:space="preserve">https://en.wikipedia.org/wiki/Yaren_District	</v>
      <v xml:space="preserve">https://creativecommons.org/licenses/by-sa/3.0	</v>
    </spb>
    <spb s="1">
      <v xml:space="preserve">Wikipedia	</v>
      <v xml:space="preserve">CC-BY-SA	</v>
      <v xml:space="preserve">http://en.wikipedia.org/wiki/Yaren_District	</v>
      <v xml:space="preserve">http://creativecommons.org/licenses/by-sa/3.0/	</v>
    </spb>
    <spb s="16">
      <v>1041</v>
      <v>1041</v>
      <v>1041</v>
      <v>1041</v>
      <v>1041</v>
      <v>1042</v>
      <v>1041</v>
    </spb>
    <spb s="1">
      <v xml:space="preserve">Wikipedia	travel.state.gov	</v>
      <v xml:space="preserve">CC-BY-SA		</v>
      <v xml:space="preserve">http://en.wikipedia.org/wiki/Nauru	https://travel.state.gov/content/travel/en/international-travel/International-Travel-Country-Information-Pages/Nauru.html	</v>
      <v xml:space="preserve">http://creativecommons.org/licenses/by-sa/3.0/		</v>
    </spb>
    <spb s="1">
      <v xml:space="preserve">Wikipedia	</v>
      <v xml:space="preserve">CC BY-SA 3.0	</v>
      <v xml:space="preserve">https://en.wikipedia.org/wiki/Nauru	</v>
      <v xml:space="preserve">https://creativecommons.org/licenses/by-sa/3.0	</v>
    </spb>
    <spb s="1">
      <v xml:space="preserve">Wikipedia	</v>
      <v xml:space="preserve">CC-BY-SA	</v>
      <v xml:space="preserve">http://en.wikipedia.org/wiki/Nauru	</v>
      <v xml:space="preserve">http://creativecommons.org/licenses/by-sa/3.0/	</v>
    </spb>
    <spb s="100">
      <v>1044</v>
      <v>1045</v>
      <v>1045</v>
      <v>1045</v>
      <v>1045</v>
      <v>1045</v>
      <v>1046</v>
      <v>1045</v>
      <v>1045</v>
      <v>1045</v>
      <v>1045</v>
      <v>1045</v>
      <v>1045</v>
    </spb>
    <spb s="3">
      <v>69</v>
      <v>Name</v>
      <v>LearnMoreOnLink</v>
    </spb>
    <spb s="101">
      <v>2021</v>
      <v>square km</v>
      <v>2022</v>
    </spb>
    <spb s="1">
      <v xml:space="preserve">Wikipedia	Wikipedia	Wikipedia	</v>
      <v xml:space="preserve">CC-BY-SA	CC-BY-SA	CC-BY-SA	</v>
      <v xml:space="preserve">http://en.wikipedia.org/wiki/Kathmandu	http://de.wikipedia.org/wiki/Kathmandu	http://fr.wikipedia.org/wiki/Katmandou	</v>
      <v xml:space="preserve">http://creativecommons.org/licenses/by-sa/3.0/	http://creativecommons.org/licenses/by-sa/3.0/	http://creativecommons.org/licenses/by-sa/3.0/	</v>
    </spb>
    <spb s="1">
      <v xml:space="preserve">Wikipedia	</v>
      <v xml:space="preserve">CC BY-SA 3.0	</v>
      <v xml:space="preserve">https://en.wikipedia.org/wiki/Kathmandu	</v>
      <v xml:space="preserve">https://creativecommons.org/licenses/by-sa/3.0	</v>
    </spb>
    <spb s="89">
      <v>1050</v>
      <v>1051</v>
      <v>1051</v>
      <v>1051</v>
      <v>1051</v>
      <v>1051</v>
      <v>1051</v>
      <v>1051</v>
      <v>1051</v>
    </spb>
    <spb s="1">
      <v xml:space="preserve">Wikipedia	Cia	travel.state.gov	</v>
      <v xml:space="preserve">CC-BY-SA			</v>
      <v xml:space="preserve">http://en.wikipedia.org/wiki/Nepal	https://www.cia.gov/library/publications/the-world-factbook/geos/np.html?Transportation	https://travel.state.gov/content/travel/en/international-travel/International-Travel-Country-Information-Pages/Nepal.html	</v>
      <v xml:space="preserve">http://creativecommons.org/licenses/by-sa/3.0/			</v>
    </spb>
    <spb s="1">
      <v xml:space="preserve">Wikipedia	</v>
      <v xml:space="preserve">CC BY-SA 3.0	</v>
      <v xml:space="preserve">https://en.wikipedia.org/wiki/Nepal	</v>
      <v xml:space="preserve">https://creativecommons.org/licenses/by-sa/3.0	</v>
    </spb>
    <spb s="1">
      <v xml:space="preserve">Wikipedia	</v>
      <v xml:space="preserve">CC-BY-SA	</v>
      <v xml:space="preserve">http://en.wikipedia.org/wiki/Nepal	</v>
      <v xml:space="preserve">http://creativecommons.org/licenses/by-sa/3.0/	</v>
    </spb>
    <spb s="1">
      <v xml:space="preserve">Cia	</v>
      <v xml:space="preserve">	</v>
      <v xml:space="preserve">https://www.cia.gov/library/publications/the-world-factbook/geos/np.html?Transportation	</v>
      <v xml:space="preserve">	</v>
    </spb>
    <spb s="12">
      <v>10</v>
      <v>1053</v>
      <v>1054</v>
      <v>1054</v>
      <v>13</v>
      <v>1054</v>
      <v>1054</v>
      <v>1054</v>
      <v>1055</v>
      <v>1054</v>
      <v>1054</v>
      <v>1055</v>
      <v>1054</v>
      <v>1054</v>
      <v>1056</v>
      <v>16</v>
      <v>1053</v>
      <v>1056</v>
      <v>17</v>
      <v>1054</v>
      <v>1056</v>
      <v>18</v>
      <v>19</v>
      <v>20</v>
      <v>1056</v>
      <v>1056</v>
      <v>1054</v>
      <v>1056</v>
      <v>21</v>
      <v>22</v>
      <v>23</v>
      <v>44</v>
      <v>1056</v>
      <v>1056</v>
      <v>1056</v>
      <v>1056</v>
      <v>1056</v>
      <v>1056</v>
      <v>1056</v>
      <v>1056</v>
      <v>1056</v>
      <v>1056</v>
      <v>1056</v>
      <v>24</v>
    </spb>
    <spb s="13">
      <v>2019</v>
      <v>2019</v>
      <v>square km</v>
      <v>per thousand (2018)</v>
      <v>2022</v>
      <v>2019</v>
      <v>2018</v>
      <v>per liter (2016)</v>
      <v>2019</v>
      <v>years (2018)</v>
      <v>2017</v>
      <v>per thousand (2018)</v>
      <v>2019</v>
      <v>2017</v>
      <v>2016</v>
      <v>2019</v>
      <v>2016</v>
      <v>2018</v>
      <v>kilotons per year (2016)</v>
      <v>deaths per 100,000 (2017)</v>
      <v>kWh (2014)</v>
      <v>2014</v>
      <v>2010</v>
      <v>2010</v>
      <v>2010</v>
      <v>2010</v>
      <v>2010</v>
      <v>2015</v>
      <v>2010</v>
      <v>2010</v>
      <v>2019</v>
      <v>2018</v>
      <v>2019</v>
    </spb>
    <spb s="1">
      <v xml:space="preserve">Wikipedia	</v>
      <v xml:space="preserve">CC BY-SA 3.0	</v>
      <v xml:space="preserve">https://en.wikipedia.org/wiki/Amsterdam	</v>
      <v xml:space="preserve">https://creativecommons.org/licenses/by-sa/3.0	</v>
    </spb>
    <spb s="2">
      <v>1059</v>
      <v>1059</v>
      <v>1059</v>
      <v>1059</v>
      <v>1059</v>
      <v>1059</v>
      <v>1059</v>
      <v>1059</v>
      <v>1059</v>
      <v>1059</v>
    </spb>
    <spb s="1">
      <v xml:space="preserve">Wikipedia	</v>
      <v xml:space="preserve">CC BY-SA 3.0	</v>
      <v xml:space="preserve">https://en.wikipedia.org/wiki/Wellington	</v>
      <v xml:space="preserve">https://creativecommons.org/licenses/by-sa/3.0	</v>
    </spb>
    <spb s="21">
      <v>1061</v>
      <v>1061</v>
      <v>1061</v>
      <v>1061</v>
      <v>1061</v>
      <v>1061</v>
      <v>1061</v>
      <v>1061</v>
    </spb>
    <spb s="1">
      <v xml:space="preserve">Wikipedia	Cia	travel.state.gov	</v>
      <v xml:space="preserve">CC-BY-SA			</v>
      <v xml:space="preserve">http://en.wikipedia.org/wiki/New_Zealand	https://www.cia.gov/library/publications/the-world-factbook/geos/nz.html?Transportation	https://travel.state.gov/content/travel/en/international-travel/International-Travel-Country-Information-Pages/NewZealand.html	</v>
      <v xml:space="preserve">http://creativecommons.org/licenses/by-sa/3.0/			</v>
    </spb>
    <spb s="1">
      <v xml:space="preserve">Wikipedia	</v>
      <v xml:space="preserve">CC BY-SA 3.0	</v>
      <v xml:space="preserve">https://en.wikipedia.org/wiki/New_Zealand	</v>
      <v xml:space="preserve">https://creativecommons.org/licenses/by-sa/3.0	</v>
    </spb>
    <spb s="1">
      <v xml:space="preserve">Wikipedia	</v>
      <v xml:space="preserve">CC-BY-SA	</v>
      <v xml:space="preserve">http://en.wikipedia.org/wiki/New_Zealand	</v>
      <v xml:space="preserve">http://creativecommons.org/licenses/by-sa/3.0/	</v>
    </spb>
    <spb s="1">
      <v xml:space="preserve">Cia	</v>
      <v xml:space="preserve">	</v>
      <v xml:space="preserve">https://www.cia.gov/library/publications/the-world-factbook/geos/nz.html?Transportation	</v>
      <v xml:space="preserve">	</v>
    </spb>
    <spb s="81">
      <v>10</v>
      <v>1063</v>
      <v>1064</v>
      <v>1064</v>
      <v>13</v>
      <v>1064</v>
      <v>1064</v>
      <v>1064</v>
      <v>1065</v>
      <v>1064</v>
      <v>1064</v>
      <v>1065</v>
      <v>1064</v>
      <v>1064</v>
      <v>1066</v>
      <v>16</v>
      <v>1063</v>
      <v>1066</v>
      <v>17</v>
      <v>1064</v>
      <v>1066</v>
      <v>18</v>
      <v>19</v>
      <v>20</v>
      <v>1066</v>
      <v>1066</v>
      <v>1064</v>
      <v>1066</v>
      <v>21</v>
      <v>22</v>
      <v>23</v>
      <v>44</v>
      <v>1066</v>
      <v>1063</v>
      <v>1066</v>
      <v>1066</v>
      <v>1066</v>
      <v>24</v>
    </spb>
    <spb s="82">
      <v>2019</v>
      <v>2019</v>
      <v>square km</v>
      <v>per thousand (2018)</v>
      <v>2022</v>
      <v>2019</v>
      <v>2018</v>
      <v>per liter (2016)</v>
      <v>2019</v>
      <v>years (2018)</v>
      <v>2019</v>
      <v>per thousand (2018)</v>
      <v>2019</v>
      <v>2017</v>
      <v>2016</v>
      <v>2019</v>
      <v>2016</v>
      <v>2018</v>
      <v>kilotons per year (2016)</v>
      <v>deaths per 100,000 (2017)</v>
      <v>kWh (2014)</v>
      <v>2015</v>
      <v>2019</v>
      <v>2013</v>
      <v>2017</v>
      <v>2017</v>
      <v>2019</v>
    </spb>
    <spb s="1">
      <v xml:space="preserve">Wikipedia	</v>
      <v xml:space="preserve">CC BY-SA 3.0	</v>
      <v xml:space="preserve">https://en.wikipedia.org/wiki/Managua	</v>
      <v xml:space="preserve">https://creativecommons.org/licenses/by-sa/3.0	</v>
    </spb>
    <spb s="11">
      <v>1069</v>
      <v>1069</v>
      <v>1069</v>
      <v>1069</v>
      <v>1069</v>
      <v>1069</v>
      <v>1069</v>
      <v>1069</v>
      <v>1069</v>
    </spb>
    <spb s="1">
      <v xml:space="preserve">Wikipedia	Cia	travel.state.gov	</v>
      <v xml:space="preserve">CC-BY-SA			</v>
      <v xml:space="preserve">http://en.wikipedia.org/wiki/Nicaragua	https://www.cia.gov/library/publications/the-world-factbook/geos/nu.html?Transportation	https://travel.state.gov/content/travel/en/international-travel/International-Travel-Country-Information-Pages/Nicaragua.html	</v>
      <v xml:space="preserve">http://creativecommons.org/licenses/by-sa/3.0/			</v>
    </spb>
    <spb s="1">
      <v xml:space="preserve">Wikipedia	</v>
      <v xml:space="preserve">CC BY-SA 3.0	</v>
      <v xml:space="preserve">https://en.wikipedia.org/wiki/Nicaragua	</v>
      <v xml:space="preserve">https://creativecommons.org/licenses/by-sa/3.0	</v>
    </spb>
    <spb s="1">
      <v xml:space="preserve">Wikipedia	</v>
      <v xml:space="preserve">CC-BY-SA	</v>
      <v xml:space="preserve">http://en.wikipedia.org/wiki/Nicaragua	</v>
      <v xml:space="preserve">http://creativecommons.org/licenses/by-sa/3.0/	</v>
    </spb>
    <spb s="1">
      <v xml:space="preserve">Cia	</v>
      <v xml:space="preserve">	</v>
      <v xml:space="preserve">https://www.cia.gov/library/publications/the-world-factbook/geos/nu.html?Transportation	</v>
      <v xml:space="preserve">	</v>
    </spb>
    <spb s="12">
      <v>10</v>
      <v>1071</v>
      <v>1072</v>
      <v>1072</v>
      <v>13</v>
      <v>1072</v>
      <v>1072</v>
      <v>1072</v>
      <v>1073</v>
      <v>1072</v>
      <v>1072</v>
      <v>1073</v>
      <v>1072</v>
      <v>1072</v>
      <v>1074</v>
      <v>16</v>
      <v>1071</v>
      <v>1074</v>
      <v>17</v>
      <v>1072</v>
      <v>1074</v>
      <v>18</v>
      <v>19</v>
      <v>20</v>
      <v>1074</v>
      <v>1074</v>
      <v>1072</v>
      <v>1074</v>
      <v>21</v>
      <v>22</v>
      <v>23</v>
      <v>44</v>
      <v>1074</v>
      <v>1074</v>
      <v>1074</v>
      <v>1074</v>
      <v>1074</v>
      <v>1074</v>
      <v>1074</v>
      <v>1074</v>
      <v>1074</v>
      <v>1074</v>
      <v>1074</v>
      <v>24</v>
    </spb>
    <spb s="13">
      <v>2019</v>
      <v>2019</v>
      <v>square km</v>
      <v>per thousand (2018)</v>
      <v>2022</v>
      <v>2019</v>
      <v>2018</v>
      <v>per liter (2016)</v>
      <v>2019</v>
      <v>years (2018)</v>
      <v>2018</v>
      <v>per thousand (2018)</v>
      <v>2019</v>
      <v>2017</v>
      <v>2016</v>
      <v>2019</v>
      <v>2016</v>
      <v>2018</v>
      <v>kilotons per year (2016)</v>
      <v>deaths per 100,000 (2017)</v>
      <v>kWh (2014)</v>
      <v>2014</v>
      <v>2014</v>
      <v>2014</v>
      <v>2014</v>
      <v>2014</v>
      <v>2014</v>
      <v>2015</v>
      <v>2014</v>
      <v>2014</v>
      <v>2010</v>
      <v>2002</v>
      <v>2019</v>
    </spb>
    <spb s="1">
      <v xml:space="preserve">Wikipedia	</v>
      <v xml:space="preserve">CC-BY-SA	</v>
      <v xml:space="preserve">http://en.wikipedia.org/wiki/Niamey	</v>
      <v xml:space="preserve">http://creativecommons.org/licenses/by-sa/3.0/	</v>
    </spb>
    <spb s="1">
      <v xml:space="preserve">Wikipedia	</v>
      <v xml:space="preserve">CC BY-SA 3.0	</v>
      <v xml:space="preserve">https://en.wikipedia.org/wiki/Niamey	</v>
      <v xml:space="preserve">https://creativecommons.org/licenses/by-sa/3.0	</v>
    </spb>
    <spb s="16">
      <v>1077</v>
      <v>1078</v>
      <v>1078</v>
      <v>1078</v>
      <v>1078</v>
      <v>1077</v>
      <v>1078</v>
    </spb>
    <spb s="1">
      <v xml:space="preserve">Wikipedia	Cia	travel.state.gov	</v>
      <v xml:space="preserve">CC-BY-SA			</v>
      <v xml:space="preserve">http://en.wikipedia.org/wiki/Niger	https://www.cia.gov/library/publications/the-world-factbook/geos/ng.html?Transportation	https://travel.state.gov/content/travel/en/international-travel/International-Travel-Country-Information-Pages/Niger.html	</v>
      <v xml:space="preserve">http://creativecommons.org/licenses/by-sa/3.0/			</v>
    </spb>
    <spb s="1">
      <v xml:space="preserve">Wikipedia	</v>
      <v xml:space="preserve">CC BY-SA 3.0	</v>
      <v xml:space="preserve">https://en.wikipedia.org/wiki/Niger	</v>
      <v xml:space="preserve">https://creativecommons.org/licenses/by-sa/3.0	</v>
    </spb>
    <spb s="1">
      <v xml:space="preserve">Wikipedia	</v>
      <v xml:space="preserve">CC-BY-SA	</v>
      <v xml:space="preserve">http://en.wikipedia.org/wiki/Niger	</v>
      <v xml:space="preserve">http://creativecommons.org/licenses/by-sa/3.0/	</v>
    </spb>
    <spb s="1">
      <v xml:space="preserve">Cia	</v>
      <v xml:space="preserve">	</v>
      <v xml:space="preserve">https://www.cia.gov/library/publications/the-world-factbook/geos/ng.html?Transportation	</v>
      <v xml:space="preserve">	</v>
    </spb>
    <spb s="12">
      <v>10</v>
      <v>1080</v>
      <v>1081</v>
      <v>1081</v>
      <v>13</v>
      <v>1081</v>
      <v>1081</v>
      <v>1081</v>
      <v>1082</v>
      <v>1081</v>
      <v>1081</v>
      <v>1082</v>
      <v>1081</v>
      <v>1081</v>
      <v>1083</v>
      <v>16</v>
      <v>1080</v>
      <v>1083</v>
      <v>17</v>
      <v>1081</v>
      <v>1083</v>
      <v>18</v>
      <v>19</v>
      <v>20</v>
      <v>1083</v>
      <v>1083</v>
      <v>1081</v>
      <v>1083</v>
      <v>21</v>
      <v>22</v>
      <v>23</v>
      <v>44</v>
      <v>1083</v>
      <v>1083</v>
      <v>1083</v>
      <v>1083</v>
      <v>1083</v>
      <v>1083</v>
      <v>1083</v>
      <v>1083</v>
      <v>1083</v>
      <v>1083</v>
      <v>1083</v>
      <v>24</v>
    </spb>
    <spb s="13">
      <v>2019</v>
      <v>2019</v>
      <v>square km</v>
      <v>per thousand (2018)</v>
      <v>2022</v>
      <v>2019</v>
      <v>2018</v>
      <v>per liter (2016)</v>
      <v>2019</v>
      <v>years (2018)</v>
      <v>1980</v>
      <v>per thousand (2018)</v>
      <v>2019</v>
      <v>2017</v>
      <v>2016</v>
      <v>2019</v>
      <v>2016</v>
      <v>2016</v>
      <v>kilotons per year (2016)</v>
      <v>deaths per 100,000 (2017)</v>
      <v>kWh (2014)</v>
      <v>2014</v>
      <v>2014</v>
      <v>2014</v>
      <v>2014</v>
      <v>2014</v>
      <v>2014</v>
      <v>2015</v>
      <v>2014</v>
      <v>2014</v>
      <v>2017</v>
      <v>2018</v>
      <v>2019</v>
    </spb>
    <spb s="1">
      <v xml:space="preserve">Wikipedia	</v>
      <v xml:space="preserve">CC-BY-SA	</v>
      <v xml:space="preserve">http://en.wikipedia.org/wiki/Abuja	</v>
      <v xml:space="preserve">http://creativecommons.org/licenses/by-sa/3.0/	</v>
    </spb>
    <spb s="1">
      <v xml:space="preserve">Wikipedia	</v>
      <v xml:space="preserve">CC BY-SA 3.0	</v>
      <v xml:space="preserve">https://en.wikipedia.org/wiki/Abuja	</v>
      <v xml:space="preserve">https://creativecommons.org/licenses/by-sa/3.0	</v>
    </spb>
    <spb s="11">
      <v>1086</v>
      <v>1087</v>
      <v>1087</v>
      <v>1087</v>
      <v>1087</v>
      <v>1087</v>
      <v>1087</v>
      <v>1087</v>
      <v>1087</v>
    </spb>
    <spb s="3">
      <v>70</v>
      <v>Name</v>
      <v>LearnMoreOnLink</v>
    </spb>
    <spb s="102">
      <v>4</v>
      <v>4</v>
    </spb>
    <spb s="1">
      <v xml:space="preserve">Wikipedia	Cia	travel.state.gov	</v>
      <v xml:space="preserve">CC-BY-SA			</v>
      <v xml:space="preserve">http://en.wikipedia.org/wiki/Nigeria	https://www.cia.gov/library/publications/the-world-factbook/geos/ni.html?Transportation	https://travel.state.gov/content/travel/en/international-travel/International-Travel-Country-Information-Pages/Nigeria.html	</v>
      <v xml:space="preserve">http://creativecommons.org/licenses/by-sa/3.0/			</v>
    </spb>
    <spb s="1">
      <v xml:space="preserve">Wikipedia	</v>
      <v xml:space="preserve">CC BY-SA 3.0	</v>
      <v xml:space="preserve">https://en.wikipedia.org/wiki/Nigeria	</v>
      <v xml:space="preserve">https://creativecommons.org/licenses/by-sa/3.0	</v>
    </spb>
    <spb s="1">
      <v xml:space="preserve">Wikipedia	</v>
      <v xml:space="preserve">CC-BY-SA	</v>
      <v xml:space="preserve">http://en.wikipedia.org/wiki/Nigeria	</v>
      <v xml:space="preserve">http://creativecommons.org/licenses/by-sa/3.0/	</v>
    </spb>
    <spb s="1">
      <v xml:space="preserve">Cia	</v>
      <v xml:space="preserve">	</v>
      <v xml:space="preserve">https://www.cia.gov/library/publications/the-world-factbook/geos/ni.html?Transportation	</v>
      <v xml:space="preserve">	</v>
    </spb>
    <spb s="14">
      <v>10</v>
      <v>1091</v>
      <v>1092</v>
      <v>1092</v>
      <v>13</v>
      <v>1092</v>
      <v>1092</v>
      <v>1092</v>
      <v>1093</v>
      <v>1092</v>
      <v>1092</v>
      <v>1093</v>
      <v>1092</v>
      <v>1092</v>
      <v>1094</v>
      <v>16</v>
      <v>1091</v>
      <v>1094</v>
      <v>17</v>
      <v>1092</v>
      <v>1094</v>
      <v>18</v>
      <v>19</v>
      <v>20</v>
      <v>1094</v>
      <v>1094</v>
      <v>1092</v>
      <v>1094</v>
      <v>21</v>
      <v>22</v>
      <v>23</v>
      <v>44</v>
      <v>1094</v>
      <v>1091</v>
      <v>1094</v>
      <v>1094</v>
      <v>1094</v>
      <v>1094</v>
      <v>1094</v>
      <v>1094</v>
      <v>1094</v>
      <v>1094</v>
      <v>1094</v>
      <v>1094</v>
      <v>24</v>
    </spb>
    <spb s="15">
      <v>2019</v>
      <v>2019</v>
      <v>square km</v>
      <v>per thousand (2018)</v>
      <v>2022</v>
      <v>2019</v>
      <v>2018</v>
      <v>per liter (2016)</v>
      <v>2019</v>
      <v>years (2018)</v>
      <v>2013</v>
      <v>per thousand (2018)</v>
      <v>2019</v>
      <v>2017</v>
      <v>2016</v>
      <v>2019</v>
      <v>2016</v>
      <v>2018</v>
      <v>kilotons per year (2016)</v>
      <v>deaths per 100,000 (2017)</v>
      <v>kWh (2014)</v>
      <v>2014</v>
      <v>2019</v>
      <v>2009</v>
      <v>2009</v>
      <v>2009</v>
      <v>2009</v>
      <v>2009</v>
      <v>2015</v>
      <v>2009</v>
      <v>2009</v>
      <v>2016</v>
      <v>2011</v>
      <v>2019</v>
    </spb>
    <spb s="1">
      <v xml:space="preserve">Wikipedia	</v>
      <v xml:space="preserve">CC BY-SA 3.0	</v>
      <v xml:space="preserve">https://en.wikipedia.org/wiki/Pyongyang	</v>
      <v xml:space="preserve">https://creativecommons.org/licenses/by-sa/3.0	</v>
    </spb>
    <spb s="1">
      <v xml:space="preserve">Wikipedia	</v>
      <v xml:space="preserve">CC-BY-SA	</v>
      <v xml:space="preserve">http://en.wikipedia.org/wiki/Pyongyang	</v>
      <v xml:space="preserve">http://creativecommons.org/licenses/by-sa/3.0/	</v>
    </spb>
    <spb s="16">
      <v>1097</v>
      <v>1097</v>
      <v>1097</v>
      <v>1097</v>
      <v>1097</v>
      <v>1098</v>
      <v>1097</v>
    </spb>
    <spb s="1">
      <v xml:space="preserve">Wikipedia	travel.state.gov	</v>
      <v xml:space="preserve">CC-BY-SA		</v>
      <v xml:space="preserve">http://en.wikipedia.org/wiki/North_Korea	https://travel.state.gov/content/travel/en/international-travel/International-Travel-Country-Information-Pages/KoreaDemocraticPeoplesRepublicof.html	</v>
      <v xml:space="preserve">http://creativecommons.org/licenses/by-sa/3.0/		</v>
    </spb>
    <spb s="1">
      <v xml:space="preserve">Wikipedia	</v>
      <v xml:space="preserve">CC BY-SA 3.0	</v>
      <v xml:space="preserve">https://en.wikipedia.org/wiki/North_Korea	</v>
      <v xml:space="preserve">https://creativecommons.org/licenses/by-sa/3.0	</v>
    </spb>
    <spb s="1">
      <v xml:space="preserve">Wikipedia	</v>
      <v xml:space="preserve">CC-BY-SA	</v>
      <v xml:space="preserve">http://en.wikipedia.org/wiki/North_Korea	</v>
      <v xml:space="preserve">http://creativecommons.org/licenses/by-sa/3.0/	</v>
    </spb>
    <spb s="1">
      <v xml:space="preserve">Wikipedia	Cia	travel.state.gov	</v>
      <v xml:space="preserve">CC-BY-SA			</v>
      <v xml:space="preserve">http://en.wikipedia.org/wiki/North_Korea	https://www.cia.gov/library/publications/the-world-factbook/geos/kn.html?Transportation	https://travel.state.gov/content/travel/en/international-travel/International-Travel-Country-Information-Pages/KoreaDemocraticPeoplesRepublicof.html	</v>
      <v xml:space="preserve">http://creativecommons.org/licenses/by-sa/3.0/			</v>
    </spb>
    <spb s="1">
      <v xml:space="preserve">Cia	</v>
      <v xml:space="preserve">	</v>
      <v xml:space="preserve">https://www.cia.gov/library/publications/the-world-factbook/geos/kn.html?Transportation	</v>
      <v xml:space="preserve">	</v>
    </spb>
    <spb s="103">
      <v>1100</v>
      <v>1101</v>
      <v>1101</v>
      <v>13</v>
      <v>1101</v>
      <v>1101</v>
      <v>1101</v>
      <v>1102</v>
      <v>1101</v>
      <v>1101</v>
      <v>1101</v>
      <v>1101</v>
      <v>16</v>
      <v>1103</v>
      <v>17</v>
      <v>1101</v>
      <v>18</v>
      <v>19</v>
      <v>20</v>
      <v>1104</v>
      <v>1104</v>
      <v>1101</v>
      <v>1104</v>
      <v>21</v>
      <v>22</v>
      <v>23</v>
      <v>44</v>
      <v>1104</v>
      <v>1104</v>
      <v>1104</v>
      <v>24</v>
    </spb>
    <spb s="3">
      <v>71</v>
      <v>Name</v>
      <v>LearnMoreOnLink</v>
    </spb>
    <spb s="51">
      <v>2018</v>
      <v>square km</v>
      <v>per thousand (2018)</v>
      <v>2022</v>
      <v>2018</v>
      <v>per liter (2016)</v>
      <v>years (2018)</v>
      <v>per thousand (2018)</v>
      <v>2019</v>
      <v>2017</v>
      <v>2016</v>
      <v>2019</v>
      <v>2016</v>
      <v>2017</v>
      <v>kilotons per year (2016)</v>
      <v>deaths per 100,000 (2017)</v>
      <v>kWh (2014)</v>
      <v>2014</v>
      <v>2018</v>
      <v>2018</v>
      <v>2019</v>
    </spb>
    <spb s="1">
      <v xml:space="preserve">Wikipedia	</v>
      <v xml:space="preserve">CC BY-SA 3.0	</v>
      <v xml:space="preserve">https://en.wikipedia.org/wiki/Skopje	</v>
      <v xml:space="preserve">https://creativecommons.org/licenses/by-sa/3.0	</v>
    </spb>
    <spb s="1">
      <v xml:space="preserve">Wikipedia	</v>
      <v xml:space="preserve">CC-BY-SA	</v>
      <v xml:space="preserve">http://en.wikipedia.org/wiki/Skopje	</v>
      <v xml:space="preserve">http://creativecommons.org/licenses/by-sa/3.0/	</v>
    </spb>
    <spb s="16">
      <v>1108</v>
      <v>1108</v>
      <v>1108</v>
      <v>1108</v>
      <v>1108</v>
      <v>1109</v>
      <v>1108</v>
    </spb>
    <spb s="1">
      <v xml:space="preserve">Wikipedia	Wikipedia	travel.state.gov	</v>
      <v xml:space="preserve">CC-BY-SA	CC-BY-SA		</v>
      <v xml:space="preserve">http://en.wikipedia.org/wiki/Republic_of_Macedonia	http://en.wikipedia.org/wiki/North_Macedonia	https://travel.state.gov/content/travel/en/international-travel/International-Travel-Country-Information-Pages/Macedonia.html	</v>
      <v xml:space="preserve">http://creativecommons.org/licenses/by-sa/3.0/	http://creativecommons.org/licenses/by-sa/3.0/		</v>
    </spb>
    <spb s="1">
      <v xml:space="preserve">Wikipedia	</v>
      <v xml:space="preserve">CC BY-SA 3.0	</v>
      <v xml:space="preserve">https://en.wikipedia.org/wiki/North_Macedonia	</v>
      <v xml:space="preserve">https://creativecommons.org/licenses/by-sa/3.0	</v>
    </spb>
    <spb s="1">
      <v xml:space="preserve">Cia	</v>
      <v xml:space="preserve">	</v>
      <v xml:space="preserve">https://www.cia.gov/library/publications/the-world-factbook/geos/mk.html?Transportation	</v>
      <v xml:space="preserve">	</v>
    </spb>
    <spb s="104">
      <v>1111</v>
      <v>1112</v>
      <v>1112</v>
      <v>1112</v>
      <v>1112</v>
      <v>1112</v>
      <v>1112</v>
      <v>1112</v>
      <v>1112</v>
      <v>1112</v>
      <v>1112</v>
      <v>1112</v>
      <v>1113</v>
    </spb>
    <spb s="3">
      <v>72</v>
      <v>Name</v>
      <v>LearnMoreOnLink</v>
    </spb>
    <spb s="105">
      <v>2013</v>
      <v>square km</v>
      <v>2022</v>
      <v>2015</v>
    </spb>
    <spb s="1">
      <v xml:space="preserve">Wikipedia	</v>
      <v xml:space="preserve">CC BY-SA 3.0	</v>
      <v xml:space="preserve">https://en.wikipedia.org/wiki/Oslo	</v>
      <v xml:space="preserve">https://creativecommons.org/licenses/by-sa/3.0	</v>
    </spb>
    <spb s="1">
      <v xml:space="preserve">Wikipedia	</v>
      <v xml:space="preserve">CC-BY-SA	</v>
      <v xml:space="preserve">http://en.wikipedia.org/wiki/Oslo	</v>
      <v xml:space="preserve">http://creativecommons.org/licenses/by-sa/3.0/	</v>
    </spb>
    <spb s="16">
      <v>1117</v>
      <v>1117</v>
      <v>1117</v>
      <v>1117</v>
      <v>1117</v>
      <v>1118</v>
      <v>1117</v>
    </spb>
    <spb s="1">
      <v xml:space="preserve">Wikipedia	</v>
      <v xml:space="preserve">CC BY-SA 3.0	</v>
      <v xml:space="preserve">https://en.wikipedia.org/wiki/Muscat	</v>
      <v xml:space="preserve">https://creativecommons.org/licenses/by-sa/3.0	</v>
    </spb>
    <spb s="11">
      <v>1120</v>
      <v>1120</v>
      <v>1120</v>
      <v>1120</v>
      <v>1120</v>
      <v>1120</v>
      <v>1120</v>
      <v>1120</v>
      <v>1120</v>
    </spb>
    <spb s="1">
      <v xml:space="preserve">Wikipedia	Cia	travel.state.gov	</v>
      <v xml:space="preserve">CC-BY-SA			</v>
      <v xml:space="preserve">http://en.wikipedia.org/wiki/Oman	https://www.cia.gov/library/publications/the-world-factbook/geos/mu.html?Transportation	https://travel.state.gov/content/travel/en/international-travel/International-Travel-Country-Information-Pages/Oman.html	</v>
      <v xml:space="preserve">http://creativecommons.org/licenses/by-sa/3.0/			</v>
    </spb>
    <spb s="1">
      <v xml:space="preserve">Wikipedia	</v>
      <v xml:space="preserve">CC BY-SA 3.0	</v>
      <v xml:space="preserve">https://en.wikipedia.org/wiki/Oman	</v>
      <v xml:space="preserve">https://creativecommons.org/licenses/by-sa/3.0	</v>
    </spb>
    <spb s="1">
      <v xml:space="preserve">Wikipedia	</v>
      <v xml:space="preserve">CC-BY-SA	</v>
      <v xml:space="preserve">http://en.wikipedia.org/wiki/Oman	</v>
      <v xml:space="preserve">http://creativecommons.org/licenses/by-sa/3.0/	</v>
    </spb>
    <spb s="1">
      <v xml:space="preserve">Cia	</v>
      <v xml:space="preserve">	</v>
      <v xml:space="preserve">https://www.cia.gov/library/publications/the-world-factbook/geos/mu.html?Transportation	</v>
      <v xml:space="preserve">	</v>
    </spb>
    <spb s="81">
      <v>10</v>
      <v>1122</v>
      <v>1123</v>
      <v>1123</v>
      <v>13</v>
      <v>1123</v>
      <v>1123</v>
      <v>1123</v>
      <v>1124</v>
      <v>1123</v>
      <v>1123</v>
      <v>1124</v>
      <v>1123</v>
      <v>1123</v>
      <v>1125</v>
      <v>16</v>
      <v>1122</v>
      <v>1125</v>
      <v>17</v>
      <v>1123</v>
      <v>1125</v>
      <v>18</v>
      <v>19</v>
      <v>20</v>
      <v>1125</v>
      <v>1125</v>
      <v>1123</v>
      <v>1125</v>
      <v>21</v>
      <v>22</v>
      <v>23</v>
      <v>44</v>
      <v>1125</v>
      <v>1122</v>
      <v>1125</v>
      <v>1125</v>
      <v>1125</v>
      <v>24</v>
    </spb>
    <spb s="82">
      <v>2019</v>
      <v>2019</v>
      <v>square km</v>
      <v>per thousand (2018)</v>
      <v>2022</v>
      <v>2019</v>
      <v>2018</v>
      <v>per liter (2016)</v>
      <v>2019</v>
      <v>years (2018)</v>
      <v>2013</v>
      <v>per thousand (2018)</v>
      <v>2019</v>
      <v>2017</v>
      <v>2016</v>
      <v>2019</v>
      <v>2016</v>
      <v>2018</v>
      <v>kilotons per year (2016)</v>
      <v>deaths per 100,000 (2017)</v>
      <v>kWh (2014)</v>
      <v>2014</v>
      <v>2019</v>
      <v>2015</v>
      <v>2018</v>
      <v>2018</v>
      <v>2019</v>
    </spb>
    <spb s="1">
      <v xml:space="preserve">Wikipedia	</v>
      <v xml:space="preserve">CC BY-SA 3.0	</v>
      <v xml:space="preserve">https://en.wikipedia.org/wiki/Islamabad	</v>
      <v xml:space="preserve">https://creativecommons.org/licenses/by-sa/3.0	</v>
    </spb>
    <spb s="11">
      <v>1128</v>
      <v>1128</v>
      <v>1128</v>
      <v>1128</v>
      <v>1128</v>
      <v>1128</v>
      <v>1128</v>
      <v>1128</v>
      <v>1128</v>
    </spb>
    <spb s="1">
      <v xml:space="preserve">Wikipedia	travel.state.gov	</v>
      <v xml:space="preserve">CC-BY-SA		</v>
      <v xml:space="preserve">http://en.wikipedia.org/wiki/Pakistan	https://travel.state.gov/content/travel/en/international-travel/International-Travel-Country-Information-Pages/Pakistan.html	</v>
      <v xml:space="preserve">http://creativecommons.org/licenses/by-sa/3.0/		</v>
    </spb>
    <spb s="1">
      <v xml:space="preserve">Wikipedia	</v>
      <v xml:space="preserve">CC BY-SA 3.0	</v>
      <v xml:space="preserve">https://en.wikipedia.org/wiki/Pakistan	</v>
      <v xml:space="preserve">https://creativecommons.org/licenses/by-sa/3.0	</v>
    </spb>
    <spb s="1">
      <v xml:space="preserve">Wikipedia	</v>
      <v xml:space="preserve">CC-BY-SA	</v>
      <v xml:space="preserve">http://en.wikipedia.org/wiki/Pakistan	</v>
      <v xml:space="preserve">http://creativecommons.org/licenses/by-sa/3.0/	</v>
    </spb>
    <spb s="1">
      <v xml:space="preserve">Cia	</v>
      <v xml:space="preserve">	</v>
      <v xml:space="preserve">https://www.cia.gov/library/publications/the-world-factbook/geos/pk.html?Transportation	</v>
      <v xml:space="preserve">	</v>
    </spb>
    <spb s="1">
      <v xml:space="preserve">Wikipedia	Cia	travel.state.gov	</v>
      <v xml:space="preserve">CC-BY-SA			</v>
      <v xml:space="preserve">http://en.wikipedia.org/wiki/Pakistan	https://www.cia.gov/library/publications/the-world-factbook/geos/pk.html?Transportation	https://travel.state.gov/content/travel/en/international-travel/International-Travel-Country-Information-Pages/Pakistan.html	</v>
      <v xml:space="preserve">http://creativecommons.org/licenses/by-sa/3.0/			</v>
    </spb>
    <spb s="14">
      <v>10</v>
      <v>1130</v>
      <v>1131</v>
      <v>1131</v>
      <v>13</v>
      <v>1131</v>
      <v>1131</v>
      <v>1131</v>
      <v>1132</v>
      <v>1131</v>
      <v>1131</v>
      <v>1132</v>
      <v>1131</v>
      <v>1131</v>
      <v>1133</v>
      <v>16</v>
      <v>1134</v>
      <v>1133</v>
      <v>17</v>
      <v>1131</v>
      <v>1133</v>
      <v>18</v>
      <v>19</v>
      <v>20</v>
      <v>1133</v>
      <v>1133</v>
      <v>1131</v>
      <v>1133</v>
      <v>21</v>
      <v>22</v>
      <v>23</v>
      <v>44</v>
      <v>1133</v>
      <v>1134</v>
      <v>1133</v>
      <v>1133</v>
      <v>1133</v>
      <v>1133</v>
      <v>1133</v>
      <v>1133</v>
      <v>1133</v>
      <v>1133</v>
      <v>1133</v>
      <v>1133</v>
      <v>24</v>
    </spb>
    <spb s="15">
      <v>2019</v>
      <v>2017</v>
      <v>square km</v>
      <v>per thousand (2018)</v>
      <v>2022</v>
      <v>2019</v>
      <v>2018</v>
      <v>per liter (2016)</v>
      <v>2019</v>
      <v>years (2018)</v>
      <v>2011</v>
      <v>per thousand (2018)</v>
      <v>2019</v>
      <v>2017</v>
      <v>2016</v>
      <v>2019</v>
      <v>2016</v>
      <v>2018</v>
      <v>kilotons per year (2016)</v>
      <v>deaths per 100,000 (2017)</v>
      <v>kWh (2014)</v>
      <v>2014</v>
      <v>2016</v>
      <v>2015</v>
      <v>2015</v>
      <v>2015</v>
      <v>2015</v>
      <v>2015</v>
      <v>2015</v>
      <v>2015</v>
      <v>2015</v>
      <v>2018</v>
      <v>2018</v>
      <v>2019</v>
    </spb>
    <spb s="1">
      <v xml:space="preserve">Wikipedia	</v>
      <v xml:space="preserve">CC-BY-SA	</v>
      <v xml:space="preserve">http://en.wikipedia.org/wiki/Ngerulmud	</v>
      <v xml:space="preserve">http://creativecommons.org/licenses/by-sa/3.0/	</v>
    </spb>
    <spb s="1">
      <v xml:space="preserve">Wikipedia	</v>
      <v xml:space="preserve">CC BY-SA 3.0	</v>
      <v xml:space="preserve">https://en.wikipedia.org/wiki/Ngerulmud	</v>
      <v xml:space="preserve">https://creativecommons.org/licenses/by-sa/3.0	</v>
    </spb>
    <spb s="106">
      <v>1137</v>
      <v>1138</v>
      <v>1138</v>
      <v>1138</v>
      <v>1138</v>
      <v>1138</v>
      <v>1138</v>
    </spb>
    <spb s="3">
      <v>73</v>
      <v>Name</v>
      <v>LearnMoreOnLink</v>
    </spb>
    <spb s="107">
      <v>square km</v>
    </spb>
    <spb s="1">
      <v xml:space="preserve">Wikipedia	Cia	travel.state.gov	</v>
      <v xml:space="preserve">CC-BY-SA			</v>
      <v xml:space="preserve">http://en.wikipedia.org/wiki/Palau	https://www.cia.gov/library/publications/the-world-factbook/geos/ps.html?Transportation	https://travel.state.gov/content/travel/en/international-travel/International-Travel-Country-Information-Pages/Palau.html	</v>
      <v xml:space="preserve">http://creativecommons.org/licenses/by-sa/3.0/			</v>
    </spb>
    <spb s="1">
      <v xml:space="preserve">Wikipedia	</v>
      <v xml:space="preserve">CC BY-SA 3.0	</v>
      <v xml:space="preserve">https://en.wikipedia.org/wiki/Palau	</v>
      <v xml:space="preserve">https://creativecommons.org/licenses/by-sa/3.0	</v>
    </spb>
    <spb s="1">
      <v xml:space="preserve">Wikipedia	</v>
      <v xml:space="preserve">CC-BY-SA	</v>
      <v xml:space="preserve">http://en.wikipedia.org/wiki/Palau	</v>
      <v xml:space="preserve">http://creativecommons.org/licenses/by-sa/3.0/	</v>
    </spb>
    <spb s="1">
      <v xml:space="preserve">Cia	</v>
      <v xml:space="preserve">	</v>
      <v xml:space="preserve">https://www.cia.gov/library/publications/the-world-factbook/geos/ps.html?Transportation	</v>
      <v xml:space="preserve">	</v>
    </spb>
    <spb s="57">
      <v>10</v>
      <v>1142</v>
      <v>1143</v>
      <v>1143</v>
      <v>13</v>
      <v>1143</v>
      <v>1143</v>
      <v>1143</v>
      <v>1144</v>
      <v>1143</v>
      <v>1143</v>
      <v>1144</v>
      <v>1143</v>
      <v>1143</v>
      <v>1145</v>
      <v>16</v>
      <v>1145</v>
      <v>17</v>
      <v>1143</v>
      <v>1145</v>
      <v>18</v>
      <v>19</v>
      <v>1145</v>
      <v>1143</v>
      <v>1145</v>
      <v>21</v>
      <v>22</v>
      <v>1145</v>
      <v>1145</v>
      <v>1145</v>
      <v>1145</v>
    </spb>
    <spb s="58">
      <v>2017</v>
      <v>2018</v>
      <v>square km</v>
      <v>per thousand (2018)</v>
      <v>2022</v>
      <v>2017</v>
      <v>2015</v>
      <v>2019</v>
      <v>years (2005)</v>
      <v>2018</v>
      <v>per thousand (2018)</v>
      <v>2019</v>
      <v>2016</v>
      <v>2016</v>
      <v>2014</v>
      <v>kilotons per year (2016)</v>
      <v>1990</v>
      <v>2015</v>
      <v>2014</v>
      <v>2013</v>
    </spb>
    <spb s="1">
      <v xml:space="preserve">Wikipedia	</v>
      <v xml:space="preserve">CC BY-SA 3.0	</v>
      <v xml:space="preserve">https://en.wikipedia.org/wiki/Panama_City	</v>
      <v xml:space="preserve">https://creativecommons.org/licenses/by-sa/3.0	</v>
    </spb>
    <spb s="2">
      <v>1148</v>
      <v>1148</v>
      <v>1148</v>
      <v>1148</v>
      <v>1148</v>
      <v>1148</v>
      <v>1148</v>
      <v>1148</v>
      <v>1148</v>
      <v>1148</v>
    </spb>
    <spb s="1">
      <v xml:space="preserve">Wikipedia	Cia	travel.state.gov	</v>
      <v xml:space="preserve">CC-BY-SA			</v>
      <v xml:space="preserve">http://en.wikipedia.org/wiki/Panama	https://www.cia.gov/library/publications/the-world-factbook/geos/pm.html?Transportation	https://travel.state.gov/content/travel/en/international-travel/International-Travel-Country-Information-Pages/Panama.html	</v>
      <v xml:space="preserve">http://creativecommons.org/licenses/by-sa/3.0/			</v>
    </spb>
    <spb s="1">
      <v xml:space="preserve">Wikipedia	</v>
      <v xml:space="preserve">CC BY-SA 3.0	</v>
      <v xml:space="preserve">https://en.wikipedia.org/wiki/Panama	</v>
      <v xml:space="preserve">https://creativecommons.org/licenses/by-sa/3.0	</v>
    </spb>
    <spb s="1">
      <v xml:space="preserve">Wikipedia	</v>
      <v xml:space="preserve">CC-BY-SA	</v>
      <v xml:space="preserve">http://en.wikipedia.org/wiki/Panama	</v>
      <v xml:space="preserve">http://creativecommons.org/licenses/by-sa/3.0/	</v>
    </spb>
    <spb s="1">
      <v xml:space="preserve">Cia	</v>
      <v xml:space="preserve">	</v>
      <v xml:space="preserve">https://www.cia.gov/library/publications/the-world-factbook/geos/pm.html?Transportation	</v>
      <v xml:space="preserve">	</v>
    </spb>
    <spb s="59">
      <v>10</v>
      <v>1150</v>
      <v>1151</v>
      <v>1151</v>
      <v>13</v>
      <v>1151</v>
      <v>1151</v>
      <v>1151</v>
      <v>1152</v>
      <v>1151</v>
      <v>1151</v>
      <v>1152</v>
      <v>1151</v>
      <v>1151</v>
      <v>1153</v>
      <v>16</v>
      <v>1150</v>
      <v>1153</v>
      <v>17</v>
      <v>1151</v>
      <v>18</v>
      <v>19</v>
      <v>20</v>
      <v>1153</v>
      <v>1153</v>
      <v>1151</v>
      <v>1153</v>
      <v>21</v>
      <v>22</v>
      <v>23</v>
      <v>44</v>
      <v>1153</v>
      <v>1150</v>
      <v>1153</v>
      <v>1153</v>
      <v>1153</v>
      <v>1153</v>
      <v>1153</v>
      <v>1153</v>
      <v>1153</v>
      <v>1153</v>
      <v>1153</v>
      <v>1153</v>
      <v>24</v>
    </spb>
    <spb s="60">
      <v>2019</v>
      <v>2019</v>
      <v>square km</v>
      <v>per thousand (2018)</v>
      <v>2022</v>
      <v>2019</v>
      <v>2018</v>
      <v>per liter (2016)</v>
      <v>2019</v>
      <v>years (2018)</v>
      <v>per thousand (2018)</v>
      <v>2019</v>
      <v>2017</v>
      <v>2016</v>
      <v>2019</v>
      <v>2016</v>
      <v>2016</v>
      <v>kilotons per year (2016)</v>
      <v>deaths per 100,000 (2017)</v>
      <v>kWh (2014)</v>
      <v>2014</v>
      <v>2019</v>
      <v>2018</v>
      <v>2018</v>
      <v>2018</v>
      <v>2018</v>
      <v>2018</v>
      <v>2015</v>
      <v>2018</v>
      <v>2018</v>
      <v>2017</v>
      <v>2016</v>
      <v>2019</v>
    </spb>
    <spb s="1">
      <v xml:space="preserve">Wikipedia	</v>
      <v xml:space="preserve">CC BY-SA 3.0	</v>
      <v xml:space="preserve">https://en.wikipedia.org/wiki/Port_Moresby	</v>
      <v xml:space="preserve">https://creativecommons.org/licenses/by-sa/3.0	</v>
    </spb>
    <spb s="21">
      <v>1156</v>
      <v>1156</v>
      <v>1156</v>
      <v>1156</v>
      <v>1156</v>
      <v>1156</v>
      <v>1156</v>
      <v>1156</v>
    </spb>
    <spb s="1">
      <v xml:space="preserve">Wikipedia	Cia	travel.state.gov	</v>
      <v xml:space="preserve">CC-BY-SA			</v>
      <v xml:space="preserve">http://en.wikipedia.org/wiki/Papua_New_Guinea	https://www.cia.gov/library/publications/the-world-factbook/geos/pp.html?Transportation	https://travel.state.gov/content/travel/en/international-travel/International-Travel-Country-Information-Pages/PapuaNewGuinea.html	</v>
      <v xml:space="preserve">http://creativecommons.org/licenses/by-sa/3.0/			</v>
    </spb>
    <spb s="1">
      <v xml:space="preserve">Wikipedia	</v>
      <v xml:space="preserve">CC BY-SA 3.0	</v>
      <v xml:space="preserve">https://en.wikipedia.org/wiki/Papua_New_Guinea	</v>
      <v xml:space="preserve">https://creativecommons.org/licenses/by-sa/3.0	</v>
    </spb>
    <spb s="1">
      <v xml:space="preserve">Wikipedia	</v>
      <v xml:space="preserve">CC-BY-SA	</v>
      <v xml:space="preserve">http://en.wikipedia.org/wiki/Papua_New_Guinea	</v>
      <v xml:space="preserve">http://creativecommons.org/licenses/by-sa/3.0/	</v>
    </spb>
    <spb s="1">
      <v xml:space="preserve">Cia	</v>
      <v xml:space="preserve">	</v>
      <v xml:space="preserve">https://www.cia.gov/library/publications/the-world-factbook/geos/pp.html?Transportation	</v>
      <v xml:space="preserve">	</v>
    </spb>
    <spb s="108">
      <v>10</v>
      <v>1158</v>
      <v>1159</v>
      <v>1159</v>
      <v>13</v>
      <v>1159</v>
      <v>1159</v>
      <v>1159</v>
      <v>1160</v>
      <v>1159</v>
      <v>1159</v>
      <v>1160</v>
      <v>1159</v>
      <v>1159</v>
      <v>1161</v>
      <v>16</v>
      <v>1158</v>
      <v>1161</v>
      <v>17</v>
      <v>1159</v>
      <v>1161</v>
      <v>18</v>
      <v>19</v>
      <v>20</v>
      <v>1161</v>
      <v>1161</v>
      <v>1159</v>
      <v>1161</v>
      <v>21</v>
      <v>22</v>
      <v>23</v>
      <v>1158</v>
      <v>1161</v>
      <v>1161</v>
      <v>1161</v>
      <v>1161</v>
      <v>1161</v>
      <v>1161</v>
      <v>1161</v>
      <v>1161</v>
      <v>1161</v>
      <v>1161</v>
      <v>24</v>
    </spb>
    <spb s="3">
      <v>74</v>
      <v>Name</v>
      <v>LearnMoreOnLink</v>
    </spb>
    <spb s="109">
      <v>2019</v>
      <v>2019</v>
      <v>square km</v>
      <v>per thousand (2018)</v>
      <v>2022</v>
      <v>2019</v>
      <v>2018</v>
      <v>per liter (2014)</v>
      <v>2019</v>
      <v>years (2018)</v>
      <v>2018</v>
      <v>per thousand (2018)</v>
      <v>2019</v>
      <v>2017</v>
      <v>2016</v>
      <v>2019</v>
      <v>2016</v>
      <v>2018</v>
      <v>kilotons per year (2016)</v>
      <v>deaths per 100,000 (2017)</v>
      <v>2011</v>
      <v>2009</v>
      <v>2009</v>
      <v>2009</v>
      <v>2009</v>
      <v>2009</v>
      <v>2015</v>
      <v>2009</v>
      <v>2009</v>
      <v>2016</v>
      <v>1999</v>
      <v>2019</v>
    </spb>
    <spb s="1">
      <v xml:space="preserve">Wikipedia	</v>
      <v xml:space="preserve">CC BY-SA 3.0	</v>
      <v xml:space="preserve">https://en.wikipedia.org/wiki/Asunci%C3%B3n	</v>
      <v xml:space="preserve">https://creativecommons.org/licenses/by-sa/3.0	</v>
    </spb>
    <spb s="1">
      <v xml:space="preserve">Wikipedia	</v>
      <v xml:space="preserve">CC-BY-SA	</v>
      <v xml:space="preserve">http://en.wikipedia.org/wiki/Asunción	</v>
      <v xml:space="preserve">http://creativecommons.org/licenses/by-sa/3.0/	</v>
    </spb>
    <spb s="16">
      <v>1165</v>
      <v>1165</v>
      <v>1165</v>
      <v>1165</v>
      <v>1165</v>
      <v>1166</v>
      <v>1165</v>
    </spb>
    <spb s="1">
      <v xml:space="preserve">Wikipedia	Cia	travel.state.gov	</v>
      <v xml:space="preserve">CC-BY-SA			</v>
      <v xml:space="preserve">http://en.wikipedia.org/wiki/Paraguay	https://www.cia.gov/library/publications/the-world-factbook/geos/pa.html?Transportation	https://travel.state.gov/content/travel/en/international-travel/International-Travel-Country-Information-Pages/Paraguay.html	</v>
      <v xml:space="preserve">http://creativecommons.org/licenses/by-sa/3.0/			</v>
    </spb>
    <spb s="1">
      <v xml:space="preserve">Wikipedia	</v>
      <v xml:space="preserve">CC BY-SA 3.0	</v>
      <v xml:space="preserve">https://en.wikipedia.org/wiki/Paraguay	</v>
      <v xml:space="preserve">https://creativecommons.org/licenses/by-sa/3.0	</v>
    </spb>
    <spb s="1">
      <v xml:space="preserve">Wikipedia	</v>
      <v xml:space="preserve">CC-BY-SA	</v>
      <v xml:space="preserve">http://en.wikipedia.org/wiki/Paraguay	</v>
      <v xml:space="preserve">http://creativecommons.org/licenses/by-sa/3.0/	</v>
    </spb>
    <spb s="1">
      <v xml:space="preserve">Cia	</v>
      <v xml:space="preserve">	</v>
      <v xml:space="preserve">https://www.cia.gov/library/publications/the-world-factbook/geos/pa.html?Transportation	</v>
      <v xml:space="preserve">	</v>
    </spb>
    <spb s="14">
      <v>10</v>
      <v>1168</v>
      <v>1169</v>
      <v>1169</v>
      <v>13</v>
      <v>1169</v>
      <v>1169</v>
      <v>1169</v>
      <v>1170</v>
      <v>1169</v>
      <v>1169</v>
      <v>1170</v>
      <v>1169</v>
      <v>1169</v>
      <v>1171</v>
      <v>16</v>
      <v>1168</v>
      <v>1171</v>
      <v>17</v>
      <v>1169</v>
      <v>1171</v>
      <v>18</v>
      <v>19</v>
      <v>20</v>
      <v>1171</v>
      <v>1171</v>
      <v>1169</v>
      <v>1171</v>
      <v>21</v>
      <v>22</v>
      <v>23</v>
      <v>44</v>
      <v>1171</v>
      <v>1168</v>
      <v>1171</v>
      <v>1171</v>
      <v>1171</v>
      <v>1171</v>
      <v>1171</v>
      <v>1171</v>
      <v>1171</v>
      <v>1171</v>
      <v>1171</v>
      <v>1171</v>
      <v>24</v>
    </spb>
    <spb s="15">
      <v>2019</v>
      <v>2019</v>
      <v>square km</v>
      <v>per thousand (2018)</v>
      <v>2022</v>
      <v>2019</v>
      <v>2018</v>
      <v>per liter (2016)</v>
      <v>2019</v>
      <v>years (2018)</v>
      <v>2018</v>
      <v>per thousand (2018)</v>
      <v>2019</v>
      <v>2017</v>
      <v>2016</v>
      <v>2019</v>
      <v>2016</v>
      <v>2018</v>
      <v>kilotons per year (2016)</v>
      <v>deaths per 100,000 (2017)</v>
      <v>kWh (2014)</v>
      <v>2014</v>
      <v>1999</v>
      <v>2018</v>
      <v>2018</v>
      <v>2018</v>
      <v>2018</v>
      <v>2018</v>
      <v>2015</v>
      <v>2018</v>
      <v>2018</v>
      <v>2012</v>
      <v>2010</v>
      <v>2019</v>
    </spb>
    <spb s="1">
      <v xml:space="preserve">Wikipedia	</v>
      <v xml:space="preserve">CC BY-SA 3.0	</v>
      <v xml:space="preserve">https://en.wikipedia.org/wiki/Lima	</v>
      <v xml:space="preserve">https://creativecommons.org/licenses/by-sa/3.0	</v>
    </spb>
    <spb s="2">
      <v>1174</v>
      <v>1174</v>
      <v>1174</v>
      <v>1174</v>
      <v>1174</v>
      <v>1174</v>
      <v>1174</v>
      <v>1174</v>
      <v>1174</v>
      <v>1174</v>
    </spb>
    <spb s="1">
      <v xml:space="preserve">Wikipedia	Cia	travel.state.gov	</v>
      <v xml:space="preserve">CC-BY-SA			</v>
      <v xml:space="preserve">http://en.wikipedia.org/wiki/Peru	https://www.cia.gov/library/publications/the-world-factbook/geos/pe.html?Transportation	https://travel.state.gov/content/travel/en/international-travel/International-Travel-Country-Information-Pages/Peru.html	</v>
      <v xml:space="preserve">http://creativecommons.org/licenses/by-sa/3.0/			</v>
    </spb>
    <spb s="1">
      <v xml:space="preserve">Wikipedia	</v>
      <v xml:space="preserve">CC BY-SA 3.0	</v>
      <v xml:space="preserve">https://en.wikipedia.org/wiki/Peru	</v>
      <v xml:space="preserve">https://creativecommons.org/licenses/by-sa/3.0	</v>
    </spb>
    <spb s="1">
      <v xml:space="preserve">Wikipedia	</v>
      <v xml:space="preserve">CC-BY-SA	</v>
      <v xml:space="preserve">http://en.wikipedia.org/wiki/Peru	</v>
      <v xml:space="preserve">http://creativecommons.org/licenses/by-sa/3.0/	</v>
    </spb>
    <spb s="1">
      <v xml:space="preserve">Cia	</v>
      <v xml:space="preserve">	</v>
      <v xml:space="preserve">https://www.cia.gov/library/publications/the-world-factbook/geos/pe.html?Transportation	</v>
      <v xml:space="preserve">	</v>
    </spb>
    <spb s="14">
      <v>10</v>
      <v>1176</v>
      <v>1177</v>
      <v>1177</v>
      <v>13</v>
      <v>1177</v>
      <v>1177</v>
      <v>1177</v>
      <v>1178</v>
      <v>1177</v>
      <v>1177</v>
      <v>1178</v>
      <v>1177</v>
      <v>1177</v>
      <v>1179</v>
      <v>16</v>
      <v>1176</v>
      <v>1179</v>
      <v>17</v>
      <v>1177</v>
      <v>1179</v>
      <v>18</v>
      <v>19</v>
      <v>20</v>
      <v>1179</v>
      <v>1179</v>
      <v>1177</v>
      <v>1179</v>
      <v>21</v>
      <v>22</v>
      <v>23</v>
      <v>44</v>
      <v>1179</v>
      <v>1176</v>
      <v>1179</v>
      <v>1179</v>
      <v>1179</v>
      <v>1179</v>
      <v>1179</v>
      <v>1179</v>
      <v>1179</v>
      <v>1179</v>
      <v>1179</v>
      <v>1179</v>
      <v>24</v>
    </spb>
    <spb s="15">
      <v>2019</v>
      <v>2019</v>
      <v>square km</v>
      <v>per thousand (2018)</v>
      <v>2022</v>
      <v>2019</v>
      <v>2018</v>
      <v>per liter (2016)</v>
      <v>2019</v>
      <v>years (2018)</v>
      <v>2018</v>
      <v>per thousand (2018)</v>
      <v>2019</v>
      <v>2017</v>
      <v>2016</v>
      <v>2019</v>
      <v>2016</v>
      <v>2016</v>
      <v>kilotons per year (2016)</v>
      <v>deaths per 100,000 (2017)</v>
      <v>kWh (2014)</v>
      <v>2014</v>
      <v>2019</v>
      <v>2018</v>
      <v>2018</v>
      <v>2018</v>
      <v>2018</v>
      <v>2018</v>
      <v>2015</v>
      <v>2018</v>
      <v>2018</v>
      <v>2018</v>
      <v>2017</v>
      <v>2019</v>
    </spb>
    <spb s="1">
      <v xml:space="preserve">Wikipedia	</v>
      <v xml:space="preserve">CC BY-SA 3.0	</v>
      <v xml:space="preserve">https://en.wikipedia.org/wiki/Manila	</v>
      <v xml:space="preserve">https://creativecommons.org/licenses/by-sa/3.0	</v>
    </spb>
    <spb s="11">
      <v>1182</v>
      <v>1182</v>
      <v>1182</v>
      <v>1182</v>
      <v>1182</v>
      <v>1182</v>
      <v>1182</v>
      <v>1182</v>
      <v>1182</v>
    </spb>
    <spb s="1">
      <v xml:space="preserve">Wikipedia	Cia	travel.state.gov	</v>
      <v xml:space="preserve">CC-BY-SA			</v>
      <v xml:space="preserve">http://en.wikipedia.org/wiki/Philippines	https://www.cia.gov/library/publications/the-world-factbook/geos/rp.html?Transportation	https://travel.state.gov/content/travel/en/international-travel/International-Travel-Country-Information-Pages/Philippines.html	</v>
      <v xml:space="preserve">http://creativecommons.org/licenses/by-sa/3.0/			</v>
    </spb>
    <spb s="1">
      <v xml:space="preserve">Wikipedia	</v>
      <v xml:space="preserve">CC BY-SA 3.0	</v>
      <v xml:space="preserve">https://en.wikipedia.org/wiki/Philippines	</v>
      <v xml:space="preserve">https://creativecommons.org/licenses/by-sa/3.0	</v>
    </spb>
    <spb s="1">
      <v xml:space="preserve">Wikipedia	</v>
      <v xml:space="preserve">CC-BY-SA	</v>
      <v xml:space="preserve">http://en.wikipedia.org/wiki/Philippines	</v>
      <v xml:space="preserve">http://creativecommons.org/licenses/by-sa/3.0/	</v>
    </spb>
    <spb s="1">
      <v xml:space="preserve">Cia	</v>
      <v xml:space="preserve">	</v>
      <v xml:space="preserve">https://www.cia.gov/library/publications/the-world-factbook/geos/rp.html?Transportation	</v>
      <v xml:space="preserve">	</v>
    </spb>
    <spb s="14">
      <v>10</v>
      <v>1184</v>
      <v>1185</v>
      <v>1185</v>
      <v>13</v>
      <v>1185</v>
      <v>1185</v>
      <v>1185</v>
      <v>1186</v>
      <v>1185</v>
      <v>1185</v>
      <v>1186</v>
      <v>1185</v>
      <v>1185</v>
      <v>1187</v>
      <v>16</v>
      <v>1184</v>
      <v>1187</v>
      <v>17</v>
      <v>1185</v>
      <v>1187</v>
      <v>18</v>
      <v>19</v>
      <v>20</v>
      <v>1187</v>
      <v>1187</v>
      <v>1185</v>
      <v>1187</v>
      <v>21</v>
      <v>22</v>
      <v>23</v>
      <v>44</v>
      <v>1187</v>
      <v>1184</v>
      <v>1187</v>
      <v>1187</v>
      <v>1187</v>
      <v>1187</v>
      <v>1187</v>
      <v>1187</v>
      <v>1187</v>
      <v>1187</v>
      <v>1187</v>
      <v>1187</v>
      <v>24</v>
    </spb>
    <spb s="15">
      <v>2019</v>
      <v>2019</v>
      <v>square km</v>
      <v>per thousand (2018)</v>
      <v>2022</v>
      <v>2019</v>
      <v>2018</v>
      <v>per liter (2016)</v>
      <v>2019</v>
      <v>years (2018)</v>
      <v>2018</v>
      <v>per thousand (2018)</v>
      <v>2019</v>
      <v>2017</v>
      <v>2016</v>
      <v>2019</v>
      <v>2016</v>
      <v>2017</v>
      <v>kilotons per year (2016)</v>
      <v>deaths per 100,000 (2017)</v>
      <v>kWh (2014)</v>
      <v>2014</v>
      <v>2019</v>
      <v>2015</v>
      <v>2015</v>
      <v>2015</v>
      <v>2015</v>
      <v>2015</v>
      <v>2015</v>
      <v>2015</v>
      <v>2015</v>
      <v>2017</v>
      <v>2017</v>
      <v>2019</v>
    </spb>
    <spb s="1">
      <v xml:space="preserve">Wikipedia	</v>
      <v xml:space="preserve">CC BY-SA 3.0	</v>
      <v xml:space="preserve">https://en.wikipedia.org/wiki/Warsaw	</v>
      <v xml:space="preserve">https://creativecommons.org/licenses/by-sa/3.0	</v>
    </spb>
    <spb s="11">
      <v>1190</v>
      <v>1190</v>
      <v>1190</v>
      <v>1190</v>
      <v>1190</v>
      <v>1190</v>
      <v>1190</v>
      <v>1190</v>
      <v>1190</v>
    </spb>
    <spb s="1">
      <v xml:space="preserve">Wikipedia	Cia	travel.state.gov	</v>
      <v xml:space="preserve">CC-BY-SA			</v>
      <v xml:space="preserve">http://en.wikipedia.org/wiki/Poland	https://www.cia.gov/library/publications/the-world-factbook/geos/pl.html?Transportation	https://travel.state.gov/content/travel/en/international-travel/International-Travel-Country-Information-Pages/Poland.html	</v>
      <v xml:space="preserve">http://creativecommons.org/licenses/by-sa/3.0/			</v>
    </spb>
    <spb s="1">
      <v xml:space="preserve">Wikipedia	</v>
      <v xml:space="preserve">CC BY-SA 3.0	</v>
      <v xml:space="preserve">https://en.wikipedia.org/wiki/Poland	</v>
      <v xml:space="preserve">https://creativecommons.org/licenses/by-sa/3.0	</v>
    </spb>
    <spb s="1">
      <v xml:space="preserve">Wikipedia	</v>
      <v xml:space="preserve">CC-BY-SA	</v>
      <v xml:space="preserve">http://en.wikipedia.org/wiki/Poland	</v>
      <v xml:space="preserve">http://creativecommons.org/licenses/by-sa/3.0/	</v>
    </spb>
    <spb s="1">
      <v xml:space="preserve">Cia	</v>
      <v xml:space="preserve">	</v>
      <v xml:space="preserve">https://www.cia.gov/library/publications/the-world-factbook/geos/pl.html?Transportation	</v>
      <v xml:space="preserve">	</v>
    </spb>
    <spb s="14">
      <v>10</v>
      <v>1192</v>
      <v>1193</v>
      <v>1193</v>
      <v>13</v>
      <v>1193</v>
      <v>1193</v>
      <v>1193</v>
      <v>1194</v>
      <v>1193</v>
      <v>1193</v>
      <v>1194</v>
      <v>1193</v>
      <v>1193</v>
      <v>1195</v>
      <v>16</v>
      <v>1192</v>
      <v>1195</v>
      <v>17</v>
      <v>1193</v>
      <v>1195</v>
      <v>18</v>
      <v>19</v>
      <v>20</v>
      <v>1195</v>
      <v>1195</v>
      <v>1193</v>
      <v>1195</v>
      <v>21</v>
      <v>22</v>
      <v>23</v>
      <v>44</v>
      <v>1195</v>
      <v>1192</v>
      <v>1195</v>
      <v>1195</v>
      <v>1195</v>
      <v>1195</v>
      <v>1195</v>
      <v>1195</v>
      <v>1195</v>
      <v>1195</v>
      <v>1195</v>
      <v>1195</v>
      <v>24</v>
    </spb>
    <spb s="1">
      <v xml:space="preserve">Wikipedia	</v>
      <v xml:space="preserve">CC BY-SA 3.0	</v>
      <v xml:space="preserve">https://en.wikipedia.org/wiki/Lisbon	</v>
      <v xml:space="preserve">https://creativecommons.org/licenses/by-sa/3.0	</v>
    </spb>
    <spb s="110">
      <v>1197</v>
      <v>1197</v>
      <v>1197</v>
      <v>1197</v>
      <v>1197</v>
      <v>1197</v>
      <v>1197</v>
    </spb>
    <spb s="3">
      <v>75</v>
      <v>Name</v>
      <v>LearnMoreOnLink</v>
    </spb>
    <spb s="1">
      <v xml:space="preserve">Wikipedia	Cia	travel.state.gov	</v>
      <v xml:space="preserve">CC-BY-SA			</v>
      <v xml:space="preserve">http://en.wikipedia.org/wiki/Portugal	https://www.cia.gov/library/publications/the-world-factbook/geos/po.html?Transportation	https://travel.state.gov/content/travel/en/international-travel/International-Travel-Country-Information-Pages/Portugal.html	</v>
      <v xml:space="preserve">http://creativecommons.org/licenses/by-sa/3.0/			</v>
    </spb>
    <spb s="1">
      <v xml:space="preserve">Wikipedia	</v>
      <v xml:space="preserve">CC BY-SA 3.0	</v>
      <v xml:space="preserve">https://en.wikipedia.org/wiki/Portugal	</v>
      <v xml:space="preserve">https://creativecommons.org/licenses/by-sa/3.0	</v>
    </spb>
    <spb s="1">
      <v xml:space="preserve">Wikipedia	</v>
      <v xml:space="preserve">CC-BY-SA	</v>
      <v xml:space="preserve">http://en.wikipedia.org/wiki/Portugal	</v>
      <v xml:space="preserve">http://creativecommons.org/licenses/by-sa/3.0/	</v>
    </spb>
    <spb s="1">
      <v xml:space="preserve">Cia	</v>
      <v xml:space="preserve">	</v>
      <v xml:space="preserve">https://www.cia.gov/library/publications/the-world-factbook/geos/po.html?Transportation	</v>
      <v xml:space="preserve">	</v>
    </spb>
    <spb s="14">
      <v>10</v>
      <v>1200</v>
      <v>1201</v>
      <v>1201</v>
      <v>13</v>
      <v>1201</v>
      <v>1201</v>
      <v>1201</v>
      <v>1202</v>
      <v>1201</v>
      <v>1201</v>
      <v>1202</v>
      <v>1201</v>
      <v>1201</v>
      <v>1203</v>
      <v>16</v>
      <v>1200</v>
      <v>1203</v>
      <v>17</v>
      <v>1201</v>
      <v>1203</v>
      <v>18</v>
      <v>19</v>
      <v>20</v>
      <v>1203</v>
      <v>1203</v>
      <v>1201</v>
      <v>1203</v>
      <v>21</v>
      <v>22</v>
      <v>23</v>
      <v>44</v>
      <v>1203</v>
      <v>1200</v>
      <v>1203</v>
      <v>1203</v>
      <v>1203</v>
      <v>1203</v>
      <v>1203</v>
      <v>1203</v>
      <v>1203</v>
      <v>1203</v>
      <v>1203</v>
      <v>1203</v>
      <v>24</v>
    </spb>
    <spb s="1">
      <v xml:space="preserve">Wikipedia	</v>
      <v xml:space="preserve">CC-BY-SA	</v>
      <v xml:space="preserve">http://en.wikipedia.org/wiki/Doha	</v>
      <v xml:space="preserve">http://creativecommons.org/licenses/by-sa/3.0/	</v>
    </spb>
    <spb s="1">
      <v xml:space="preserve">Wikipedia	</v>
      <v xml:space="preserve">CC BY-SA 3.0	</v>
      <v xml:space="preserve">https://en.wikipedia.org/wiki/Doha	</v>
      <v xml:space="preserve">https://creativecommons.org/licenses/by-sa/3.0	</v>
    </spb>
    <spb s="16">
      <v>1205</v>
      <v>1206</v>
      <v>1206</v>
      <v>1206</v>
      <v>1206</v>
      <v>1205</v>
      <v>1206</v>
    </spb>
    <spb s="3">
      <v>76</v>
      <v>Name</v>
      <v>LearnMoreOnLink</v>
    </spb>
    <spb s="1">
      <v xml:space="preserve">Wikipedia	Cia	travel.state.gov	</v>
      <v xml:space="preserve">CC-BY-SA			</v>
      <v xml:space="preserve">http://en.wikipedia.org/wiki/Qatar	https://www.cia.gov/library/publications/the-world-factbook/geos/qa.html?Transportation	https://travel.state.gov/content/travel/en/international-travel/International-Travel-Country-Information-Pages/Qatar.html	</v>
      <v xml:space="preserve">http://creativecommons.org/licenses/by-sa/3.0/			</v>
    </spb>
    <spb s="1">
      <v xml:space="preserve">Wikipedia	</v>
      <v xml:space="preserve">CC BY-SA 3.0	</v>
      <v xml:space="preserve">https://en.wikipedia.org/wiki/Qatar	</v>
      <v xml:space="preserve">https://creativecommons.org/licenses/by-sa/3.0	</v>
    </spb>
    <spb s="1">
      <v xml:space="preserve">Wikipedia	</v>
      <v xml:space="preserve">CC-BY-SA	</v>
      <v xml:space="preserve">http://en.wikipedia.org/wiki/Qatar	</v>
      <v xml:space="preserve">http://creativecommons.org/licenses/by-sa/3.0/	</v>
    </spb>
    <spb s="1">
      <v xml:space="preserve">Cia	</v>
      <v xml:space="preserve">	</v>
      <v xml:space="preserve">https://www.cia.gov/library/publications/the-world-factbook/geos/qa.html?Transportation	</v>
      <v xml:space="preserve">	</v>
    </spb>
    <spb s="111">
      <v>10</v>
      <v>1209</v>
      <v>1210</v>
      <v>1210</v>
      <v>13</v>
      <v>1210</v>
      <v>1210</v>
      <v>1210</v>
      <v>1211</v>
      <v>1210</v>
      <v>1210</v>
      <v>1210</v>
      <v>1210</v>
      <v>1212</v>
      <v>16</v>
      <v>1209</v>
      <v>1212</v>
      <v>17</v>
      <v>1210</v>
      <v>1212</v>
      <v>18</v>
      <v>19</v>
      <v>20</v>
      <v>1212</v>
      <v>1212</v>
      <v>1210</v>
      <v>1212</v>
      <v>21</v>
      <v>22</v>
      <v>23</v>
      <v>44</v>
      <v>1212</v>
      <v>1209</v>
      <v>1212</v>
      <v>1212</v>
      <v>1212</v>
      <v>24</v>
    </spb>
    <spb s="3">
      <v>77</v>
      <v>Name</v>
      <v>LearnMoreOnLink</v>
    </spb>
    <spb s="82">
      <v>2019</v>
      <v>2019</v>
      <v>square km</v>
      <v>per thousand (2018)</v>
      <v>2022</v>
      <v>2019</v>
      <v>2018</v>
      <v>per liter (2016)</v>
      <v>2019</v>
      <v>years (2018)</v>
      <v>2010</v>
      <v>per thousand (2018)</v>
      <v>2019</v>
      <v>2017</v>
      <v>2016</v>
      <v>2019</v>
      <v>2016</v>
      <v>2018</v>
      <v>kilotons per year (2016)</v>
      <v>deaths per 100,000 (2017)</v>
      <v>kWh (2014)</v>
      <v>2014</v>
      <v>2019</v>
      <v>2015</v>
      <v>2018</v>
      <v>2018</v>
      <v>2019</v>
    </spb>
    <spb s="1">
      <v xml:space="preserve">Wikipedia	</v>
      <v xml:space="preserve">CC BY-SA 3.0	</v>
      <v xml:space="preserve">https://en.wikipedia.org/wiki/Bucharest	</v>
      <v xml:space="preserve">https://creativecommons.org/licenses/by-sa/3.0	</v>
    </spb>
    <spb s="1">
      <v xml:space="preserve">Wikipedia	</v>
      <v xml:space="preserve">CC-BY-SA	</v>
      <v xml:space="preserve">http://en.wikipedia.org/wiki/Bucharest	</v>
      <v xml:space="preserve">http://creativecommons.org/licenses/by-sa/3.0/	</v>
    </spb>
    <spb s="16">
      <v>1216</v>
      <v>1216</v>
      <v>1216</v>
      <v>1216</v>
      <v>1216</v>
      <v>1217</v>
      <v>1216</v>
    </spb>
    <spb s="1">
      <v xml:space="preserve">Wikipedia	</v>
      <v xml:space="preserve">CC BY-SA 3.0	</v>
      <v xml:space="preserve">https://en.wikipedia.org/wiki/Moscow	</v>
      <v xml:space="preserve">https://creativecommons.org/licenses/by-sa/3.0	</v>
    </spb>
    <spb s="1">
      <v xml:space="preserve">Wikipedia	</v>
      <v xml:space="preserve">CC-BY-SA	</v>
      <v xml:space="preserve">http://en.wikipedia.org/wiki/Moscow	</v>
      <v xml:space="preserve">http://creativecommons.org/licenses/by-sa/3.0/	</v>
    </spb>
    <spb s="16">
      <v>1219</v>
      <v>1219</v>
      <v>1219</v>
      <v>1219</v>
      <v>1219</v>
      <v>1220</v>
      <v>1219</v>
    </spb>
    <spb s="1">
      <v xml:space="preserve">Wikipedia	Cia	travel.state.gov	</v>
      <v xml:space="preserve">CC-BY-SA			</v>
      <v xml:space="preserve">http://en.wikipedia.org/wiki/Russia	https://www.cia.gov/library/publications/the-world-factbook/geos/rs.html?Transportation	https://travel.state.gov/content/travel/en/international-travel/International-Travel-Country-Information-Pages/RussianFederation.html	</v>
      <v xml:space="preserve">http://creativecommons.org/licenses/by-sa/3.0/			</v>
    </spb>
    <spb s="1">
      <v xml:space="preserve">Wikipedia	</v>
      <v xml:space="preserve">CC BY-SA 3.0	</v>
      <v xml:space="preserve">https://en.wikipedia.org/wiki/Russia	</v>
      <v xml:space="preserve">https://creativecommons.org/licenses/by-sa/3.0	</v>
    </spb>
    <spb s="1">
      <v xml:space="preserve">Wikipedia	</v>
      <v xml:space="preserve">CC-BY-SA	</v>
      <v xml:space="preserve">http://en.wikipedia.org/wiki/Russia	</v>
      <v xml:space="preserve">http://creativecommons.org/licenses/by-sa/3.0/	</v>
    </spb>
    <spb s="1">
      <v xml:space="preserve">Cia	</v>
      <v xml:space="preserve">	</v>
      <v xml:space="preserve">https://www.cia.gov/library/publications/the-world-factbook/geos/rs.html?Transportation	</v>
      <v xml:space="preserve">	</v>
    </spb>
    <spb s="14">
      <v>10</v>
      <v>1222</v>
      <v>1223</v>
      <v>1223</v>
      <v>13</v>
      <v>1223</v>
      <v>1223</v>
      <v>1223</v>
      <v>1224</v>
      <v>1223</v>
      <v>1223</v>
      <v>1224</v>
      <v>1223</v>
      <v>1223</v>
      <v>1225</v>
      <v>16</v>
      <v>1222</v>
      <v>1225</v>
      <v>17</v>
      <v>1223</v>
      <v>1225</v>
      <v>18</v>
      <v>19</v>
      <v>20</v>
      <v>1225</v>
      <v>1225</v>
      <v>1223</v>
      <v>1225</v>
      <v>21</v>
      <v>22</v>
      <v>23</v>
      <v>44</v>
      <v>1225</v>
      <v>1222</v>
      <v>1225</v>
      <v>1225</v>
      <v>1225</v>
      <v>1225</v>
      <v>1225</v>
      <v>1225</v>
      <v>1225</v>
      <v>1225</v>
      <v>1225</v>
      <v>1225</v>
      <v>24</v>
    </spb>
    <spb s="15">
      <v>2019</v>
      <v>2019</v>
      <v>square km</v>
      <v>per thousand (2018)</v>
      <v>2022</v>
      <v>2019</v>
      <v>2018</v>
      <v>per liter (2016)</v>
      <v>2019</v>
      <v>years (2018)</v>
      <v>2018</v>
      <v>per thousand (2018)</v>
      <v>2019</v>
      <v>2017</v>
      <v>2016</v>
      <v>2019</v>
      <v>2016</v>
      <v>2016</v>
      <v>kilotons per year (2016)</v>
      <v>deaths per 100,000 (2017)</v>
      <v>kWh (2014)</v>
      <v>2014</v>
      <v>2018</v>
      <v>2018</v>
      <v>2018</v>
      <v>2018</v>
      <v>2018</v>
      <v>2018</v>
      <v>2015</v>
      <v>2018</v>
      <v>2018</v>
      <v>2017</v>
      <v>2017</v>
      <v>2019</v>
    </spb>
    <spb s="1">
      <v xml:space="preserve">Wikipedia	</v>
      <v xml:space="preserve">CC BY-SA 3.0	</v>
      <v xml:space="preserve">https://en.wikipedia.org/wiki/Kigali	</v>
      <v xml:space="preserve">https://creativecommons.org/licenses/by-sa/3.0	</v>
    </spb>
    <spb s="1">
      <v xml:space="preserve">Wikipedia	</v>
      <v xml:space="preserve">CC-BY-SA	</v>
      <v xml:space="preserve">http://en.wikipedia.org/wiki/Kigali	</v>
      <v xml:space="preserve">http://creativecommons.org/licenses/by-sa/3.0/	</v>
    </spb>
    <spb s="16">
      <v>1228</v>
      <v>1228</v>
      <v>1228</v>
      <v>1228</v>
      <v>1228</v>
      <v>1229</v>
      <v>1228</v>
    </spb>
    <spb s="1">
      <v xml:space="preserve">Wikipedia	Cia	travel.state.gov	</v>
      <v xml:space="preserve">CC-BY-SA			</v>
      <v xml:space="preserve">http://en.wikipedia.org/wiki/Rwanda	https://www.cia.gov/library/publications/the-world-factbook/geos/rw.html?Transportation	https://travel.state.gov/content/travel/en/international-travel/International-Travel-Country-Information-Pages/Rwanda.html	</v>
      <v xml:space="preserve">http://creativecommons.org/licenses/by-sa/3.0/			</v>
    </spb>
    <spb s="1">
      <v xml:space="preserve">Wikipedia	</v>
      <v xml:space="preserve">CC BY-SA 3.0	</v>
      <v xml:space="preserve">https://en.wikipedia.org/wiki/Rwanda	</v>
      <v xml:space="preserve">https://creativecommons.org/licenses/by-sa/3.0	</v>
    </spb>
    <spb s="1">
      <v xml:space="preserve">Wikipedia	</v>
      <v xml:space="preserve">CC-BY-SA	</v>
      <v xml:space="preserve">http://en.wikipedia.org/wiki/Rwanda	</v>
      <v xml:space="preserve">http://creativecommons.org/licenses/by-sa/3.0/	</v>
    </spb>
    <spb s="1">
      <v xml:space="preserve">Cia	</v>
      <v xml:space="preserve">	</v>
      <v xml:space="preserve">https://www.cia.gov/library/publications/the-world-factbook/geos/rw.html?Transportation	</v>
      <v xml:space="preserve">	</v>
    </spb>
    <spb s="112">
      <v>10</v>
      <v>1231</v>
      <v>1232</v>
      <v>1232</v>
      <v>13</v>
      <v>1232</v>
      <v>1232</v>
      <v>1232</v>
      <v>1233</v>
      <v>1232</v>
      <v>1232</v>
      <v>1232</v>
      <v>1232</v>
      <v>1234</v>
      <v>16</v>
      <v>1231</v>
      <v>1234</v>
      <v>17</v>
      <v>1232</v>
      <v>1234</v>
      <v>18</v>
      <v>19</v>
      <v>20</v>
      <v>1234</v>
      <v>1234</v>
      <v>1232</v>
      <v>1234</v>
      <v>21</v>
      <v>22</v>
      <v>23</v>
      <v>1231</v>
      <v>1234</v>
      <v>1234</v>
      <v>1234</v>
      <v>1234</v>
      <v>1234</v>
      <v>1234</v>
      <v>1234</v>
      <v>1234</v>
      <v>1234</v>
      <v>1234</v>
      <v>24</v>
    </spb>
    <spb s="3">
      <v>78</v>
      <v>Name</v>
      <v>LearnMoreOnLink</v>
    </spb>
    <spb s="109">
      <v>2019</v>
      <v>2019</v>
      <v>square km</v>
      <v>per thousand (2018)</v>
      <v>2022</v>
      <v>2019</v>
      <v>2018</v>
      <v>per liter (2016)</v>
      <v>2019</v>
      <v>years (2018)</v>
      <v>2018</v>
      <v>per thousand (2018)</v>
      <v>2019</v>
      <v>2017</v>
      <v>2016</v>
      <v>2019</v>
      <v>2016</v>
      <v>2018</v>
      <v>kilotons per year (2016)</v>
      <v>deaths per 100,000 (2017)</v>
      <v>2019</v>
      <v>2016</v>
      <v>2016</v>
      <v>2016</v>
      <v>2016</v>
      <v>2016</v>
      <v>2015</v>
      <v>2016</v>
      <v>2016</v>
      <v>2018</v>
      <v>2018</v>
      <v>2019</v>
    </spb>
    <spb s="1">
      <v xml:space="preserve">Wikipedia	</v>
      <v xml:space="preserve">CC-BY-SA	</v>
      <v xml:space="preserve">http://en.wikipedia.org/wiki/Basseterre	</v>
      <v xml:space="preserve">http://creativecommons.org/licenses/by-sa/3.0/	</v>
    </spb>
    <spb s="1">
      <v xml:space="preserve">Wikipedia	</v>
      <v xml:space="preserve">CC BY-SA 3.0	</v>
      <v xml:space="preserve">https://en.wikipedia.org/wiki/Basseterre	</v>
      <v xml:space="preserve">https://creativecommons.org/licenses/by-sa/3.0	</v>
    </spb>
    <spb s="2">
      <v>1238</v>
      <v>1239</v>
      <v>1239</v>
      <v>1239</v>
      <v>1239</v>
      <v>1239</v>
      <v>1239</v>
      <v>1239</v>
      <v>1239</v>
      <v>1239</v>
    </spb>
    <spb s="1">
      <v xml:space="preserve">Wikipedia	Cia	travel.state.gov	</v>
      <v xml:space="preserve">CC-BY-SA			</v>
      <v xml:space="preserve">http://en.wikipedia.org/wiki/Saint_Kitts_and_Nevis	https://www.cia.gov/library/publications/the-world-factbook/geos/sc.html?Transportation	https://travel.state.gov/content/travel/en/international-travel/International-Travel-Country-Information-Pages/SaintKittsandNevis.html	</v>
      <v xml:space="preserve">http://creativecommons.org/licenses/by-sa/3.0/			</v>
    </spb>
    <spb s="1">
      <v xml:space="preserve">Wikipedia	</v>
      <v xml:space="preserve">CC BY-SA 3.0	</v>
      <v xml:space="preserve">https://en.wikipedia.org/wiki/Saint_Kitts_and_Nevis	</v>
      <v xml:space="preserve">https://creativecommons.org/licenses/by-sa/3.0	</v>
    </spb>
    <spb s="1">
      <v xml:space="preserve">Wikipedia	</v>
      <v xml:space="preserve">CC-BY-SA	</v>
      <v xml:space="preserve">http://en.wikipedia.org/wiki/Saint_Kitts_and_Nevis	</v>
      <v xml:space="preserve">http://creativecommons.org/licenses/by-sa/3.0/	</v>
    </spb>
    <spb s="1">
      <v xml:space="preserve">Cia	</v>
      <v xml:space="preserve">	</v>
      <v xml:space="preserve">https://www.cia.gov/library/publications/the-world-factbook/geos/sc.html?Transportation	</v>
      <v xml:space="preserve">	</v>
    </spb>
    <spb s="57">
      <v>10</v>
      <v>1241</v>
      <v>1242</v>
      <v>1242</v>
      <v>13</v>
      <v>1242</v>
      <v>1242</v>
      <v>1242</v>
      <v>1243</v>
      <v>1242</v>
      <v>1242</v>
      <v>1243</v>
      <v>1242</v>
      <v>1242</v>
      <v>1244</v>
      <v>16</v>
      <v>1244</v>
      <v>17</v>
      <v>1242</v>
      <v>1244</v>
      <v>18</v>
      <v>19</v>
      <v>1244</v>
      <v>1242</v>
      <v>1244</v>
      <v>21</v>
      <v>22</v>
      <v>1244</v>
      <v>1244</v>
      <v>1244</v>
      <v>1244</v>
    </spb>
    <spb s="58">
      <v>2018</v>
      <v>2019</v>
      <v>square km</v>
      <v>per thousand (2014)</v>
      <v>2022</v>
      <v>2018</v>
      <v>2002</v>
      <v>2019</v>
      <v>years (2002)</v>
      <v>2017</v>
      <v>per thousand (2018)</v>
      <v>2019</v>
      <v>2016</v>
      <v>2016</v>
      <v>2015</v>
      <v>kilotons per year (2016)</v>
      <v>2007</v>
      <v>2015</v>
      <v>2016</v>
      <v>2015</v>
    </spb>
    <spb s="1">
      <v xml:space="preserve">Wikipedia	</v>
      <v xml:space="preserve">CC BY-SA 3.0	</v>
      <v xml:space="preserve">https://en.wikipedia.org/wiki/Castries	</v>
      <v xml:space="preserve">https://creativecommons.org/licenses/by-sa/3.0	</v>
    </spb>
    <spb s="11">
      <v>1247</v>
      <v>1247</v>
      <v>1247</v>
      <v>1247</v>
      <v>1247</v>
      <v>1247</v>
      <v>1247</v>
      <v>1247</v>
      <v>1247</v>
    </spb>
    <spb s="1">
      <v xml:space="preserve">Wikipedia	Cia	travel.state.gov	</v>
      <v xml:space="preserve">CC-BY-SA			</v>
      <v xml:space="preserve">http://en.wikipedia.org/wiki/Saint_Lucia	https://www.cia.gov/library/publications/the-world-factbook/geos/st.html?Transportation	https://travel.state.gov/content/travel/en/international-travel/International-Travel-Country-Information-Pages/SaintLucia.html	</v>
      <v xml:space="preserve">http://creativecommons.org/licenses/by-sa/3.0/			</v>
    </spb>
    <spb s="1">
      <v xml:space="preserve">Wikipedia	</v>
      <v xml:space="preserve">CC BY-SA 3.0	</v>
      <v xml:space="preserve">https://en.wikipedia.org/wiki/Saint_Lucia	</v>
      <v xml:space="preserve">https://creativecommons.org/licenses/by-sa/3.0	</v>
    </spb>
    <spb s="1">
      <v xml:space="preserve">Wikipedia	</v>
      <v xml:space="preserve">CC-BY-SA	</v>
      <v xml:space="preserve">http://en.wikipedia.org/wiki/Saint_Lucia	</v>
      <v xml:space="preserve">http://creativecommons.org/licenses/by-sa/3.0/	</v>
    </spb>
    <spb s="1">
      <v xml:space="preserve">Cia	</v>
      <v xml:space="preserve">	</v>
      <v xml:space="preserve">https://www.cia.gov/library/publications/the-world-factbook/geos/st.html?Transportation	</v>
      <v xml:space="preserve">	</v>
    </spb>
    <spb s="113">
      <v>10</v>
      <v>1249</v>
      <v>1250</v>
      <v>1250</v>
      <v>13</v>
      <v>1250</v>
      <v>1250</v>
      <v>1250</v>
      <v>1251</v>
      <v>1250</v>
      <v>1250</v>
      <v>1250</v>
      <v>1250</v>
      <v>1252</v>
      <v>16</v>
      <v>1249</v>
      <v>1252</v>
      <v>17</v>
      <v>1250</v>
      <v>1252</v>
      <v>18</v>
      <v>19</v>
      <v>1252</v>
      <v>1252</v>
      <v>1250</v>
      <v>1252</v>
      <v>21</v>
      <v>22</v>
      <v>23</v>
      <v>1252</v>
      <v>1252</v>
      <v>1252</v>
      <v>1252</v>
      <v>1252</v>
      <v>1252</v>
      <v>1252</v>
      <v>1252</v>
      <v>1252</v>
      <v>1252</v>
      <v>1252</v>
      <v>24</v>
    </spb>
    <spb s="3">
      <v>79</v>
      <v>Name</v>
      <v>LearnMoreOnLink</v>
    </spb>
    <spb s="114">
      <v>2018</v>
      <v>2019</v>
      <v>square km</v>
      <v>per thousand (2018)</v>
      <v>2022</v>
      <v>2018</v>
      <v>2018</v>
      <v>per liter (2014)</v>
      <v>2019</v>
      <v>years (2018)</v>
      <v>2017</v>
      <v>per thousand (2018)</v>
      <v>2019</v>
      <v>2016</v>
      <v>2019</v>
      <v>2016</v>
      <v>2017</v>
      <v>kilotons per year (2016)</v>
      <v>deaths per 100,000 (2017)</v>
      <v>2007</v>
      <v>2016</v>
      <v>2016</v>
      <v>2016</v>
      <v>2016</v>
      <v>2016</v>
      <v>2015</v>
      <v>2016</v>
      <v>2016</v>
      <v>2018</v>
      <v>2018</v>
      <v>2019</v>
    </spb>
    <spb s="1">
      <v xml:space="preserve">Wikipedia	</v>
      <v xml:space="preserve">CC BY-SA 3.0	</v>
      <v xml:space="preserve">https://en.wikipedia.org/wiki/Apia	</v>
      <v xml:space="preserve">https://creativecommons.org/licenses/by-sa/3.0	</v>
    </spb>
    <spb s="11">
      <v>1256</v>
      <v>1256</v>
      <v>1256</v>
      <v>1256</v>
      <v>1256</v>
      <v>1256</v>
      <v>1256</v>
      <v>1256</v>
      <v>1256</v>
    </spb>
    <spb s="1">
      <v xml:space="preserve">Wikipedia	Cia	travel.state.gov	</v>
      <v xml:space="preserve">CC-BY-SA			</v>
      <v xml:space="preserve">http://en.wikipedia.org/wiki/Samoa	https://www.cia.gov/library/publications/the-world-factbook/geos/ws.html?Transportation	https://travel.state.gov/content/travel/en/international-travel/International-Travel-Country-Information-Pages/Samoa.html	</v>
      <v xml:space="preserve">http://creativecommons.org/licenses/by-sa/3.0/			</v>
    </spb>
    <spb s="1">
      <v xml:space="preserve">Wikipedia	</v>
      <v xml:space="preserve">CC BY-SA 3.0	</v>
      <v xml:space="preserve">https://en.wikipedia.org/wiki/Samoa	</v>
      <v xml:space="preserve">https://creativecommons.org/licenses/by-sa/3.0	</v>
    </spb>
    <spb s="1">
      <v xml:space="preserve">Wikipedia	</v>
      <v xml:space="preserve">CC-BY-SA	</v>
      <v xml:space="preserve">http://en.wikipedia.org/wiki/Samoa	</v>
      <v xml:space="preserve">http://creativecommons.org/licenses/by-sa/3.0/	</v>
    </spb>
    <spb s="1">
      <v xml:space="preserve">Cia	</v>
      <v xml:space="preserve">	</v>
      <v xml:space="preserve">https://www.cia.gov/library/publications/the-world-factbook/geos/ws.html?Transportation	</v>
      <v xml:space="preserve">	</v>
    </spb>
    <spb s="115">
      <v>10</v>
      <v>1258</v>
      <v>1259</v>
      <v>1259</v>
      <v>13</v>
      <v>1259</v>
      <v>1259</v>
      <v>1259</v>
      <v>1260</v>
      <v>1259</v>
      <v>1259</v>
      <v>1260</v>
      <v>1259</v>
      <v>1259</v>
      <v>1261</v>
      <v>16</v>
      <v>1258</v>
      <v>1261</v>
      <v>17</v>
      <v>1259</v>
      <v>1261</v>
      <v>18</v>
      <v>19</v>
      <v>1261</v>
      <v>1261</v>
      <v>1259</v>
      <v>1261</v>
      <v>21</v>
      <v>22</v>
      <v>23</v>
      <v>1261</v>
      <v>1261</v>
      <v>1261</v>
      <v>1261</v>
      <v>1261</v>
      <v>1261</v>
      <v>1261</v>
      <v>1261</v>
      <v>1261</v>
      <v>1261</v>
      <v>1261</v>
      <v>24</v>
    </spb>
    <spb s="3">
      <v>80</v>
      <v>Name</v>
      <v>LearnMoreOnLink</v>
    </spb>
    <spb s="114">
      <v>2019</v>
      <v>2019</v>
      <v>square km</v>
      <v>per thousand (2018)</v>
      <v>2022</v>
      <v>2019</v>
      <v>2018</v>
      <v>per liter (2016)</v>
      <v>2019</v>
      <v>years (2018)</v>
      <v>2018</v>
      <v>per thousand (2018)</v>
      <v>2019</v>
      <v>2016</v>
      <v>2019</v>
      <v>2016</v>
      <v>2016</v>
      <v>kilotons per year (2016)</v>
      <v>deaths per 100,000 (2017)</v>
      <v>2007</v>
      <v>2013</v>
      <v>2013</v>
      <v>2013</v>
      <v>2013</v>
      <v>2013</v>
      <v>2015</v>
      <v>2013</v>
      <v>2013</v>
      <v>2018</v>
      <v>2000</v>
      <v>2019</v>
    </spb>
    <spb s="1">
      <v xml:space="preserve">Wikipedia	</v>
      <v xml:space="preserve">CC BY-SA 3.0	</v>
      <v xml:space="preserve">https://en.wikipedia.org/wiki/City_of_San_Marino	</v>
      <v xml:space="preserve">https://creativecommons.org/licenses/by-sa/3.0	</v>
    </spb>
    <spb s="1">
      <v xml:space="preserve">Wikipedia	</v>
      <v xml:space="preserve">CC-BY-SA	</v>
      <v xml:space="preserve">http://en.wikipedia.org/wiki/City_of_San_Marino	</v>
      <v xml:space="preserve">http://creativecommons.org/licenses/by-sa/3.0/	</v>
    </spb>
    <spb s="16">
      <v>1265</v>
      <v>1265</v>
      <v>1265</v>
      <v>1265</v>
      <v>1265</v>
      <v>1266</v>
      <v>1265</v>
    </spb>
    <spb s="3">
      <v>81</v>
      <v>Name</v>
      <v>LearnMoreOnLink</v>
    </spb>
    <spb s="1">
      <v xml:space="preserve">Wikipedia	Cia	</v>
      <v xml:space="preserve">CC-BY-SA		</v>
      <v xml:space="preserve">http://en.wikipedia.org/wiki/San_Marino	https://www.cia.gov/library/publications/the-world-factbook/geos/sm.html?Transportation	</v>
      <v xml:space="preserve">http://creativecommons.org/licenses/by-sa/3.0/		</v>
    </spb>
    <spb s="1">
      <v xml:space="preserve">Wikipedia	</v>
      <v xml:space="preserve">CC BY-SA 3.0	</v>
      <v xml:space="preserve">https://en.wikipedia.org/wiki/San_Marino	</v>
      <v xml:space="preserve">https://creativecommons.org/licenses/by-sa/3.0	</v>
    </spb>
    <spb s="1">
      <v xml:space="preserve">Wikipedia	</v>
      <v xml:space="preserve">CC-BY-SA	</v>
      <v xml:space="preserve">http://en.wikipedia.org/wiki/San_Marino	</v>
      <v xml:space="preserve">http://creativecommons.org/licenses/by-sa/3.0/	</v>
    </spb>
    <spb s="1">
      <v xml:space="preserve">Cia	</v>
      <v xml:space="preserve">	</v>
      <v xml:space="preserve">https://www.cia.gov/library/publications/the-world-factbook/geos/sm.html?Transportation	</v>
      <v xml:space="preserve">	</v>
    </spb>
    <spb s="116">
      <v>10</v>
      <v>1269</v>
      <v>1270</v>
      <v>1270</v>
      <v>13</v>
      <v>1270</v>
      <v>1270</v>
      <v>1270</v>
      <v>1271</v>
      <v>1270</v>
      <v>1270</v>
      <v>1270</v>
      <v>1270</v>
      <v>1272</v>
      <v>16</v>
      <v>1272</v>
      <v>17</v>
      <v>1270</v>
      <v>1272</v>
      <v>18</v>
      <v>19</v>
      <v>1272</v>
      <v>1270</v>
      <v>1272</v>
      <v>21</v>
      <v>1272</v>
      <v>1272</v>
      <v>1272</v>
    </spb>
    <spb s="3">
      <v>82</v>
      <v>Name</v>
      <v>LearnMoreOnLink</v>
    </spb>
    <spb s="117">
      <v>2017</v>
      <v>2018</v>
      <v>square km</v>
      <v>per thousand (2018)</v>
      <v>2022</v>
      <v>2017</v>
      <v>2012</v>
      <v>2019</v>
      <v>years (2012)</v>
      <v>2018</v>
      <v>per thousand (2018)</v>
      <v>2019</v>
      <v>2016</v>
      <v>2016</v>
      <v>2014</v>
      <v>2015</v>
      <v>2018</v>
      <v>2018</v>
    </spb>
    <spb s="1">
      <v xml:space="preserve">Wikipedia	</v>
      <v xml:space="preserve">CC BY-SA 3.0	</v>
      <v xml:space="preserve">https://en.wikipedia.org/wiki/S%C3%A3o_Tom%C3%A9	</v>
      <v xml:space="preserve">https://creativecommons.org/licenses/by-sa/3.0	</v>
    </spb>
    <spb s="11">
      <v>1276</v>
      <v>1276</v>
      <v>1276</v>
      <v>1276</v>
      <v>1276</v>
      <v>1276</v>
      <v>1276</v>
      <v>1276</v>
      <v>1276</v>
    </spb>
    <spb s="1">
      <v xml:space="preserve">Wikipedia	Wikipedia	Cia	travel.state.gov	</v>
      <v xml:space="preserve">CC-BY-SA	CC-BY-SA			</v>
      <v xml:space="preserve">http://en.wikipedia.org/wiki/São_Tomé_and_Príncipe	http://lv.wikipedia.org/wiki/Santome_un_Prinsipi	https://www.cia.gov/library/publications/the-world-factbook/geos/tp.html?Transportation	https://travel.state.gov/content/travel/en/international-travel/International-Travel-Country-Information-Pages/SaoTomeandPrincipe.html	</v>
      <v xml:space="preserve">http://creativecommons.org/licenses/by-sa/3.0/	http://creativecommons.org/licenses/by-sa/3.0/			</v>
    </spb>
    <spb s="1">
      <v xml:space="preserve">Wikipedia	</v>
      <v xml:space="preserve">CC BY-SA 3.0	</v>
      <v xml:space="preserve">https://en.wikipedia.org/wiki/S%C3%A3o_Tom%C3%A9_and_Pr%C3%ADncipe	</v>
      <v xml:space="preserve">https://creativecommons.org/licenses/by-sa/3.0	</v>
    </spb>
    <spb s="1">
      <v xml:space="preserve">Wikipedia	</v>
      <v xml:space="preserve">CC-BY-SA	</v>
      <v xml:space="preserve">http://en.wikipedia.org/wiki/São_Tomé_and_Príncipe	</v>
      <v xml:space="preserve">http://creativecommons.org/licenses/by-sa/3.0/	</v>
    </spb>
    <spb s="1">
      <v xml:space="preserve">Cia	</v>
      <v xml:space="preserve">	</v>
      <v xml:space="preserve">https://www.cia.gov/library/publications/the-world-factbook/geos/tp.html?Transportation	</v>
      <v xml:space="preserve">	</v>
    </spb>
    <spb s="118">
      <v>10</v>
      <v>1278</v>
      <v>1279</v>
      <v>1279</v>
      <v>13</v>
      <v>1279</v>
      <v>1279</v>
      <v>1279</v>
      <v>1280</v>
      <v>1279</v>
      <v>1279</v>
      <v>1279</v>
      <v>1279</v>
      <v>1281</v>
      <v>16</v>
      <v>1281</v>
      <v>17</v>
      <v>1279</v>
      <v>1281</v>
      <v>18</v>
      <v>19</v>
      <v>20</v>
      <v>1281</v>
      <v>1281</v>
      <v>1279</v>
      <v>1281</v>
      <v>21</v>
      <v>22</v>
      <v>23</v>
      <v>1281</v>
      <v>1281</v>
      <v>1281</v>
      <v>1281</v>
      <v>1281</v>
      <v>1281</v>
      <v>1281</v>
      <v>1281</v>
      <v>1281</v>
      <v>1281</v>
      <v>1281</v>
      <v>24</v>
    </spb>
    <spb s="3">
      <v>83</v>
      <v>Name</v>
      <v>LearnMoreOnLink</v>
    </spb>
    <spb s="72">
      <v>2018</v>
      <v>2019</v>
      <v>square km</v>
      <v>per thousand (2018)</v>
      <v>2022</v>
      <v>2018</v>
      <v>2018</v>
      <v>2019</v>
      <v>years (2018)</v>
      <v>2012</v>
      <v>per thousand (2018)</v>
      <v>2019</v>
      <v>1999</v>
      <v>2016</v>
      <v>2019</v>
      <v>2016</v>
      <v>2017</v>
      <v>kilotons per year (2016)</v>
      <v>deaths per 100,000 (2017)</v>
      <v>2007</v>
      <v>2017</v>
      <v>2017</v>
      <v>2017</v>
      <v>2017</v>
      <v>2017</v>
      <v>2015</v>
      <v>2017</v>
      <v>2017</v>
      <v>2017</v>
      <v>2015</v>
      <v>2019</v>
    </spb>
    <spb s="1">
      <v xml:space="preserve">Wikipedia	</v>
      <v xml:space="preserve">CC BY-SA 3.0	</v>
      <v xml:space="preserve">https://en.wikipedia.org/wiki/Riyadh	</v>
      <v xml:space="preserve">https://creativecommons.org/licenses/by-sa/3.0	</v>
    </spb>
    <spb s="11">
      <v>1285</v>
      <v>1285</v>
      <v>1285</v>
      <v>1285</v>
      <v>1285</v>
      <v>1285</v>
      <v>1285</v>
      <v>1285</v>
      <v>1285</v>
    </spb>
    <spb s="1">
      <v xml:space="preserve">Wikipedia	Cia	travel.state.gov	</v>
      <v xml:space="preserve">CC-BY-SA			</v>
      <v xml:space="preserve">http://en.wikipedia.org/wiki/Saudi_Arabia	https://www.cia.gov/library/publications/the-world-factbook/geos/sa.html?Transportation	https://travel.state.gov/content/travel/en/international-travel/International-Travel-Country-Information-Pages/SaudiArabia.html	</v>
      <v xml:space="preserve">http://creativecommons.org/licenses/by-sa/3.0/			</v>
    </spb>
    <spb s="1">
      <v xml:space="preserve">Wikipedia	</v>
      <v xml:space="preserve">CC BY-SA 3.0	</v>
      <v xml:space="preserve">https://en.wikipedia.org/wiki/Saudi_Arabia	</v>
      <v xml:space="preserve">https://creativecommons.org/licenses/by-sa/3.0	</v>
    </spb>
    <spb s="1">
      <v xml:space="preserve">Wikipedia	</v>
      <v xml:space="preserve">CC-BY-SA	</v>
      <v xml:space="preserve">http://en.wikipedia.org/wiki/Saudi_Arabia	</v>
      <v xml:space="preserve">http://creativecommons.org/licenses/by-sa/3.0/	</v>
    </spb>
    <spb s="1">
      <v xml:space="preserve">Cia	</v>
      <v xml:space="preserve">	</v>
      <v xml:space="preserve">https://www.cia.gov/library/publications/the-world-factbook/geos/sa.html?Transportation	</v>
      <v xml:space="preserve">	</v>
    </spb>
    <spb s="81">
      <v>10</v>
      <v>1287</v>
      <v>1288</v>
      <v>1288</v>
      <v>13</v>
      <v>1288</v>
      <v>1288</v>
      <v>1288</v>
      <v>1289</v>
      <v>1288</v>
      <v>1288</v>
      <v>1289</v>
      <v>1288</v>
      <v>1288</v>
      <v>1290</v>
      <v>16</v>
      <v>1287</v>
      <v>1290</v>
      <v>17</v>
      <v>1288</v>
      <v>1290</v>
      <v>18</v>
      <v>19</v>
      <v>20</v>
      <v>1290</v>
      <v>1290</v>
      <v>1288</v>
      <v>1290</v>
      <v>21</v>
      <v>22</v>
      <v>23</v>
      <v>44</v>
      <v>1290</v>
      <v>1287</v>
      <v>1290</v>
      <v>1290</v>
      <v>1290</v>
      <v>24</v>
    </spb>
    <spb s="82">
      <v>2019</v>
      <v>2019</v>
      <v>square km</v>
      <v>per thousand (2018)</v>
      <v>2022</v>
      <v>2019</v>
      <v>2018</v>
      <v>per liter (2016)</v>
      <v>2019</v>
      <v>years (2018)</v>
      <v>2018</v>
      <v>per thousand (2018)</v>
      <v>2019</v>
      <v>2017</v>
      <v>2016</v>
      <v>2019</v>
      <v>2016</v>
      <v>2018</v>
      <v>kilotons per year (2016)</v>
      <v>deaths per 100,000 (2017)</v>
      <v>kWh (2014)</v>
      <v>2014</v>
      <v>2019</v>
      <v>2015</v>
      <v>2018</v>
      <v>2018</v>
      <v>2019</v>
    </spb>
    <spb s="1">
      <v xml:space="preserve">Wikipedia	</v>
      <v xml:space="preserve">CC BY-SA 3.0	</v>
      <v xml:space="preserve">https://en.wikipedia.org/wiki/Dakar	</v>
      <v xml:space="preserve">https://creativecommons.org/licenses/by-sa/3.0	</v>
    </spb>
    <spb s="2">
      <v>1293</v>
      <v>1293</v>
      <v>1293</v>
      <v>1293</v>
      <v>1293</v>
      <v>1293</v>
      <v>1293</v>
      <v>1293</v>
      <v>1293</v>
      <v>1293</v>
    </spb>
    <spb s="1">
      <v xml:space="preserve">Wikipedia	Cia	travel.state.gov	</v>
      <v xml:space="preserve">CC-BY-SA			</v>
      <v xml:space="preserve">http://en.wikipedia.org/wiki/Senegal	https://www.cia.gov/library/publications/the-world-factbook/geos/sg.html?Transportation	https://travel.state.gov/content/travel/en/international-travel/International-Travel-Country-Information-Pages/Senegal.html	</v>
      <v xml:space="preserve">http://creativecommons.org/licenses/by-sa/3.0/			</v>
    </spb>
    <spb s="1">
      <v xml:space="preserve">Wikipedia	</v>
      <v xml:space="preserve">CC BY-SA 3.0	</v>
      <v xml:space="preserve">https://en.wikipedia.org/wiki/Senegal	</v>
      <v xml:space="preserve">https://creativecommons.org/licenses/by-sa/3.0	</v>
    </spb>
    <spb s="1">
      <v xml:space="preserve">Wikipedia	</v>
      <v xml:space="preserve">CC-BY-SA	</v>
      <v xml:space="preserve">http://en.wikipedia.org/wiki/Senegal	</v>
      <v xml:space="preserve">http://creativecommons.org/licenses/by-sa/3.0/	</v>
    </spb>
    <spb s="1">
      <v xml:space="preserve">Cia	</v>
      <v xml:space="preserve">	</v>
      <v xml:space="preserve">https://www.cia.gov/library/publications/the-world-factbook/geos/sg.html?Transportation	</v>
      <v xml:space="preserve">	</v>
    </spb>
    <spb s="12">
      <v>10</v>
      <v>1295</v>
      <v>1296</v>
      <v>1296</v>
      <v>13</v>
      <v>1296</v>
      <v>1296</v>
      <v>1296</v>
      <v>1297</v>
      <v>1296</v>
      <v>1296</v>
      <v>1297</v>
      <v>1296</v>
      <v>1296</v>
      <v>1298</v>
      <v>16</v>
      <v>1295</v>
      <v>1298</v>
      <v>17</v>
      <v>1296</v>
      <v>1298</v>
      <v>18</v>
      <v>19</v>
      <v>20</v>
      <v>1298</v>
      <v>1298</v>
      <v>1296</v>
      <v>1298</v>
      <v>21</v>
      <v>22</v>
      <v>23</v>
      <v>44</v>
      <v>1298</v>
      <v>1298</v>
      <v>1298</v>
      <v>1298</v>
      <v>1298</v>
      <v>1298</v>
      <v>1298</v>
      <v>1298</v>
      <v>1298</v>
      <v>1298</v>
      <v>1298</v>
      <v>24</v>
    </spb>
    <spb s="13">
      <v>2019</v>
      <v>2019</v>
      <v>square km</v>
      <v>per thousand (2018)</v>
      <v>2022</v>
      <v>2019</v>
      <v>2018</v>
      <v>per liter (2016)</v>
      <v>2019</v>
      <v>years (2018)</v>
      <v>2018</v>
      <v>per thousand (2018)</v>
      <v>2019</v>
      <v>2017</v>
      <v>2016</v>
      <v>2019</v>
      <v>2016</v>
      <v>2017</v>
      <v>kilotons per year (2016)</v>
      <v>deaths per 100,000 (2017)</v>
      <v>kWh (2014)</v>
      <v>2014</v>
      <v>2011</v>
      <v>2011</v>
      <v>2011</v>
      <v>2011</v>
      <v>2011</v>
      <v>2015</v>
      <v>2011</v>
      <v>2011</v>
      <v>2018</v>
      <v>2018</v>
      <v>2019</v>
    </spb>
    <spb s="1">
      <v xml:space="preserve">Wikipedia	</v>
      <v xml:space="preserve">CC BY-SA 3.0	</v>
      <v xml:space="preserve">https://en.wikipedia.org/wiki/Belgrade	</v>
      <v xml:space="preserve">https://creativecommons.org/licenses/by-sa/3.0	</v>
    </spb>
    <spb s="1">
      <v xml:space="preserve">Wikipedia	</v>
      <v xml:space="preserve">CC-BY-SA	</v>
      <v xml:space="preserve">http://en.wikipedia.org/wiki/Belgrade	</v>
      <v xml:space="preserve">http://creativecommons.org/licenses/by-sa/3.0/	</v>
    </spb>
    <spb s="16">
      <v>1301</v>
      <v>1301</v>
      <v>1301</v>
      <v>1301</v>
      <v>1301</v>
      <v>1302</v>
      <v>1301</v>
    </spb>
    <spb s="1">
      <v xml:space="preserve">Wikipedia	Cia	</v>
      <v xml:space="preserve">CC-BY-SA		</v>
      <v xml:space="preserve">http://en.wikipedia.org/wiki/Serbia	https://www.cia.gov/library/publications/the-world-factbook/geos/ri.html?Transportation	</v>
      <v xml:space="preserve">http://creativecommons.org/licenses/by-sa/3.0/		</v>
    </spb>
    <spb s="1">
      <v xml:space="preserve">Wikipedia	</v>
      <v xml:space="preserve">CC BY-SA 3.0	</v>
      <v xml:space="preserve">https://en.wikipedia.org/wiki/Serbia	</v>
      <v xml:space="preserve">https://creativecommons.org/licenses/by-sa/3.0	</v>
    </spb>
    <spb s="1">
      <v xml:space="preserve">Wikipedia	</v>
      <v xml:space="preserve">CC-BY-SA	</v>
      <v xml:space="preserve">http://en.wikipedia.org/wiki/Serbia	</v>
      <v xml:space="preserve">http://creativecommons.org/licenses/by-sa/3.0/	</v>
    </spb>
    <spb s="1">
      <v xml:space="preserve">Cia	</v>
      <v xml:space="preserve">	</v>
      <v xml:space="preserve">https://www.cia.gov/library/publications/the-world-factbook/geos/ri.html?Transportation	</v>
      <v xml:space="preserve">	</v>
    </spb>
    <spb s="14">
      <v>10</v>
      <v>1304</v>
      <v>1305</v>
      <v>1305</v>
      <v>13</v>
      <v>1305</v>
      <v>1305</v>
      <v>1305</v>
      <v>1306</v>
      <v>1305</v>
      <v>1305</v>
      <v>1306</v>
      <v>1305</v>
      <v>1305</v>
      <v>1307</v>
      <v>16</v>
      <v>1304</v>
      <v>1307</v>
      <v>17</v>
      <v>1305</v>
      <v>1307</v>
      <v>18</v>
      <v>19</v>
      <v>20</v>
      <v>1307</v>
      <v>1307</v>
      <v>1305</v>
      <v>1307</v>
      <v>21</v>
      <v>22</v>
      <v>23</v>
      <v>44</v>
      <v>1307</v>
      <v>1304</v>
      <v>1307</v>
      <v>1307</v>
      <v>1307</v>
      <v>1307</v>
      <v>1307</v>
      <v>1307</v>
      <v>1307</v>
      <v>1307</v>
      <v>1307</v>
      <v>1307</v>
      <v>24</v>
    </spb>
    <spb s="15">
      <v>2019</v>
      <v>2019</v>
      <v>square km</v>
      <v>per thousand (2018)</v>
      <v>2022</v>
      <v>2019</v>
      <v>2018</v>
      <v>per liter (2016)</v>
      <v>2019</v>
      <v>years (2018)</v>
      <v>2012</v>
      <v>per thousand (2018)</v>
      <v>2019</v>
      <v>2017</v>
      <v>2016</v>
      <v>2019</v>
      <v>2016</v>
      <v>2016</v>
      <v>kilotons per year (2016)</v>
      <v>deaths per 100,000 (2017)</v>
      <v>kWh (2014)</v>
      <v>2014</v>
      <v>2011</v>
      <v>2017</v>
      <v>2017</v>
      <v>2017</v>
      <v>2017</v>
      <v>2017</v>
      <v>2015</v>
      <v>2017</v>
      <v>2017</v>
      <v>2018</v>
      <v>2018</v>
      <v>2019</v>
    </spb>
    <spb s="1">
      <v xml:space="preserve">Wikipedia	</v>
      <v xml:space="preserve">CC BY-SA 3.0	</v>
      <v xml:space="preserve">https://en.wikipedia.org/wiki/Victoria,_Seychelles	</v>
      <v xml:space="preserve">https://creativecommons.org/licenses/by-sa/3.0	</v>
    </spb>
    <spb s="21">
      <v>1310</v>
      <v>1310</v>
      <v>1310</v>
      <v>1310</v>
      <v>1310</v>
      <v>1310</v>
      <v>1310</v>
      <v>1310</v>
    </spb>
    <spb s="1">
      <v xml:space="preserve">Wikipedia	Cia	travel.state.gov	</v>
      <v xml:space="preserve">CC-BY-SA			</v>
      <v xml:space="preserve">http://en.wikipedia.org/wiki/Seychelles	https://www.cia.gov/library/publications/the-world-factbook/geos/se.html?Transportation	https://travel.state.gov/content/travel/en/international-travel/International-Travel-Country-Information-Pages/Seychelles.html	</v>
      <v xml:space="preserve">http://creativecommons.org/licenses/by-sa/3.0/			</v>
    </spb>
    <spb s="1">
      <v xml:space="preserve">Wikipedia	</v>
      <v xml:space="preserve">CC BY-SA 3.0	</v>
      <v xml:space="preserve">https://en.wikipedia.org/wiki/Seychelles	</v>
      <v xml:space="preserve">https://creativecommons.org/licenses/by-sa/3.0	</v>
    </spb>
    <spb s="1">
      <v xml:space="preserve">Wikipedia	</v>
      <v xml:space="preserve">CC-BY-SA	</v>
      <v xml:space="preserve">http://en.wikipedia.org/wiki/Seychelles	</v>
      <v xml:space="preserve">http://creativecommons.org/licenses/by-sa/3.0/	</v>
    </spb>
    <spb s="1">
      <v xml:space="preserve">Cia	</v>
      <v xml:space="preserve">	</v>
      <v xml:space="preserve">https://www.cia.gov/library/publications/the-world-factbook/geos/se.html?Transportation	</v>
      <v xml:space="preserve">	</v>
    </spb>
    <spb s="119">
      <v>10</v>
      <v>1312</v>
      <v>1313</v>
      <v>1313</v>
      <v>13</v>
      <v>1313</v>
      <v>1313</v>
      <v>1313</v>
      <v>1314</v>
      <v>1313</v>
      <v>1313</v>
      <v>1314</v>
      <v>1313</v>
      <v>1313</v>
      <v>1315</v>
      <v>16</v>
      <v>1315</v>
      <v>17</v>
      <v>1313</v>
      <v>1315</v>
      <v>18</v>
      <v>19</v>
      <v>20</v>
      <v>1315</v>
      <v>1313</v>
      <v>1315</v>
      <v>21</v>
      <v>22</v>
      <v>23</v>
      <v>1315</v>
      <v>1312</v>
      <v>1315</v>
      <v>1315</v>
      <v>1315</v>
      <v>1315</v>
      <v>1315</v>
      <v>1315</v>
      <v>1315</v>
      <v>1315</v>
      <v>1315</v>
      <v>1315</v>
    </spb>
    <spb s="3">
      <v>84</v>
      <v>Name</v>
      <v>LearnMoreOnLink</v>
    </spb>
    <spb s="120">
      <v>2019</v>
      <v>2019</v>
      <v>square km</v>
      <v>per thousand (2018)</v>
      <v>2022</v>
      <v>2019</v>
      <v>2018</v>
      <v>2019</v>
      <v>years (2018)</v>
      <v>2018</v>
      <v>per thousand (2018)</v>
      <v>2019</v>
      <v>2017</v>
      <v>2016</v>
      <v>2016</v>
      <v>2016</v>
      <v>kilotons per year (2016)</v>
      <v>deaths per 100,000 (2017)</v>
      <v>2007</v>
      <v>2019</v>
      <v>2013</v>
      <v>2013</v>
      <v>2013</v>
      <v>2013</v>
      <v>2013</v>
      <v>2015</v>
      <v>2013</v>
      <v>2013</v>
      <v>2018</v>
      <v>2018</v>
    </spb>
    <spb s="1">
      <v xml:space="preserve">Wikipedia	</v>
      <v xml:space="preserve">CC-BY-SA	</v>
      <v xml:space="preserve">http://en.wikipedia.org/wiki/Freetown	</v>
      <v xml:space="preserve">http://creativecommons.org/licenses/by-sa/3.0/	</v>
    </spb>
    <spb s="1">
      <v xml:space="preserve">Wikipedia	</v>
      <v xml:space="preserve">CC BY-SA 3.0	</v>
      <v xml:space="preserve">https://en.wikipedia.org/wiki/Freetown	</v>
      <v xml:space="preserve">https://creativecommons.org/licenses/by-sa/3.0	</v>
    </spb>
    <spb s="11">
      <v>1319</v>
      <v>1320</v>
      <v>1320</v>
      <v>1320</v>
      <v>1320</v>
      <v>1320</v>
      <v>1320</v>
      <v>1320</v>
      <v>1320</v>
    </spb>
    <spb s="1">
      <v xml:space="preserve">Wikipedia	Cia	travel.state.gov	</v>
      <v xml:space="preserve">CC-BY-SA			</v>
      <v xml:space="preserve">http://en.wikipedia.org/wiki/Sierra_Leone	https://www.cia.gov/library/publications/the-world-factbook/geos/sl.html?Transportation	https://travel.state.gov/content/travel/en/international-travel/International-Travel-Country-Information-Pages/SierraLeone.html	</v>
      <v xml:space="preserve">http://creativecommons.org/licenses/by-sa/3.0/			</v>
    </spb>
    <spb s="1">
      <v xml:space="preserve">Wikipedia	</v>
      <v xml:space="preserve">CC BY-SA 3.0	</v>
      <v xml:space="preserve">https://en.wikipedia.org/wiki/Sierra_Leone	</v>
      <v xml:space="preserve">https://creativecommons.org/licenses/by-sa/3.0	</v>
    </spb>
    <spb s="1">
      <v xml:space="preserve">Wikipedia	</v>
      <v xml:space="preserve">CC-BY-SA	</v>
      <v xml:space="preserve">http://en.wikipedia.org/wiki/Sierra_Leone	</v>
      <v xml:space="preserve">http://creativecommons.org/licenses/by-sa/3.0/	</v>
    </spb>
    <spb s="1">
      <v xml:space="preserve">Cia	</v>
      <v xml:space="preserve">	</v>
      <v xml:space="preserve">https://www.cia.gov/library/publications/the-world-factbook/geos/sl.html?Transportation	</v>
      <v xml:space="preserve">	</v>
    </spb>
    <spb s="40">
      <v>10</v>
      <v>1322</v>
      <v>1323</v>
      <v>1323</v>
      <v>13</v>
      <v>1323</v>
      <v>1323</v>
      <v>1323</v>
      <v>1324</v>
      <v>1323</v>
      <v>1323</v>
      <v>1324</v>
      <v>1323</v>
      <v>1323</v>
      <v>1325</v>
      <v>16</v>
      <v>1322</v>
      <v>1325</v>
      <v>17</v>
      <v>1323</v>
      <v>1325</v>
      <v>18</v>
      <v>19</v>
      <v>20</v>
      <v>1325</v>
      <v>1325</v>
      <v>1323</v>
      <v>1325</v>
      <v>21</v>
      <v>22</v>
      <v>23</v>
      <v>1325</v>
      <v>1325</v>
      <v>1325</v>
      <v>1325</v>
      <v>1325</v>
      <v>1325</v>
      <v>1325</v>
      <v>1325</v>
      <v>1325</v>
      <v>1325</v>
      <v>24</v>
    </spb>
    <spb s="37">
      <v>2019</v>
      <v>2019</v>
      <v>square km</v>
      <v>per thousand (2018)</v>
      <v>2022</v>
      <v>2019</v>
      <v>2018</v>
      <v>per liter (2016)</v>
      <v>2019</v>
      <v>years (2018)</v>
      <v>2014</v>
      <v>per thousand (2018)</v>
      <v>2019</v>
      <v>2017</v>
      <v>2016</v>
      <v>2019</v>
      <v>2016</v>
      <v>2011</v>
      <v>kilotons per year (2016)</v>
      <v>deaths per 100,000 (2017)</v>
      <v>2018</v>
      <v>2018</v>
      <v>2018</v>
      <v>2018</v>
      <v>2018</v>
      <v>2015</v>
      <v>2018</v>
      <v>2018</v>
      <v>2018</v>
      <v>2002</v>
      <v>2019</v>
    </spb>
    <spb s="1">
      <v xml:space="preserve">Wikipedia	</v>
      <v xml:space="preserve">CC BY-SA 3.0	</v>
      <v xml:space="preserve">https://en.wikipedia.org/wiki/Bratislava	</v>
      <v xml:space="preserve">https://creativecommons.org/licenses/by-sa/3.0	</v>
    </spb>
    <spb s="2">
      <v>1328</v>
      <v>1328</v>
      <v>1328</v>
      <v>1328</v>
      <v>1328</v>
      <v>1328</v>
      <v>1328</v>
      <v>1328</v>
      <v>1328</v>
      <v>1328</v>
    </spb>
    <spb s="1">
      <v xml:space="preserve">Wikipedia	Cia	travel.state.gov	</v>
      <v xml:space="preserve">CC-BY-SA			</v>
      <v xml:space="preserve">http://en.wikipedia.org/wiki/Slovakia	https://www.cia.gov/library/publications/the-world-factbook/geos/lo.html?Transportation	https://travel.state.gov/content/travel/en/international-travel/International-Travel-Country-Information-Pages/Slovakia.html	</v>
      <v xml:space="preserve">http://creativecommons.org/licenses/by-sa/3.0/			</v>
    </spb>
    <spb s="1">
      <v xml:space="preserve">Wikipedia	</v>
      <v xml:space="preserve">CC BY-SA 3.0	</v>
      <v xml:space="preserve">https://en.wikipedia.org/wiki/Slovakia	</v>
      <v xml:space="preserve">https://creativecommons.org/licenses/by-sa/3.0	</v>
    </spb>
    <spb s="1">
      <v xml:space="preserve">Wikipedia	</v>
      <v xml:space="preserve">CC-BY-SA	</v>
      <v xml:space="preserve">http://en.wikipedia.org/wiki/Slovakia	</v>
      <v xml:space="preserve">http://creativecommons.org/licenses/by-sa/3.0/	</v>
    </spb>
    <spb s="1">
      <v xml:space="preserve">Cia	</v>
      <v xml:space="preserve">	</v>
      <v xml:space="preserve">https://www.cia.gov/library/publications/the-world-factbook/geos/lo.html?Transportation	</v>
      <v xml:space="preserve">	</v>
    </spb>
    <spb s="14">
      <v>10</v>
      <v>1330</v>
      <v>1331</v>
      <v>1331</v>
      <v>13</v>
      <v>1331</v>
      <v>1331</v>
      <v>1331</v>
      <v>1332</v>
      <v>1331</v>
      <v>1331</v>
      <v>1332</v>
      <v>1331</v>
      <v>1331</v>
      <v>1333</v>
      <v>16</v>
      <v>1330</v>
      <v>1333</v>
      <v>17</v>
      <v>1331</v>
      <v>1333</v>
      <v>18</v>
      <v>19</v>
      <v>20</v>
      <v>1333</v>
      <v>1333</v>
      <v>1331</v>
      <v>1333</v>
      <v>21</v>
      <v>22</v>
      <v>23</v>
      <v>44</v>
      <v>1333</v>
      <v>1330</v>
      <v>1333</v>
      <v>1333</v>
      <v>1333</v>
      <v>1333</v>
      <v>1333</v>
      <v>1333</v>
      <v>1333</v>
      <v>1333</v>
      <v>1333</v>
      <v>1333</v>
      <v>24</v>
    </spb>
    <spb s="15">
      <v>2019</v>
      <v>2019</v>
      <v>square km</v>
      <v>per thousand (2018)</v>
      <v>2022</v>
      <v>2019</v>
      <v>2018</v>
      <v>per liter (2016)</v>
      <v>2019</v>
      <v>years (2018)</v>
      <v>2018</v>
      <v>per thousand (2018)</v>
      <v>2019</v>
      <v>2017</v>
      <v>2016</v>
      <v>2019</v>
      <v>2016</v>
      <v>2017</v>
      <v>kilotons per year (2016)</v>
      <v>deaths per 100,000 (2017)</v>
      <v>kWh (2014)</v>
      <v>2015</v>
      <v>2013</v>
      <v>2016</v>
      <v>2016</v>
      <v>2016</v>
      <v>2016</v>
      <v>2016</v>
      <v>2015</v>
      <v>2016</v>
      <v>2016</v>
      <v>2017</v>
      <v>2017</v>
      <v>2019</v>
    </spb>
    <spb s="1">
      <v xml:space="preserve">Wikipedia	</v>
      <v xml:space="preserve">CC BY-SA 3.0	</v>
      <v xml:space="preserve">https://en.wikipedia.org/wiki/Ljubljana	</v>
      <v xml:space="preserve">https://creativecommons.org/licenses/by-sa/3.0	</v>
    </spb>
    <spb s="21">
      <v>1336</v>
      <v>1336</v>
      <v>1336</v>
      <v>1336</v>
      <v>1336</v>
      <v>1336</v>
      <v>1336</v>
      <v>1336</v>
    </spb>
    <spb s="1">
      <v xml:space="preserve">Wikipedia	</v>
      <v xml:space="preserve">CC-BY-SA	</v>
      <v xml:space="preserve">http://en.wikipedia.org/wiki/Honiara	</v>
      <v xml:space="preserve">http://creativecommons.org/licenses/by-sa/3.0/	</v>
    </spb>
    <spb s="1">
      <v xml:space="preserve">Wikipedia	</v>
      <v xml:space="preserve">CC BY-SA 3.0	</v>
      <v xml:space="preserve">https://en.wikipedia.org/wiki/Honiara	</v>
      <v xml:space="preserve">https://creativecommons.org/licenses/by-sa/3.0	</v>
    </spb>
    <spb s="16">
      <v>1338</v>
      <v>1339</v>
      <v>1339</v>
      <v>1339</v>
      <v>1339</v>
      <v>1338</v>
      <v>1339</v>
    </spb>
    <spb s="1">
      <v xml:space="preserve">Wikipedia	Cia	travel.state.gov	</v>
      <v xml:space="preserve">CC-BY-SA			</v>
      <v xml:space="preserve">http://en.wikipedia.org/wiki/Solomon_Islands	https://www.cia.gov/library/publications/the-world-factbook/geos/bp.html?Transportation	https://travel.state.gov/content/travel/en/international-travel/International-Travel-Country-Information-Pages/SolomonIslands.html	</v>
      <v xml:space="preserve">http://creativecommons.org/licenses/by-sa/3.0/			</v>
    </spb>
    <spb s="1">
      <v xml:space="preserve">Wikipedia	</v>
      <v xml:space="preserve">CC BY-SA 3.0	</v>
      <v xml:space="preserve">https://en.wikipedia.org/wiki/Solomon_Islands	</v>
      <v xml:space="preserve">https://creativecommons.org/licenses/by-sa/3.0	</v>
    </spb>
    <spb s="1">
      <v xml:space="preserve">Wikipedia	</v>
      <v xml:space="preserve">CC-BY-SA	</v>
      <v xml:space="preserve">http://en.wikipedia.org/wiki/Solomon_Islands	</v>
      <v xml:space="preserve">http://creativecommons.org/licenses/by-sa/3.0/	</v>
    </spb>
    <spb s="1">
      <v xml:space="preserve">Cia	</v>
      <v xml:space="preserve">	</v>
      <v xml:space="preserve">https://www.cia.gov/library/publications/the-world-factbook/geos/bp.html?Transportation	</v>
      <v xml:space="preserve">	</v>
    </spb>
    <spb s="121">
      <v>10</v>
      <v>1341</v>
      <v>1342</v>
      <v>1342</v>
      <v>13</v>
      <v>1342</v>
      <v>1342</v>
      <v>1342</v>
      <v>1343</v>
      <v>1342</v>
      <v>1342</v>
      <v>1343</v>
      <v>1342</v>
      <v>1342</v>
      <v>1344</v>
      <v>16</v>
      <v>1344</v>
      <v>17</v>
      <v>1342</v>
      <v>1344</v>
      <v>18</v>
      <v>19</v>
      <v>1344</v>
      <v>1344</v>
      <v>1342</v>
      <v>1344</v>
      <v>21</v>
      <v>22</v>
      <v>23</v>
      <v>1344</v>
      <v>1344</v>
      <v>1344</v>
      <v>1344</v>
      <v>1344</v>
      <v>1344</v>
      <v>1344</v>
      <v>1344</v>
      <v>1344</v>
      <v>1344</v>
      <v>24</v>
    </spb>
    <spb s="3">
      <v>85</v>
      <v>Name</v>
      <v>LearnMoreOnLink</v>
    </spb>
    <spb s="122">
      <v>2019</v>
      <v>2019</v>
      <v>square km</v>
      <v>per thousand (2018)</v>
      <v>2022</v>
      <v>2019</v>
      <v>2018</v>
      <v>2019</v>
      <v>years (2018)</v>
      <v>2018</v>
      <v>per thousand (2018)</v>
      <v>2019</v>
      <v>2016</v>
      <v>2019</v>
      <v>2016</v>
      <v>2016</v>
      <v>kilotons per year (2016)</v>
      <v>deaths per 100,000 (2017)</v>
      <v>2007</v>
      <v>2013</v>
      <v>2013</v>
      <v>2013</v>
      <v>2013</v>
      <v>2013</v>
      <v>2015</v>
      <v>2013</v>
      <v>2013</v>
      <v>2018</v>
      <v>2019</v>
    </spb>
    <spb s="1">
      <v xml:space="preserve">Wikipedia	</v>
      <v xml:space="preserve">CC BY-SA 3.0	</v>
      <v xml:space="preserve">https://en.wikipedia.org/wiki/Mogadishu	</v>
      <v xml:space="preserve">https://creativecommons.org/licenses/by-sa/3.0	</v>
    </spb>
    <spb s="11">
      <v>1348</v>
      <v>1348</v>
      <v>1348</v>
      <v>1348</v>
      <v>1348</v>
      <v>1348</v>
      <v>1348</v>
      <v>1348</v>
      <v>1348</v>
    </spb>
    <spb s="1">
      <v xml:space="preserve">Wikipedia	Cia	travel.state.gov	</v>
      <v xml:space="preserve">CC-BY-SA			</v>
      <v xml:space="preserve">http://en.wikipedia.org/wiki/Somalia	https://www.cia.gov/library/publications/the-world-factbook/geos/so.html?Transportation	https://travel.state.gov/content/travel/en/international-travel/International-Travel-Country-Information-Pages/Somalia.html	</v>
      <v xml:space="preserve">http://creativecommons.org/licenses/by-sa/3.0/			</v>
    </spb>
    <spb s="1">
      <v xml:space="preserve">Wikipedia	</v>
      <v xml:space="preserve">CC BY-SA 3.0	</v>
      <v xml:space="preserve">https://en.wikipedia.org/wiki/Somalia	</v>
      <v xml:space="preserve">https://creativecommons.org/licenses/by-sa/3.0	</v>
    </spb>
    <spb s="1">
      <v xml:space="preserve">Wikipedia	</v>
      <v xml:space="preserve">CC-BY-SA	</v>
      <v xml:space="preserve">http://en.wikipedia.org/wiki/Somalia	</v>
      <v xml:space="preserve">http://creativecommons.org/licenses/by-sa/3.0/	</v>
    </spb>
    <spb s="1">
      <v xml:space="preserve">Cia	</v>
      <v xml:space="preserve">	</v>
      <v xml:space="preserve">https://www.cia.gov/library/publications/the-world-factbook/geos/so.html?Transportation	</v>
      <v xml:space="preserve">	</v>
    </spb>
    <spb s="123">
      <v>1350</v>
      <v>1351</v>
      <v>1351</v>
      <v>13</v>
      <v>1351</v>
      <v>1351</v>
      <v>1351</v>
      <v>1352</v>
      <v>1351</v>
      <v>1351</v>
      <v>1351</v>
      <v>1351</v>
      <v>16</v>
      <v>1350</v>
      <v>17</v>
      <v>1351</v>
      <v>1353</v>
      <v>18</v>
      <v>19</v>
      <v>20</v>
      <v>1353</v>
      <v>1353</v>
      <v>1351</v>
      <v>1353</v>
      <v>21</v>
      <v>22</v>
      <v>23</v>
      <v>1353</v>
      <v>1353</v>
      <v>24</v>
    </spb>
    <spb s="3">
      <v>86</v>
      <v>Name</v>
      <v>LearnMoreOnLink</v>
    </spb>
    <spb s="124">
      <v>2018</v>
      <v>square km</v>
      <v>per thousand (2018)</v>
      <v>2022</v>
      <v>2018</v>
      <v>per liter (2016)</v>
      <v>years (2018)</v>
      <v>2018</v>
      <v>per thousand (2018)</v>
      <v>2019</v>
      <v>2017</v>
      <v>2016</v>
      <v>2019</v>
      <v>2016</v>
      <v>2014</v>
      <v>kilotons per year (2016)</v>
      <v>deaths per 100,000 (2017)</v>
      <v>2007</v>
      <v>1987</v>
      <v>2019</v>
    </spb>
    <spb s="1">
      <v xml:space="preserve">Wikipedia	</v>
      <v xml:space="preserve">CC BY-SA 3.0	</v>
      <v xml:space="preserve">https://en.wikipedia.org/wiki/Pretoria	</v>
      <v xml:space="preserve">https://creativecommons.org/licenses/by-sa/3.0	</v>
    </spb>
    <spb s="2">
      <v>1357</v>
      <v>1357</v>
      <v>1357</v>
      <v>1357</v>
      <v>1357</v>
      <v>1357</v>
      <v>1357</v>
      <v>1357</v>
      <v>1357</v>
      <v>1357</v>
    </spb>
    <spb s="1">
      <v xml:space="preserve">Wikipedia	Cia	travel.state.gov	</v>
      <v xml:space="preserve">CC-BY-SA			</v>
      <v xml:space="preserve">http://en.wikipedia.org/wiki/South_Africa	https://www.cia.gov/library/publications/the-world-factbook/geos/sf.html?Transportation	https://travel.state.gov/content/travel/en/international-travel/International-Travel-Country-Information-Pages/SouthAfrica.html	</v>
      <v xml:space="preserve">http://creativecommons.org/licenses/by-sa/3.0/			</v>
    </spb>
    <spb s="1">
      <v xml:space="preserve">Wikipedia	</v>
      <v xml:space="preserve">CC BY-SA 3.0	</v>
      <v xml:space="preserve">https://en.wikipedia.org/wiki/South_Africa	</v>
      <v xml:space="preserve">https://creativecommons.org/licenses/by-sa/3.0	</v>
    </spb>
    <spb s="1">
      <v xml:space="preserve">Wikipedia	</v>
      <v xml:space="preserve">CC-BY-SA	</v>
      <v xml:space="preserve">http://en.wikipedia.org/wiki/South_Africa	</v>
      <v xml:space="preserve">http://creativecommons.org/licenses/by-sa/3.0/	</v>
    </spb>
    <spb s="1">
      <v xml:space="preserve">Cia	</v>
      <v xml:space="preserve">	</v>
      <v xml:space="preserve">https://www.cia.gov/library/publications/the-world-factbook/geos/sf.html?Transportation	</v>
      <v xml:space="preserve">	</v>
    </spb>
    <spb s="52">
      <v>10</v>
      <v>1359</v>
      <v>1360</v>
      <v>1360</v>
      <v>13</v>
      <v>1360</v>
      <v>1360</v>
      <v>1360</v>
      <v>1361</v>
      <v>1360</v>
      <v>1360</v>
      <v>1360</v>
      <v>1360</v>
      <v>1362</v>
      <v>16</v>
      <v>1359</v>
      <v>1362</v>
      <v>17</v>
      <v>1360</v>
      <v>1362</v>
      <v>18</v>
      <v>19</v>
      <v>20</v>
      <v>1362</v>
      <v>1362</v>
      <v>1360</v>
      <v>1362</v>
      <v>21</v>
      <v>22</v>
      <v>23</v>
      <v>44</v>
      <v>1362</v>
      <v>1359</v>
      <v>1362</v>
      <v>1362</v>
      <v>1362</v>
      <v>1362</v>
      <v>1362</v>
      <v>1362</v>
      <v>1362</v>
      <v>1362</v>
      <v>1362</v>
      <v>1362</v>
      <v>24</v>
    </spb>
    <spb s="15">
      <v>2019</v>
      <v>2019</v>
      <v>square km</v>
      <v>per thousand (2018)</v>
      <v>2022</v>
      <v>2019</v>
      <v>2018</v>
      <v>per liter (2016)</v>
      <v>2019</v>
      <v>years (2018)</v>
      <v>2018</v>
      <v>per thousand (2018)</v>
      <v>2019</v>
      <v>2017</v>
      <v>2016</v>
      <v>2019</v>
      <v>2016</v>
      <v>2017</v>
      <v>kilotons per year (2016)</v>
      <v>deaths per 100,000 (2017)</v>
      <v>kWh (2014)</v>
      <v>2014</v>
      <v>2019</v>
      <v>2014</v>
      <v>2014</v>
      <v>2014</v>
      <v>2014</v>
      <v>2014</v>
      <v>2015</v>
      <v>2014</v>
      <v>2014</v>
      <v>2017</v>
      <v>2017</v>
      <v>2019</v>
    </spb>
    <spb s="1">
      <v xml:space="preserve">Wikipedia	</v>
      <v xml:space="preserve">CC BY-SA 3.0	</v>
      <v xml:space="preserve">https://en.wikipedia.org/wiki/Seoul	</v>
      <v xml:space="preserve">https://creativecommons.org/licenses/by-sa/3.0	</v>
    </spb>
    <spb s="1">
      <v xml:space="preserve">Kosis	</v>
      <v xml:space="preserve">	</v>
      <v xml:space="preserve">http://kosis.kr/statHtml/statHtml.do?orgId=101&amp;tblId=DT_1IN0001_ENG&amp;conn_path=I2&amp;language=en	</v>
      <v xml:space="preserve">	</v>
    </spb>
    <spb s="1">
      <v xml:space="preserve">Wikipedia	</v>
      <v xml:space="preserve">CC-BY-SA	</v>
      <v xml:space="preserve">http://en.wikipedia.org/wiki/Seoul	</v>
      <v xml:space="preserve">http://creativecommons.org/licenses/by-sa/3.0/	</v>
    </spb>
    <spb s="125">
      <v>1365</v>
      <v>1365</v>
      <v>1366</v>
      <v>1365</v>
      <v>1365</v>
      <v>1365</v>
      <v>1367</v>
      <v>1366</v>
      <v>1365</v>
      <v>1365</v>
    </spb>
    <spb s="3">
      <v>87</v>
      <v>Name</v>
      <v>LearnMoreOnLink</v>
    </spb>
    <spb s="126">
      <v>square km</v>
      <v>2016</v>
      <v>2020</v>
      <v>2016</v>
    </spb>
    <spb s="1">
      <v xml:space="preserve">Wikipedia	</v>
      <v xml:space="preserve">CC BY-SA 3.0	</v>
      <v xml:space="preserve">https://en.wikipedia.org/wiki/Juba	</v>
      <v xml:space="preserve">https://creativecommons.org/licenses/by-sa/3.0	</v>
    </spb>
    <spb s="11">
      <v>1371</v>
      <v>1371</v>
      <v>1371</v>
      <v>1371</v>
      <v>1371</v>
      <v>1371</v>
      <v>1371</v>
      <v>1371</v>
      <v>1371</v>
    </spb>
    <spb s="1">
      <v xml:space="preserve">Wikipedia	Cia	travel.state.gov	</v>
      <v xml:space="preserve">CC-BY-SA			</v>
      <v xml:space="preserve">http://en.wikipedia.org/wiki/South_Sudan	https://www.cia.gov/library/publications/the-world-factbook/geos/od.html?Transportation	https://travel.state.gov/content/travel/en/international-travel/International-Travel-Country-Information-Pages/SouthSudan.html	</v>
      <v xml:space="preserve">http://creativecommons.org/licenses/by-sa/3.0/			</v>
    </spb>
    <spb s="1">
      <v xml:space="preserve">Wikipedia	</v>
      <v xml:space="preserve">CC BY-SA 3.0	</v>
      <v xml:space="preserve">https://en.wikipedia.org/wiki/South_Sudan	</v>
      <v xml:space="preserve">https://creativecommons.org/licenses/by-sa/3.0	</v>
    </spb>
    <spb s="1">
      <v xml:space="preserve">Wikipedia	</v>
      <v xml:space="preserve">CC-BY-SA	</v>
      <v xml:space="preserve">http://en.wikipedia.org/wiki/South_Sudan	</v>
      <v xml:space="preserve">http://creativecommons.org/licenses/by-sa/3.0/	</v>
    </spb>
    <spb s="1">
      <v xml:space="preserve">Cia	</v>
      <v xml:space="preserve">	</v>
      <v xml:space="preserve">https://www.cia.gov/library/publications/the-world-factbook/geos/od.html?Transportation	</v>
      <v xml:space="preserve">	</v>
    </spb>
    <spb s="127">
      <v>10</v>
      <v>1373</v>
      <v>1374</v>
      <v>1374</v>
      <v>13</v>
      <v>1374</v>
      <v>1374</v>
      <v>1374</v>
      <v>1375</v>
      <v>1374</v>
      <v>1374</v>
      <v>1374</v>
      <v>1374</v>
      <v>1376</v>
      <v>16</v>
      <v>1373</v>
      <v>1376</v>
      <v>17</v>
      <v>1374</v>
      <v>18</v>
      <v>19</v>
      <v>20</v>
      <v>1376</v>
      <v>1374</v>
      <v>22</v>
      <v>23</v>
      <v>44</v>
      <v>1376</v>
      <v>1376</v>
      <v>1376</v>
      <v>1376</v>
      <v>1376</v>
      <v>1376</v>
      <v>1376</v>
      <v>1376</v>
      <v>1376</v>
      <v>1376</v>
      <v>24</v>
    </spb>
    <spb s="3">
      <v>88</v>
      <v>Name</v>
      <v>LearnMoreOnLink</v>
    </spb>
    <spb s="128">
      <v>2017</v>
      <v>2015</v>
      <v>square km</v>
      <v>per thousand (2018)</v>
      <v>2022</v>
      <v>2017</v>
      <v>2018</v>
      <v>per liter (2016)</v>
      <v>2019</v>
      <v>years (2018)</v>
      <v>per thousand (2018)</v>
      <v>2019</v>
      <v>2017</v>
      <v>2019</v>
      <v>kilotons per year (2016)</v>
      <v>deaths per 100,000 (2017)</v>
      <v>kWh (2014)</v>
      <v>2014</v>
      <v>2009</v>
      <v>2009</v>
      <v>2009</v>
      <v>2009</v>
      <v>2009</v>
      <v>2015</v>
      <v>2009</v>
      <v>2009</v>
      <v>2015</v>
      <v>2019</v>
    </spb>
    <spb s="1">
      <v xml:space="preserve">Wikipedia	</v>
      <v xml:space="preserve">CC BY-SA 3.0	</v>
      <v xml:space="preserve">https://en.wikipedia.org/wiki/Madrid	</v>
      <v xml:space="preserve">https://creativecommons.org/licenses/by-sa/3.0	</v>
    </spb>
    <spb s="11">
      <v>1380</v>
      <v>1380</v>
      <v>1380</v>
      <v>1380</v>
      <v>1380</v>
      <v>1380</v>
      <v>1380</v>
      <v>1380</v>
      <v>1380</v>
    </spb>
    <spb s="1">
      <v xml:space="preserve">Wikipedia	Cia	Facebook	</v>
      <v xml:space="preserve">CC-BY-SA			</v>
      <v xml:space="preserve">http://en.wikipedia.org/wiki/Spain	https://www.cia.gov/library/publications/the-world-factbook/geos/sp.html?Transportation	https://www.facebook.com/spain.info.no	</v>
      <v xml:space="preserve">http://creativecommons.org/licenses/by-sa/3.0/			</v>
    </spb>
    <spb s="1">
      <v xml:space="preserve">Wikipedia	</v>
      <v xml:space="preserve">CC BY-SA 3.0	</v>
      <v xml:space="preserve">https://en.wikipedia.org/wiki/Spain	</v>
      <v xml:space="preserve">https://creativecommons.org/licenses/by-sa/3.0	</v>
    </spb>
    <spb s="1">
      <v xml:space="preserve">Wikipedia	</v>
      <v xml:space="preserve">CC-BY-SA	</v>
      <v xml:space="preserve">http://en.wikipedia.org/wiki/Spain	</v>
      <v xml:space="preserve">http://creativecommons.org/licenses/by-sa/3.0/	</v>
    </spb>
    <spb s="1">
      <v xml:space="preserve">Cia	</v>
      <v xml:space="preserve">	</v>
      <v xml:space="preserve">https://www.cia.gov/library/publications/the-world-factbook/geos/sp.html?Transportation	</v>
      <v xml:space="preserve">	</v>
    </spb>
    <spb s="14">
      <v>10</v>
      <v>1382</v>
      <v>1383</v>
      <v>1383</v>
      <v>13</v>
      <v>1383</v>
      <v>1383</v>
      <v>1383</v>
      <v>1384</v>
      <v>1383</v>
      <v>1383</v>
      <v>1384</v>
      <v>1383</v>
      <v>1383</v>
      <v>1385</v>
      <v>16</v>
      <v>1382</v>
      <v>1385</v>
      <v>17</v>
      <v>1383</v>
      <v>1385</v>
      <v>18</v>
      <v>19</v>
      <v>20</v>
      <v>1385</v>
      <v>1385</v>
      <v>1383</v>
      <v>1385</v>
      <v>21</v>
      <v>22</v>
      <v>23</v>
      <v>44</v>
      <v>1385</v>
      <v>1382</v>
      <v>1385</v>
      <v>1385</v>
      <v>1385</v>
      <v>1385</v>
      <v>1385</v>
      <v>1385</v>
      <v>1385</v>
      <v>1385</v>
      <v>1385</v>
      <v>1385</v>
      <v>24</v>
    </spb>
    <spb s="1">
      <v xml:space="preserve">Wikipedia	Wikipedia	Wikipedia	</v>
      <v xml:space="preserve">CC-BY-SA	CC-BY-SA	CC-BY-SA	</v>
      <v xml:space="preserve">http://en.wikipedia.org/wiki/Colombo	http://es.wikipedia.org/wiki/Colombo	http://fr.wikipedia.org/wiki/Colombo	</v>
      <v xml:space="preserve">http://creativecommons.org/licenses/by-sa/3.0/	http://creativecommons.org/licenses/by-sa/3.0/	http://creativecommons.org/licenses/by-sa/3.0/	</v>
    </spb>
    <spb s="1">
      <v xml:space="preserve">Wikipedia	</v>
      <v xml:space="preserve">CC BY-SA 3.0	</v>
      <v xml:space="preserve">https://en.wikipedia.org/wiki/Colombo	</v>
      <v xml:space="preserve">https://creativecommons.org/licenses/by-sa/3.0	</v>
    </spb>
    <spb s="2">
      <v>1387</v>
      <v>1388</v>
      <v>1388</v>
      <v>1388</v>
      <v>1388</v>
      <v>1388</v>
      <v>1388</v>
      <v>1388</v>
      <v>1388</v>
      <v>1388</v>
    </spb>
    <spb s="1">
      <v xml:space="preserve">Wikipedia	Cia	travel.state.gov	</v>
      <v xml:space="preserve">CC-BY-SA			</v>
      <v xml:space="preserve">http://en.wikipedia.org/wiki/Sri_Lanka	https://www.cia.gov/library/publications/the-world-factbook/geos/ce.html?Transportation	https://travel.state.gov/content/travel/en/international-travel/International-Travel-Country-Information-Pages/SriLanka.html	</v>
      <v xml:space="preserve">http://creativecommons.org/licenses/by-sa/3.0/			</v>
    </spb>
    <spb s="1">
      <v xml:space="preserve">Wikipedia	</v>
      <v xml:space="preserve">CC BY-SA 3.0	</v>
      <v xml:space="preserve">https://en.wikipedia.org/wiki/Sri_Lanka	</v>
      <v xml:space="preserve">https://creativecommons.org/licenses/by-sa/3.0	</v>
    </spb>
    <spb s="1">
      <v xml:space="preserve">Wikipedia	</v>
      <v xml:space="preserve">CC-BY-SA	</v>
      <v xml:space="preserve">http://en.wikipedia.org/wiki/Sri_Lanka	</v>
      <v xml:space="preserve">http://creativecommons.org/licenses/by-sa/3.0/	</v>
    </spb>
    <spb s="1">
      <v xml:space="preserve">Cia	</v>
      <v xml:space="preserve">	</v>
      <v xml:space="preserve">https://www.cia.gov/library/publications/the-world-factbook/geos/ce.html?Transportation	</v>
      <v xml:space="preserve">	</v>
    </spb>
    <spb s="129">
      <v>10</v>
      <v>1390</v>
      <v>1391</v>
      <v>13</v>
      <v>1391</v>
      <v>1391</v>
      <v>1391</v>
      <v>1392</v>
      <v>1391</v>
      <v>1391</v>
      <v>1392</v>
      <v>1391</v>
      <v>1391</v>
      <v>1393</v>
      <v>16</v>
      <v>1390</v>
      <v>1393</v>
      <v>17</v>
      <v>1391</v>
      <v>1393</v>
      <v>18</v>
      <v>19</v>
      <v>20</v>
      <v>1393</v>
      <v>1393</v>
      <v>1391</v>
      <v>1393</v>
      <v>21</v>
      <v>22</v>
      <v>23</v>
      <v>44</v>
      <v>1393</v>
      <v>1390</v>
      <v>1393</v>
      <v>1393</v>
      <v>1393</v>
      <v>1393</v>
      <v>1393</v>
      <v>1393</v>
      <v>1393</v>
      <v>1393</v>
      <v>1393</v>
      <v>1393</v>
      <v>24</v>
    </spb>
    <spb s="3">
      <v>89</v>
      <v>Name</v>
      <v>LearnMoreOnLink</v>
    </spb>
    <spb s="130">
      <v>2019</v>
      <v>2019</v>
      <v>per thousand (2018)</v>
      <v>2022</v>
      <v>2019</v>
      <v>2018</v>
      <v>per liter (2016)</v>
      <v>2019</v>
      <v>years (2018)</v>
      <v>2018</v>
      <v>per thousand (2018)</v>
      <v>2019</v>
      <v>2017</v>
      <v>2016</v>
      <v>2019</v>
      <v>2016</v>
      <v>2018</v>
      <v>kilotons per year (2016)</v>
      <v>deaths per 100,000 (2017)</v>
      <v>kWh (2014)</v>
      <v>2014</v>
      <v>2019</v>
      <v>2016</v>
      <v>2016</v>
      <v>2016</v>
      <v>2016</v>
      <v>2016</v>
      <v>2015</v>
      <v>2016</v>
      <v>2016</v>
      <v>2018</v>
      <v>2018</v>
      <v>2019</v>
    </spb>
    <spb s="1">
      <v xml:space="preserve">Wikipedia	</v>
      <v xml:space="preserve">CC BY-SA 3.0	</v>
      <v xml:space="preserve">https://en.wikipedia.org/wiki/Kingstown	</v>
      <v xml:space="preserve">https://creativecommons.org/licenses/by-sa/3.0	</v>
    </spb>
    <spb s="55">
      <v>1397</v>
      <v>1397</v>
      <v>1397</v>
      <v>1397</v>
      <v>1397</v>
      <v>1397</v>
      <v>1397</v>
      <v>1397</v>
    </spb>
    <spb s="56">
      <v>2012</v>
    </spb>
    <spb s="1">
      <v xml:space="preserve">Wikipedia	Cia	travel.state.gov	</v>
      <v xml:space="preserve">CC-BY-SA			</v>
      <v xml:space="preserve">http://en.wikipedia.org/wiki/Saint_Vincent_and_the_Grenadines	https://www.cia.gov/library/publications/the-world-factbook/geos/vc.html?Transportation	https://travel.state.gov/content/travel/en/international-travel/International-Travel-Country-Information-Pages/SaintVincentandtheGrenadines.html	</v>
      <v xml:space="preserve">http://creativecommons.org/licenses/by-sa/3.0/			</v>
    </spb>
    <spb s="1">
      <v xml:space="preserve">Wikipedia	</v>
      <v xml:space="preserve">CC BY-SA 3.0	</v>
      <v xml:space="preserve">https://en.wikipedia.org/wiki/Saint_Vincent_and_the_Grenadines	</v>
      <v xml:space="preserve">https://creativecommons.org/licenses/by-sa/3.0	</v>
    </spb>
    <spb s="1">
      <v xml:space="preserve">Wikipedia	</v>
      <v xml:space="preserve">CC-BY-SA	</v>
      <v xml:space="preserve">http://en.wikipedia.org/wiki/Saint_Vincent_and_the_Grenadines	</v>
      <v xml:space="preserve">http://creativecommons.org/licenses/by-sa/3.0/	</v>
    </spb>
    <spb s="1">
      <v xml:space="preserve">Cia	</v>
      <v xml:space="preserve">	</v>
      <v xml:space="preserve">https://www.cia.gov/library/publications/the-world-factbook/geos/vc.html?Transportation	</v>
      <v xml:space="preserve">	</v>
    </spb>
    <spb s="131">
      <v>10</v>
      <v>1400</v>
      <v>1401</v>
      <v>1401</v>
      <v>13</v>
      <v>1401</v>
      <v>1401</v>
      <v>1401</v>
      <v>1402</v>
      <v>1401</v>
      <v>1401</v>
      <v>1402</v>
      <v>1401</v>
      <v>1401</v>
      <v>1403</v>
      <v>16</v>
      <v>1403</v>
      <v>17</v>
      <v>1401</v>
      <v>1403</v>
      <v>18</v>
      <v>19</v>
      <v>1403</v>
      <v>1403</v>
      <v>1401</v>
      <v>1403</v>
      <v>21</v>
      <v>22</v>
      <v>23</v>
      <v>1403</v>
      <v>1403</v>
      <v>1403</v>
      <v>1403</v>
      <v>24</v>
    </spb>
    <spb s="3">
      <v>90</v>
      <v>Name</v>
      <v>LearnMoreOnLink</v>
    </spb>
    <spb s="132">
      <v>2018</v>
      <v>2019</v>
      <v>square km</v>
      <v>per thousand (2018)</v>
      <v>2022</v>
      <v>2018</v>
      <v>2018</v>
      <v>2019</v>
      <v>years (2018)</v>
      <v>2017</v>
      <v>per thousand (2018)</v>
      <v>2019</v>
      <v>2016</v>
      <v>2019</v>
      <v>2016</v>
      <v>2010</v>
      <v>kilotons per year (2016)</v>
      <v>deaths per 100,000 (2017)</v>
      <v>2007</v>
      <v>2015</v>
      <v>2018</v>
      <v>2015</v>
      <v>2019</v>
    </spb>
    <spb s="1">
      <v xml:space="preserve">Wikipedia	</v>
      <v xml:space="preserve">CC BY-SA 3.0	</v>
      <v xml:space="preserve">https://en.wikipedia.org/wiki/Ramallah	</v>
      <v xml:space="preserve">https://creativecommons.org/licenses/by-sa/3.0	</v>
    </spb>
    <spb s="21">
      <v>1407</v>
      <v>1407</v>
      <v>1407</v>
      <v>1407</v>
      <v>1407</v>
      <v>1407</v>
      <v>1407</v>
      <v>1407</v>
    </spb>
    <spb s="1">
      <v xml:space="preserve">Wikipedia	</v>
      <v xml:space="preserve">CC BY-SA 3.0	</v>
      <v xml:space="preserve">https://en.wikipedia.org/wiki/Khartoum	</v>
      <v xml:space="preserve">https://creativecommons.org/licenses/by-sa/3.0	</v>
    </spb>
    <spb s="11">
      <v>1409</v>
      <v>1409</v>
      <v>1409</v>
      <v>1409</v>
      <v>1409</v>
      <v>1409</v>
      <v>1409</v>
      <v>1409</v>
      <v>1409</v>
    </spb>
    <spb s="1">
      <v xml:space="preserve">Wikipedia	Cia	travel.state.gov	</v>
      <v xml:space="preserve">CC-BY-SA			</v>
      <v xml:space="preserve">http://en.wikipedia.org/wiki/Sudan	https://www.cia.gov/library/publications/the-world-factbook/geos/su.html?Transportation	https://travel.state.gov/content/travel/en/international-travel/International-Travel-Country-Information-Pages/Sudan.html	</v>
      <v xml:space="preserve">http://creativecommons.org/licenses/by-sa/3.0/			</v>
    </spb>
    <spb s="1">
      <v xml:space="preserve">Wikipedia	</v>
      <v xml:space="preserve">CC BY-SA 3.0	</v>
      <v xml:space="preserve">https://en.wikipedia.org/wiki/Sudan	</v>
      <v xml:space="preserve">https://creativecommons.org/licenses/by-sa/3.0	</v>
    </spb>
    <spb s="1">
      <v xml:space="preserve">Wikipedia	</v>
      <v xml:space="preserve">CC-BY-SA	</v>
      <v xml:space="preserve">http://en.wikipedia.org/wiki/Sudan	</v>
      <v xml:space="preserve">http://creativecommons.org/licenses/by-sa/3.0/	</v>
    </spb>
    <spb s="1">
      <v xml:space="preserve">Cia	</v>
      <v xml:space="preserve">	</v>
      <v xml:space="preserve">https://www.cia.gov/library/publications/the-world-factbook/geos/su.html?Transportation	</v>
      <v xml:space="preserve">	</v>
    </spb>
    <spb s="12">
      <v>10</v>
      <v>1411</v>
      <v>1412</v>
      <v>1412</v>
      <v>13</v>
      <v>1412</v>
      <v>1412</v>
      <v>1412</v>
      <v>1413</v>
      <v>1412</v>
      <v>1412</v>
      <v>1413</v>
      <v>1412</v>
      <v>1412</v>
      <v>1414</v>
      <v>16</v>
      <v>1411</v>
      <v>1414</v>
      <v>17</v>
      <v>1412</v>
      <v>1414</v>
      <v>18</v>
      <v>19</v>
      <v>20</v>
      <v>1414</v>
      <v>1414</v>
      <v>1412</v>
      <v>1414</v>
      <v>21</v>
      <v>22</v>
      <v>23</v>
      <v>44</v>
      <v>1414</v>
      <v>1414</v>
      <v>1414</v>
      <v>1414</v>
      <v>1414</v>
      <v>1414</v>
      <v>1414</v>
      <v>1414</v>
      <v>1414</v>
      <v>1414</v>
      <v>1414</v>
      <v>24</v>
    </spb>
    <spb s="13">
      <v>2019</v>
      <v>2019</v>
      <v>square km</v>
      <v>per thousand (2018)</v>
      <v>2022</v>
      <v>2019</v>
      <v>2018</v>
      <v>per liter (2016)</v>
      <v>2019</v>
      <v>years (2018)</v>
      <v>2016</v>
      <v>per thousand (2018)</v>
      <v>2019</v>
      <v>2017</v>
      <v>2015</v>
      <v>2019</v>
      <v>2015</v>
      <v>2017</v>
      <v>kilotons per year (2016)</v>
      <v>deaths per 100,000 (2017)</v>
      <v>kWh (2014)</v>
      <v>2014</v>
      <v>2014</v>
      <v>2014</v>
      <v>2014</v>
      <v>2014</v>
      <v>2014</v>
      <v>2015</v>
      <v>2014</v>
      <v>2014</v>
      <v>2017</v>
      <v>2015</v>
      <v>2019</v>
    </spb>
    <spb s="1">
      <v xml:space="preserve">Wikipedia	</v>
      <v xml:space="preserve">CC BY-SA 3.0	</v>
      <v xml:space="preserve">https://en.wikipedia.org/wiki/Paramaribo	</v>
      <v xml:space="preserve">https://creativecommons.org/licenses/by-sa/3.0	</v>
    </spb>
    <spb s="2">
      <v>1417</v>
      <v>1417</v>
      <v>1417</v>
      <v>1417</v>
      <v>1417</v>
      <v>1417</v>
      <v>1417</v>
      <v>1417</v>
      <v>1417</v>
      <v>1417</v>
    </spb>
    <spb s="1">
      <v xml:space="preserve">Wikipedia	Cia	travel.state.gov	</v>
      <v xml:space="preserve">CC-BY-SA			</v>
      <v xml:space="preserve">http://en.wikipedia.org/wiki/Suriname	https://www.cia.gov/library/publications/the-world-factbook/geos/ns.html?Transportation	https://travel.state.gov/content/travel/en/international-travel/International-Travel-Country-Information-Pages/Suriname.html	</v>
      <v xml:space="preserve">http://creativecommons.org/licenses/by-sa/3.0/			</v>
    </spb>
    <spb s="1">
      <v xml:space="preserve">Wikipedia	</v>
      <v xml:space="preserve">CC BY-SA 3.0	</v>
      <v xml:space="preserve">https://en.wikipedia.org/wiki/Suriname	</v>
      <v xml:space="preserve">https://creativecommons.org/licenses/by-sa/3.0	</v>
    </spb>
    <spb s="1">
      <v xml:space="preserve">Wikipedia	</v>
      <v xml:space="preserve">CC-BY-SA	</v>
      <v xml:space="preserve">http://en.wikipedia.org/wiki/Suriname	</v>
      <v xml:space="preserve">http://creativecommons.org/licenses/by-sa/3.0/	</v>
    </spb>
    <spb s="1">
      <v xml:space="preserve">Cia	</v>
      <v xml:space="preserve">	</v>
      <v xml:space="preserve">https://www.cia.gov/library/publications/the-world-factbook/geos/ns.html?Transportation	</v>
      <v xml:space="preserve">	</v>
    </spb>
    <spb s="133">
      <v>10</v>
      <v>1419</v>
      <v>1420</v>
      <v>1420</v>
      <v>13</v>
      <v>1420</v>
      <v>1420</v>
      <v>1420</v>
      <v>1421</v>
      <v>1420</v>
      <v>1420</v>
      <v>1420</v>
      <v>1420</v>
      <v>1422</v>
      <v>16</v>
      <v>1419</v>
      <v>1422</v>
      <v>17</v>
      <v>1420</v>
      <v>1422</v>
      <v>18</v>
      <v>19</v>
      <v>20</v>
      <v>1422</v>
      <v>1422</v>
      <v>1420</v>
      <v>1422</v>
      <v>21</v>
      <v>22</v>
      <v>23</v>
      <v>44</v>
      <v>1422</v>
      <v>1422</v>
      <v>1422</v>
      <v>1422</v>
      <v>1422</v>
      <v>1422</v>
      <v>1422</v>
      <v>1422</v>
      <v>1422</v>
      <v>1422</v>
      <v>24</v>
    </spb>
    <spb s="3">
      <v>91</v>
      <v>Name</v>
      <v>LearnMoreOnLink</v>
    </spb>
    <spb s="134">
      <v>2019</v>
      <v>2019</v>
      <v>square km</v>
      <v>per thousand (2018)</v>
      <v>2022</v>
      <v>2017</v>
      <v>2018</v>
      <v>per liter (2014)</v>
      <v>2019</v>
      <v>years (2018)</v>
      <v>2012</v>
      <v>per thousand (2018)</v>
      <v>2019</v>
      <v>2017</v>
      <v>2016</v>
      <v>2019</v>
      <v>2016</v>
      <v>2018</v>
      <v>kilotons per year (2016)</v>
      <v>deaths per 100,000 (2017)</v>
      <v>kWh (2014)</v>
      <v>2014</v>
      <v>1999</v>
      <v>1999</v>
      <v>1999</v>
      <v>1999</v>
      <v>2015</v>
      <v>1999</v>
      <v>1999</v>
      <v>2018</v>
      <v>2002</v>
      <v>2019</v>
    </spb>
    <spb s="1">
      <v xml:space="preserve">Wikipedia	</v>
      <v xml:space="preserve">CC BY-SA 3.0	</v>
      <v xml:space="preserve">https://en.wikipedia.org/wiki/Stockholm	</v>
      <v xml:space="preserve">https://creativecommons.org/licenses/by-sa/3.0	</v>
    </spb>
    <spb s="11">
      <v>1426</v>
      <v>1426</v>
      <v>1426</v>
      <v>1426</v>
      <v>1426</v>
      <v>1426</v>
      <v>1426</v>
      <v>1426</v>
      <v>1426</v>
    </spb>
    <spb s="1">
      <v xml:space="preserve">Wikipedia	</v>
      <v xml:space="preserve">CC BY-SA 3.0	</v>
      <v xml:space="preserve">https://en.wikipedia.org/wiki/Bern	</v>
      <v xml:space="preserve">https://creativecommons.org/licenses/by-sa/3.0	</v>
    </spb>
    <spb s="2">
      <v>1428</v>
      <v>1428</v>
      <v>1428</v>
      <v>1428</v>
      <v>1428</v>
      <v>1428</v>
      <v>1428</v>
      <v>1428</v>
      <v>1428</v>
      <v>1428</v>
    </spb>
    <spb s="1">
      <v xml:space="preserve">Wikipedia	</v>
      <v xml:space="preserve">CC BY-SA 3.0	</v>
      <v xml:space="preserve">https://en.wikipedia.org/wiki/Damascus	</v>
      <v xml:space="preserve">https://creativecommons.org/licenses/by-sa/3.0	</v>
    </spb>
    <spb s="11">
      <v>1430</v>
      <v>1430</v>
      <v>1430</v>
      <v>1430</v>
      <v>1430</v>
      <v>1430</v>
      <v>1430</v>
      <v>1430</v>
      <v>1430</v>
    </spb>
    <spb s="1">
      <v xml:space="preserve">Wikipedia	Cia	travel.state.gov	</v>
      <v xml:space="preserve">CC-BY-SA			</v>
      <v xml:space="preserve">http://en.wikipedia.org/wiki/Syria	https://www.cia.gov/library/publications/the-world-factbook/geos/sy.html?Transportation	https://travel.state.gov/content/travel/en/international-travel/International-Travel-Country-Information-Pages/SyrianArabRepublic.html	</v>
      <v xml:space="preserve">http://creativecommons.org/licenses/by-sa/3.0/			</v>
    </spb>
    <spb s="1">
      <v xml:space="preserve">Wikipedia	</v>
      <v xml:space="preserve">CC BY-SA 3.0	</v>
      <v xml:space="preserve">https://en.wikipedia.org/wiki/Syria	</v>
      <v xml:space="preserve">https://creativecommons.org/licenses/by-sa/3.0	</v>
    </spb>
    <spb s="1">
      <v xml:space="preserve">Wikipedia	</v>
      <v xml:space="preserve">CC-BY-SA	</v>
      <v xml:space="preserve">http://en.wikipedia.org/wiki/Syria	</v>
      <v xml:space="preserve">http://creativecommons.org/licenses/by-sa/3.0/	</v>
    </spb>
    <spb s="1">
      <v xml:space="preserve">Cia	</v>
      <v xml:space="preserve">	</v>
      <v xml:space="preserve">https://www.cia.gov/library/publications/the-world-factbook/geos/sy.html?Transportation	</v>
      <v xml:space="preserve">	</v>
    </spb>
    <spb s="12">
      <v>10</v>
      <v>1432</v>
      <v>1433</v>
      <v>1433</v>
      <v>13</v>
      <v>1433</v>
      <v>1433</v>
      <v>1433</v>
      <v>1434</v>
      <v>1433</v>
      <v>1433</v>
      <v>1434</v>
      <v>1433</v>
      <v>1433</v>
      <v>1435</v>
      <v>16</v>
      <v>1432</v>
      <v>1435</v>
      <v>17</v>
      <v>1433</v>
      <v>1435</v>
      <v>18</v>
      <v>19</v>
      <v>20</v>
      <v>1435</v>
      <v>1435</v>
      <v>1433</v>
      <v>1435</v>
      <v>21</v>
      <v>22</v>
      <v>23</v>
      <v>44</v>
      <v>1435</v>
      <v>1435</v>
      <v>1435</v>
      <v>1435</v>
      <v>1435</v>
      <v>1435</v>
      <v>1435</v>
      <v>1435</v>
      <v>1435</v>
      <v>1435</v>
      <v>1435</v>
      <v>24</v>
    </spb>
    <spb s="13">
      <v>2012</v>
      <v>2007</v>
      <v>square km</v>
      <v>per thousand (2018)</v>
      <v>2022</v>
      <v>2012</v>
      <v>2018</v>
      <v>per liter (2014)</v>
      <v>2019</v>
      <v>years (2018)</v>
      <v>2007</v>
      <v>per thousand (2018)</v>
      <v>2019</v>
      <v>2017</v>
      <v>2016</v>
      <v>2019</v>
      <v>2016</v>
      <v>2016</v>
      <v>kilotons per year (2016)</v>
      <v>deaths per 100,000 (2017)</v>
      <v>kWh (2014)</v>
      <v>2014</v>
      <v>2004</v>
      <v>2004</v>
      <v>2004</v>
      <v>2004</v>
      <v>2004</v>
      <v>2012</v>
      <v>2004</v>
      <v>2004</v>
      <v>2013</v>
      <v>2016</v>
      <v>2019</v>
    </spb>
    <spb s="1">
      <v xml:space="preserve">Wikipedia	</v>
      <v xml:space="preserve">CC-BY-SA	</v>
      <v xml:space="preserve">http://en.wikipedia.org/wiki/Dushanbe	</v>
      <v xml:space="preserve">http://creativecommons.org/licenses/by-sa/3.0/	</v>
    </spb>
    <spb s="1">
      <v xml:space="preserve">Wikipedia	</v>
      <v xml:space="preserve">CC BY-SA 3.0	</v>
      <v xml:space="preserve">https://en.wikipedia.org/wiki/Dushanbe	</v>
      <v xml:space="preserve">https://creativecommons.org/licenses/by-sa/3.0	</v>
    </spb>
    <spb s="16">
      <v>1438</v>
      <v>1439</v>
      <v>1439</v>
      <v>1439</v>
      <v>1439</v>
      <v>1438</v>
      <v>1439</v>
    </spb>
    <spb s="1">
      <v xml:space="preserve">Wikipedia	Cia	travel.state.gov	</v>
      <v xml:space="preserve">CC-BY-SA			</v>
      <v xml:space="preserve">http://en.wikipedia.org/wiki/Tajikistan	https://www.cia.gov/library/publications/the-world-factbook/geos/ti.html?Transportation	https://travel.state.gov/content/travel/en/international-travel/International-Travel-Country-Information-Pages/Tajikistan.html	</v>
      <v xml:space="preserve">http://creativecommons.org/licenses/by-sa/3.0/			</v>
    </spb>
    <spb s="1">
      <v xml:space="preserve">Wikipedia	</v>
      <v xml:space="preserve">CC BY-SA 3.0	</v>
      <v xml:space="preserve">https://en.wikipedia.org/wiki/Tajikistan	</v>
      <v xml:space="preserve">https://creativecommons.org/licenses/by-sa/3.0	</v>
    </spb>
    <spb s="1">
      <v xml:space="preserve">Wikipedia	</v>
      <v xml:space="preserve">CC-BY-SA	</v>
      <v xml:space="preserve">http://en.wikipedia.org/wiki/Tajikistan	</v>
      <v xml:space="preserve">http://creativecommons.org/licenses/by-sa/3.0/	</v>
    </spb>
    <spb s="1">
      <v xml:space="preserve">Cia	</v>
      <v xml:space="preserve">	</v>
      <v xml:space="preserve">https://www.cia.gov/library/publications/the-world-factbook/geos/ti.html?Transportation	</v>
      <v xml:space="preserve">	</v>
    </spb>
    <spb s="12">
      <v>10</v>
      <v>1441</v>
      <v>1442</v>
      <v>1442</v>
      <v>13</v>
      <v>1442</v>
      <v>1442</v>
      <v>1442</v>
      <v>1443</v>
      <v>1442</v>
      <v>1442</v>
      <v>1443</v>
      <v>1442</v>
      <v>1442</v>
      <v>1444</v>
      <v>16</v>
      <v>1441</v>
      <v>1444</v>
      <v>17</v>
      <v>1442</v>
      <v>1444</v>
      <v>18</v>
      <v>19</v>
      <v>20</v>
      <v>1444</v>
      <v>1444</v>
      <v>1442</v>
      <v>1444</v>
      <v>21</v>
      <v>22</v>
      <v>23</v>
      <v>44</v>
      <v>1444</v>
      <v>1444</v>
      <v>1444</v>
      <v>1444</v>
      <v>1444</v>
      <v>1444</v>
      <v>1444</v>
      <v>1444</v>
      <v>1444</v>
      <v>1444</v>
      <v>1444</v>
      <v>24</v>
    </spb>
    <spb s="13">
      <v>2016</v>
      <v>2019</v>
      <v>square km</v>
      <v>per thousand (2018)</v>
      <v>2022</v>
      <v>2016</v>
      <v>2018</v>
      <v>per liter (2016)</v>
      <v>2019</v>
      <v>years (2018)</v>
      <v>2004</v>
      <v>per thousand (2018)</v>
      <v>2019</v>
      <v>2017</v>
      <v>2016</v>
      <v>2019</v>
      <v>2016</v>
      <v>2014</v>
      <v>kilotons per year (2016)</v>
      <v>deaths per 100,000 (2017)</v>
      <v>kWh (2014)</v>
      <v>2014</v>
      <v>2015</v>
      <v>2015</v>
      <v>2015</v>
      <v>2015</v>
      <v>2015</v>
      <v>2015</v>
      <v>2015</v>
      <v>2015</v>
      <v>2017</v>
      <v>2017</v>
      <v>2019</v>
    </spb>
    <spb s="1">
      <v xml:space="preserve">Wikipedia	</v>
      <v xml:space="preserve">CC BY-SA 3.0	</v>
      <v xml:space="preserve">https://en.wikipedia.org/wiki/Dodoma	</v>
      <v xml:space="preserve">https://creativecommons.org/licenses/by-sa/3.0	</v>
    </spb>
    <spb s="11">
      <v>1447</v>
      <v>1447</v>
      <v>1447</v>
      <v>1447</v>
      <v>1447</v>
      <v>1447</v>
      <v>1447</v>
      <v>1447</v>
      <v>1447</v>
    </spb>
    <spb s="1">
      <v xml:space="preserve">Wikipedia	Cia	travel.state.gov	</v>
      <v xml:space="preserve">CC-BY-SA			</v>
      <v xml:space="preserve">http://en.wikipedia.org/wiki/Tanzania	https://www.cia.gov/library/publications/the-world-factbook/geos/tz.html?Transportation	https://travel.state.gov/content/travel/en/international-travel/International-Travel-Country-Information-Pages/Tanzania.html	</v>
      <v xml:space="preserve">http://creativecommons.org/licenses/by-sa/3.0/			</v>
    </spb>
    <spb s="1">
      <v xml:space="preserve">Wikipedia	</v>
      <v xml:space="preserve">CC BY-SA 3.0	</v>
      <v xml:space="preserve">https://en.wikipedia.org/wiki/Tanzania	</v>
      <v xml:space="preserve">https://creativecommons.org/licenses/by-sa/3.0	</v>
    </spb>
    <spb s="1">
      <v xml:space="preserve">Wikipedia	</v>
      <v xml:space="preserve">CC-BY-SA	</v>
      <v xml:space="preserve">http://en.wikipedia.org/wiki/Tanzania	</v>
      <v xml:space="preserve">http://creativecommons.org/licenses/by-sa/3.0/	</v>
    </spb>
    <spb s="1">
      <v xml:space="preserve">Cia	</v>
      <v xml:space="preserve">	</v>
      <v xml:space="preserve">https://www.cia.gov/library/publications/the-world-factbook/geos/tz.html?Transportation	</v>
      <v xml:space="preserve">	</v>
    </spb>
    <spb s="14">
      <v>10</v>
      <v>1449</v>
      <v>1450</v>
      <v>1450</v>
      <v>13</v>
      <v>1450</v>
      <v>1450</v>
      <v>1450</v>
      <v>1451</v>
      <v>1450</v>
      <v>1450</v>
      <v>1451</v>
      <v>1450</v>
      <v>1450</v>
      <v>1452</v>
      <v>16</v>
      <v>1449</v>
      <v>1452</v>
      <v>17</v>
      <v>1450</v>
      <v>1452</v>
      <v>18</v>
      <v>19</v>
      <v>20</v>
      <v>1452</v>
      <v>1452</v>
      <v>1450</v>
      <v>1452</v>
      <v>21</v>
      <v>22</v>
      <v>23</v>
      <v>44</v>
      <v>1452</v>
      <v>1449</v>
      <v>1452</v>
      <v>1452</v>
      <v>1452</v>
      <v>1452</v>
      <v>1452</v>
      <v>1452</v>
      <v>1452</v>
      <v>1452</v>
      <v>1452</v>
      <v>1452</v>
      <v>24</v>
    </spb>
    <spb s="15">
      <v>2019</v>
      <v>2019</v>
      <v>square km</v>
      <v>per thousand (2018)</v>
      <v>2022</v>
      <v>2019</v>
      <v>2018</v>
      <v>per liter (2016)</v>
      <v>2019</v>
      <v>years (2018)</v>
      <v>2018</v>
      <v>per thousand (2018)</v>
      <v>2019</v>
      <v>2017</v>
      <v>2016</v>
      <v>2019</v>
      <v>2016</v>
      <v>2016</v>
      <v>kilotons per year (2016)</v>
      <v>deaths per 100,000 (2017)</v>
      <v>kWh (2014)</v>
      <v>2014</v>
      <v>2001</v>
      <v>2017</v>
      <v>2017</v>
      <v>2017</v>
      <v>2017</v>
      <v>2017</v>
      <v>2015</v>
      <v>2017</v>
      <v>2017</v>
      <v>2018</v>
      <v>2015</v>
      <v>2019</v>
    </spb>
    <spb s="1">
      <v xml:space="preserve">Wikipedia	</v>
      <v xml:space="preserve">CC BY-SA 3.0	</v>
      <v xml:space="preserve">https://en.wikipedia.org/wiki/Bangkok	</v>
      <v xml:space="preserve">https://creativecommons.org/licenses/by-sa/3.0	</v>
    </spb>
    <spb s="1">
      <v xml:space="preserve">Wikipedia	</v>
      <v xml:space="preserve">CC-BY-SA	</v>
      <v xml:space="preserve">http://en.wikipedia.org/wiki/Bangkok	</v>
      <v xml:space="preserve">http://creativecommons.org/licenses/by-sa/3.0/	</v>
    </spb>
    <spb s="16">
      <v>1455</v>
      <v>1455</v>
      <v>1455</v>
      <v>1455</v>
      <v>1455</v>
      <v>1456</v>
      <v>1455</v>
    </spb>
    <spb s="1">
      <v xml:space="preserve">Wikipedia	Cia	travel.state.gov	</v>
      <v xml:space="preserve">CC-BY-SA			</v>
      <v xml:space="preserve">http://en.wikipedia.org/wiki/Thailand	https://www.cia.gov/library/publications/the-world-factbook/geos/th.html?Transportation	https://travel.state.gov/content/travel/en/international-travel/International-Travel-Country-Information-Pages/Thailand.html	</v>
      <v xml:space="preserve">http://creativecommons.org/licenses/by-sa/3.0/			</v>
    </spb>
    <spb s="1">
      <v xml:space="preserve">Wikipedia	</v>
      <v xml:space="preserve">CC BY-SA 3.0	</v>
      <v xml:space="preserve">https://en.wikipedia.org/wiki/Thailand	</v>
      <v xml:space="preserve">https://creativecommons.org/licenses/by-sa/3.0	</v>
    </spb>
    <spb s="1">
      <v xml:space="preserve">Wikipedia	</v>
      <v xml:space="preserve">CC-BY-SA	</v>
      <v xml:space="preserve">http://en.wikipedia.org/wiki/Thailand	</v>
      <v xml:space="preserve">http://creativecommons.org/licenses/by-sa/3.0/	</v>
    </spb>
    <spb s="1">
      <v xml:space="preserve">Cia	</v>
      <v xml:space="preserve">	</v>
      <v xml:space="preserve">https://www.cia.gov/library/publications/the-world-factbook/geos/th.html?Transportation	</v>
      <v xml:space="preserve">	</v>
    </spb>
    <spb s="14">
      <v>10</v>
      <v>1458</v>
      <v>1459</v>
      <v>1459</v>
      <v>13</v>
      <v>1459</v>
      <v>1459</v>
      <v>1459</v>
      <v>1460</v>
      <v>1459</v>
      <v>1459</v>
      <v>1460</v>
      <v>1459</v>
      <v>1459</v>
      <v>1461</v>
      <v>16</v>
      <v>1458</v>
      <v>1461</v>
      <v>17</v>
      <v>1459</v>
      <v>1461</v>
      <v>18</v>
      <v>19</v>
      <v>20</v>
      <v>1461</v>
      <v>1461</v>
      <v>1459</v>
      <v>1461</v>
      <v>21</v>
      <v>22</v>
      <v>23</v>
      <v>44</v>
      <v>1461</v>
      <v>1458</v>
      <v>1461</v>
      <v>1461</v>
      <v>1461</v>
      <v>1461</v>
      <v>1461</v>
      <v>1461</v>
      <v>1461</v>
      <v>1461</v>
      <v>1461</v>
      <v>1461</v>
      <v>24</v>
    </spb>
    <spb s="15">
      <v>2019</v>
      <v>2019</v>
      <v>square km</v>
      <v>per thousand (2018)</v>
      <v>2022</v>
      <v>2019</v>
      <v>2018</v>
      <v>per liter (2016)</v>
      <v>2019</v>
      <v>years (2018)</v>
      <v>2018</v>
      <v>per thousand (2018)</v>
      <v>2019</v>
      <v>2017</v>
      <v>2016</v>
      <v>2019</v>
      <v>2016</v>
      <v>2018</v>
      <v>kilotons per year (2016)</v>
      <v>deaths per 100,000 (2017)</v>
      <v>kWh (2014)</v>
      <v>2014</v>
      <v>2019</v>
      <v>2018</v>
      <v>2018</v>
      <v>2018</v>
      <v>2018</v>
      <v>2018</v>
      <v>2015</v>
      <v>2018</v>
      <v>2018</v>
      <v>2018</v>
      <v>2016</v>
      <v>2019</v>
    </spb>
    <spb s="1">
      <v xml:space="preserve">Wikipedia	</v>
      <v xml:space="preserve">CC BY-SA 3.0	</v>
      <v xml:space="preserve">https://en.wikipedia.org/wiki/Dili	</v>
      <v xml:space="preserve">https://creativecommons.org/licenses/by-sa/3.0	</v>
    </spb>
    <spb s="11">
      <v>1464</v>
      <v>1464</v>
      <v>1464</v>
      <v>1464</v>
      <v>1464</v>
      <v>1464</v>
      <v>1464</v>
      <v>1464</v>
      <v>1464</v>
    </spb>
    <spb s="1">
      <v xml:space="preserve">Wikipedia	Cia	travel.state.gov	</v>
      <v xml:space="preserve">CC-BY-SA			</v>
      <v xml:space="preserve">http://en.wikipedia.org/wiki/East_Timor	https://www.cia.gov/library/publications/the-world-factbook/geos/tt.html?Transportation	https://travel.state.gov/content/travel/en/international-travel/International-Travel-Country-Information-Pages/Timor-Leste.html	</v>
      <v xml:space="preserve">http://creativecommons.org/licenses/by-sa/3.0/			</v>
    </spb>
    <spb s="1">
      <v xml:space="preserve">Wikipedia	</v>
      <v xml:space="preserve">CC BY-SA 3.0	</v>
      <v xml:space="preserve">https://en.wikipedia.org/wiki/Timor-Leste	</v>
      <v xml:space="preserve">https://creativecommons.org/licenses/by-sa/3.0	</v>
    </spb>
    <spb s="1">
      <v xml:space="preserve">Wikipedia	</v>
      <v xml:space="preserve">CC-BY-SA	</v>
      <v xml:space="preserve">http://en.wikipedia.org/wiki/East_Timor	</v>
      <v xml:space="preserve">http://creativecommons.org/licenses/by-sa/3.0/	</v>
    </spb>
    <spb s="1">
      <v xml:space="preserve">Cia	</v>
      <v xml:space="preserve">	</v>
      <v xml:space="preserve">https://www.cia.gov/library/publications/the-world-factbook/geos/tt.html?Transportation	</v>
      <v xml:space="preserve">	</v>
    </spb>
    <spb s="28">
      <v>10</v>
      <v>1466</v>
      <v>1467</v>
      <v>1467</v>
      <v>13</v>
      <v>1467</v>
      <v>1467</v>
      <v>1467</v>
      <v>1468</v>
      <v>1467</v>
      <v>1467</v>
      <v>1468</v>
      <v>1467</v>
      <v>1467</v>
      <v>1469</v>
      <v>16</v>
      <v>1466</v>
      <v>1469</v>
      <v>17</v>
      <v>1467</v>
      <v>1469</v>
      <v>18</v>
      <v>19</v>
      <v>20</v>
      <v>1469</v>
      <v>1469</v>
      <v>1467</v>
      <v>1469</v>
      <v>21</v>
      <v>22</v>
      <v>23</v>
      <v>1469</v>
      <v>1469</v>
      <v>1469</v>
      <v>1469</v>
      <v>1469</v>
      <v>1469</v>
      <v>1469</v>
      <v>1469</v>
      <v>1469</v>
      <v>1469</v>
      <v>1469</v>
      <v>24</v>
    </spb>
    <spb s="29">
      <v>2018</v>
      <v>2019</v>
      <v>square km</v>
      <v>per thousand (2018)</v>
      <v>2022</v>
      <v>2018</v>
      <v>2018</v>
      <v>per liter (2016)</v>
      <v>2019</v>
      <v>years (2018)</v>
      <v>2018</v>
      <v>per thousand (2018)</v>
      <v>2019</v>
      <v>2017</v>
      <v>2016</v>
      <v>2019</v>
      <v>2016</v>
      <v>2018</v>
      <v>kilotons per year (2016)</v>
      <v>deaths per 100,000 (2017)</v>
      <v>2007</v>
      <v>2014</v>
      <v>2014</v>
      <v>2014</v>
      <v>2014</v>
      <v>2014</v>
      <v>2015</v>
      <v>2014</v>
      <v>2014</v>
      <v>2018</v>
      <v>2010</v>
      <v>2019</v>
    </spb>
    <spb s="1">
      <v xml:space="preserve">Wikipedia	</v>
      <v xml:space="preserve">CC-BY-SA	</v>
      <v xml:space="preserve">http://en.wikipedia.org/wiki/Lomé	</v>
      <v xml:space="preserve">http://creativecommons.org/licenses/by-sa/3.0/	</v>
    </spb>
    <spb s="1">
      <v xml:space="preserve">Wikipedia	</v>
      <v xml:space="preserve">CC BY-SA 3.0	</v>
      <v xml:space="preserve">https://en.wikipedia.org/wiki/Lom%C3%A9	</v>
      <v xml:space="preserve">https://creativecommons.org/licenses/by-sa/3.0	</v>
    </spb>
    <spb s="11">
      <v>1472</v>
      <v>1473</v>
      <v>1473</v>
      <v>1473</v>
      <v>1473</v>
      <v>1473</v>
      <v>1473</v>
      <v>1473</v>
      <v>1473</v>
    </spb>
    <spb s="1">
      <v xml:space="preserve">Wikipedia	Cia	travel.state.gov	</v>
      <v xml:space="preserve">CC-BY-SA			</v>
      <v xml:space="preserve">http://en.wikipedia.org/wiki/Togo	https://www.cia.gov/library/publications/the-world-factbook/geos/to.html?Transportation	https://travel.state.gov/content/travel/en/international-travel/International-Travel-Country-Information-Pages/Togo.html	</v>
      <v xml:space="preserve">http://creativecommons.org/licenses/by-sa/3.0/			</v>
    </spb>
    <spb s="1">
      <v xml:space="preserve">Wikipedia	</v>
      <v xml:space="preserve">CC BY-SA 3.0	</v>
      <v xml:space="preserve">https://en.wikipedia.org/wiki/Togo	</v>
      <v xml:space="preserve">https://creativecommons.org/licenses/by-sa/3.0	</v>
    </spb>
    <spb s="1">
      <v xml:space="preserve">Wikipedia	</v>
      <v xml:space="preserve">CC-BY-SA	</v>
      <v xml:space="preserve">http://en.wikipedia.org/wiki/Togo	</v>
      <v xml:space="preserve">http://creativecommons.org/licenses/by-sa/3.0/	</v>
    </spb>
    <spb s="1">
      <v xml:space="preserve">Cia	</v>
      <v xml:space="preserve">	</v>
      <v xml:space="preserve">https://www.cia.gov/library/publications/the-world-factbook/geos/to.html?Transportation	</v>
      <v xml:space="preserve">	</v>
    </spb>
    <spb s="12">
      <v>10</v>
      <v>1475</v>
      <v>1476</v>
      <v>1476</v>
      <v>13</v>
      <v>1476</v>
      <v>1476</v>
      <v>1476</v>
      <v>1477</v>
      <v>1476</v>
      <v>1476</v>
      <v>1477</v>
      <v>1476</v>
      <v>1476</v>
      <v>1478</v>
      <v>16</v>
      <v>1475</v>
      <v>1478</v>
      <v>17</v>
      <v>1476</v>
      <v>1478</v>
      <v>18</v>
      <v>19</v>
      <v>20</v>
      <v>1478</v>
      <v>1478</v>
      <v>1476</v>
      <v>1478</v>
      <v>21</v>
      <v>22</v>
      <v>23</v>
      <v>44</v>
      <v>1478</v>
      <v>1478</v>
      <v>1478</v>
      <v>1478</v>
      <v>1478</v>
      <v>1478</v>
      <v>1478</v>
      <v>1478</v>
      <v>1478</v>
      <v>1478</v>
      <v>1478</v>
      <v>24</v>
    </spb>
    <spb s="13">
      <v>2019</v>
      <v>2019</v>
      <v>square km</v>
      <v>per thousand (2018)</v>
      <v>2022</v>
      <v>2019</v>
      <v>2018</v>
      <v>per liter (2016)</v>
      <v>2019</v>
      <v>years (2018)</v>
      <v>2018</v>
      <v>per thousand (2018)</v>
      <v>2019</v>
      <v>2017</v>
      <v>2016</v>
      <v>2019</v>
      <v>2016</v>
      <v>2018</v>
      <v>kilotons per year (2016)</v>
      <v>deaths per 100,000 (2017)</v>
      <v>kWh (2014)</v>
      <v>2014</v>
      <v>2015</v>
      <v>2015</v>
      <v>2015</v>
      <v>2015</v>
      <v>2015</v>
      <v>2015</v>
      <v>2015</v>
      <v>2015</v>
      <v>2018</v>
      <v>2018</v>
      <v>2019</v>
    </spb>
    <spb s="1">
      <v xml:space="preserve">Wikipedia	</v>
      <v xml:space="preserve">CC BY-SA 3.0	</v>
      <v xml:space="preserve">https://en.wikipedia.org/wiki/Nuku%CA%BBalofa	</v>
      <v xml:space="preserve">https://creativecommons.org/licenses/by-sa/3.0	</v>
    </spb>
    <spb s="21">
      <v>1481</v>
      <v>1481</v>
      <v>1481</v>
      <v>1481</v>
      <v>1481</v>
      <v>1481</v>
      <v>1481</v>
      <v>1481</v>
    </spb>
    <spb s="3">
      <v>92</v>
      <v>Name</v>
      <v>LearnMoreOnLink</v>
    </spb>
    <spb s="1">
      <v xml:space="preserve">Wikipedia	Cia	travel.state.gov	</v>
      <v xml:space="preserve">CC-BY-SA			</v>
      <v xml:space="preserve">http://en.wikipedia.org/wiki/Tonga	https://www.cia.gov/library/publications/the-world-factbook/geos/tn.html?Transportation	https://travel.state.gov/content/travel/en/international-travel/International-Travel-Country-Information-Pages/Tonga.html	</v>
      <v xml:space="preserve">http://creativecommons.org/licenses/by-sa/3.0/			</v>
    </spb>
    <spb s="1">
      <v xml:space="preserve">Wikipedia	</v>
      <v xml:space="preserve">CC BY-SA 3.0	</v>
      <v xml:space="preserve">https://en.wikipedia.org/wiki/Tonga	</v>
      <v xml:space="preserve">https://creativecommons.org/licenses/by-sa/3.0	</v>
    </spb>
    <spb s="1">
      <v xml:space="preserve">Wikipedia	</v>
      <v xml:space="preserve">CC-BY-SA	</v>
      <v xml:space="preserve">http://en.wikipedia.org/wiki/Tonga	</v>
      <v xml:space="preserve">http://creativecommons.org/licenses/by-sa/3.0/	</v>
    </spb>
    <spb s="1">
      <v xml:space="preserve">Cia	</v>
      <v xml:space="preserve">	</v>
      <v xml:space="preserve">https://www.cia.gov/library/publications/the-world-factbook/geos/tn.html?Transportation	</v>
      <v xml:space="preserve">	</v>
    </spb>
    <spb s="135">
      <v>10</v>
      <v>1484</v>
      <v>1485</v>
      <v>1485</v>
      <v>13</v>
      <v>1485</v>
      <v>1485</v>
      <v>1485</v>
      <v>1486</v>
      <v>1485</v>
      <v>1485</v>
      <v>1485</v>
      <v>1485</v>
      <v>1487</v>
      <v>16</v>
      <v>1487</v>
      <v>17</v>
      <v>1485</v>
      <v>1487</v>
      <v>18</v>
      <v>19</v>
      <v>1487</v>
      <v>1487</v>
      <v>1485</v>
      <v>1487</v>
      <v>21</v>
      <v>22</v>
      <v>23</v>
      <v>1487</v>
      <v>1487</v>
      <v>1487</v>
      <v>1487</v>
      <v>1487</v>
      <v>1487</v>
      <v>1487</v>
      <v>1487</v>
      <v>1487</v>
      <v>1487</v>
      <v>1487</v>
      <v>24</v>
    </spb>
    <spb s="3">
      <v>93</v>
      <v>Name</v>
      <v>LearnMoreOnLink</v>
    </spb>
    <spb s="136">
      <v>2017</v>
      <v>2018</v>
      <v>square km</v>
      <v>per thousand (2018)</v>
      <v>2022</v>
      <v>2017</v>
      <v>2018</v>
      <v>2019</v>
      <v>years (2018)</v>
      <v>2017</v>
      <v>per thousand (2018)</v>
      <v>2019</v>
      <v>2016</v>
      <v>2019</v>
      <v>2016</v>
      <v>2013</v>
      <v>kilotons per year (2016)</v>
      <v>deaths per 100,000 (2017)</v>
      <v>2007</v>
      <v>2015</v>
      <v>2015</v>
      <v>2015</v>
      <v>2015</v>
      <v>2015</v>
      <v>2015</v>
      <v>2015</v>
      <v>2015</v>
      <v>2015</v>
      <v>2003</v>
      <v>2019</v>
    </spb>
    <spb s="1">
      <v xml:space="preserve">Wikipedia	</v>
      <v xml:space="preserve">CC BY-SA 3.0	</v>
      <v xml:space="preserve">https://en.wikipedia.org/wiki/Port_of_Spain	</v>
      <v xml:space="preserve">https://creativecommons.org/licenses/by-sa/3.0	</v>
    </spb>
    <spb s="1">
      <v xml:space="preserve">Wikipedia	</v>
      <v xml:space="preserve">CC-BY-SA	</v>
      <v xml:space="preserve">http://en.wikipedia.org/wiki/Port_of_Spain	</v>
      <v xml:space="preserve">http://creativecommons.org/licenses/by-sa/3.0/	</v>
    </spb>
    <spb s="16">
      <v>1491</v>
      <v>1491</v>
      <v>1492</v>
      <v>1491</v>
      <v>1491</v>
      <v>1492</v>
      <v>1491</v>
    </spb>
    <spb s="1">
      <v xml:space="preserve">Wikipedia	Cia	travel.state.gov	</v>
      <v xml:space="preserve">CC-BY-SA			</v>
      <v xml:space="preserve">http://en.wikipedia.org/wiki/Trinidad_and_Tobago	https://www.cia.gov/library/publications/the-world-factbook/geos/td.html?Transportation	https://travel.state.gov/content/travel/en/international-travel/International-Travel-Country-Information-Pages/TrinidadandTobago.html	</v>
      <v xml:space="preserve">http://creativecommons.org/licenses/by-sa/3.0/			</v>
    </spb>
    <spb s="1">
      <v xml:space="preserve">Wikipedia	</v>
      <v xml:space="preserve">CC BY-SA 3.0	</v>
      <v xml:space="preserve">https://en.wikipedia.org/wiki/Trinidad_and_Tobago	</v>
      <v xml:space="preserve">https://creativecommons.org/licenses/by-sa/3.0	</v>
    </spb>
    <spb s="1">
      <v xml:space="preserve">Wikipedia	</v>
      <v xml:space="preserve">CC-BY-SA	</v>
      <v xml:space="preserve">http://en.wikipedia.org/wiki/Trinidad_and_Tobago	</v>
      <v xml:space="preserve">http://creativecommons.org/licenses/by-sa/3.0/	</v>
    </spb>
    <spb s="1">
      <v xml:space="preserve">Cia	</v>
      <v xml:space="preserve">	</v>
      <v xml:space="preserve">https://www.cia.gov/library/publications/the-world-factbook/geos/td.html?Transportation	</v>
      <v xml:space="preserve">	</v>
    </spb>
    <spb s="14">
      <v>10</v>
      <v>1494</v>
      <v>1495</v>
      <v>1495</v>
      <v>13</v>
      <v>1495</v>
      <v>1495</v>
      <v>1495</v>
      <v>1496</v>
      <v>1495</v>
      <v>1495</v>
      <v>1496</v>
      <v>1495</v>
      <v>1495</v>
      <v>1497</v>
      <v>16</v>
      <v>1494</v>
      <v>1497</v>
      <v>17</v>
      <v>1495</v>
      <v>1497</v>
      <v>18</v>
      <v>19</v>
      <v>20</v>
      <v>1497</v>
      <v>1497</v>
      <v>1495</v>
      <v>1497</v>
      <v>21</v>
      <v>22</v>
      <v>23</v>
      <v>44</v>
      <v>1497</v>
      <v>1494</v>
      <v>1497</v>
      <v>1497</v>
      <v>1497</v>
      <v>1497</v>
      <v>1497</v>
      <v>1497</v>
      <v>1497</v>
      <v>1497</v>
      <v>1497</v>
      <v>1497</v>
      <v>24</v>
    </spb>
    <spb s="15">
      <v>2018</v>
      <v>2019</v>
      <v>square km</v>
      <v>per thousand (2018)</v>
      <v>2022</v>
      <v>2018</v>
      <v>2018</v>
      <v>per liter (2016)</v>
      <v>2019</v>
      <v>years (2018)</v>
      <v>2017</v>
      <v>per thousand (2018)</v>
      <v>2019</v>
      <v>2017</v>
      <v>2016</v>
      <v>2019</v>
      <v>2016</v>
      <v>2018</v>
      <v>kilotons per year (2016)</v>
      <v>deaths per 100,000 (2017)</v>
      <v>kWh (2014)</v>
      <v>2014</v>
      <v>2001</v>
      <v>1992</v>
      <v>1992</v>
      <v>1992</v>
      <v>1992</v>
      <v>1992</v>
      <v>2015</v>
      <v>1992</v>
      <v>1992</v>
      <v>2010</v>
      <v>2004</v>
      <v>2019</v>
    </spb>
    <spb s="1">
      <v xml:space="preserve">Wikipedia	</v>
      <v xml:space="preserve">CC-BY-SA	</v>
      <v xml:space="preserve">http://en.wikipedia.org/wiki/Tunis	</v>
      <v xml:space="preserve">http://creativecommons.org/licenses/by-sa/3.0/	</v>
    </spb>
    <spb s="1">
      <v xml:space="preserve">Wikipedia	</v>
      <v xml:space="preserve">CC BY-SA 3.0	</v>
      <v xml:space="preserve">https://en.wikipedia.org/wiki/Tunis	</v>
      <v xml:space="preserve">https://creativecommons.org/licenses/by-sa/3.0	</v>
    </spb>
    <spb s="2">
      <v>1500</v>
      <v>1501</v>
      <v>1501</v>
      <v>1501</v>
      <v>1501</v>
      <v>1501</v>
      <v>1501</v>
      <v>1501</v>
      <v>1501</v>
      <v>1501</v>
    </spb>
    <spb s="1">
      <v xml:space="preserve">Wikipedia	Cia	travel.state.gov	</v>
      <v xml:space="preserve">CC-BY-SA			</v>
      <v xml:space="preserve">http://en.wikipedia.org/wiki/Tunisia	https://www.cia.gov/library/publications/the-world-factbook/geos/ts.html?Transportation	https://travel.state.gov/content/travel/en/international-travel/International-Travel-Country-Information-Pages/Tunisia.html	</v>
      <v xml:space="preserve">http://creativecommons.org/licenses/by-sa/3.0/			</v>
    </spb>
    <spb s="1">
      <v xml:space="preserve">Wikipedia	</v>
      <v xml:space="preserve">CC BY-SA 3.0	</v>
      <v xml:space="preserve">https://en.wikipedia.org/wiki/Tunisia	</v>
      <v xml:space="preserve">https://creativecommons.org/licenses/by-sa/3.0	</v>
    </spb>
    <spb s="1">
      <v xml:space="preserve">Wikipedia	</v>
      <v xml:space="preserve">CC-BY-SA	</v>
      <v xml:space="preserve">http://en.wikipedia.org/wiki/Tunisia	</v>
      <v xml:space="preserve">http://creativecommons.org/licenses/by-sa/3.0/	</v>
    </spb>
    <spb s="1">
      <v xml:space="preserve">Cia	</v>
      <v xml:space="preserve">	</v>
      <v xml:space="preserve">https://www.cia.gov/library/publications/the-world-factbook/geos/ts.html?Transportation	</v>
      <v xml:space="preserve">	</v>
    </spb>
    <spb s="14">
      <v>10</v>
      <v>1503</v>
      <v>1504</v>
      <v>1504</v>
      <v>13</v>
      <v>1504</v>
      <v>1504</v>
      <v>1504</v>
      <v>1505</v>
      <v>1504</v>
      <v>1504</v>
      <v>1505</v>
      <v>1504</v>
      <v>1504</v>
      <v>1506</v>
      <v>16</v>
      <v>1503</v>
      <v>1506</v>
      <v>17</v>
      <v>1504</v>
      <v>1506</v>
      <v>18</v>
      <v>19</v>
      <v>20</v>
      <v>1506</v>
      <v>1506</v>
      <v>1504</v>
      <v>1506</v>
      <v>21</v>
      <v>22</v>
      <v>23</v>
      <v>44</v>
      <v>1506</v>
      <v>1503</v>
      <v>1506</v>
      <v>1506</v>
      <v>1506</v>
      <v>1506</v>
      <v>1506</v>
      <v>1506</v>
      <v>1506</v>
      <v>1506</v>
      <v>1506</v>
      <v>1506</v>
      <v>24</v>
    </spb>
    <spb s="15">
      <v>2019</v>
      <v>2019</v>
      <v>square km</v>
      <v>per thousand (2018)</v>
      <v>2022</v>
      <v>2019</v>
      <v>2018</v>
      <v>per liter (2016)</v>
      <v>2019</v>
      <v>years (2018)</v>
      <v>2012</v>
      <v>per thousand (2018)</v>
      <v>2019</v>
      <v>2017</v>
      <v>2016</v>
      <v>2019</v>
      <v>2016</v>
      <v>2017</v>
      <v>kilotons per year (2016)</v>
      <v>deaths per 100,000 (2017)</v>
      <v>kWh (2014)</v>
      <v>2014</v>
      <v>2019</v>
      <v>2015</v>
      <v>2015</v>
      <v>2015</v>
      <v>2015</v>
      <v>2015</v>
      <v>2015</v>
      <v>2015</v>
      <v>2015</v>
      <v>2018</v>
      <v>2018</v>
      <v>2019</v>
    </spb>
    <spb s="1">
      <v xml:space="preserve">Wikipedia	</v>
      <v xml:space="preserve">CC BY-SA 3.0	</v>
      <v xml:space="preserve">https://en.wikipedia.org/wiki/Ankara	</v>
      <v xml:space="preserve">https://creativecommons.org/licenses/by-sa/3.0	</v>
    </spb>
    <spb s="11">
      <v>1509</v>
      <v>1509</v>
      <v>1509</v>
      <v>1509</v>
      <v>1509</v>
      <v>1509</v>
      <v>1509</v>
      <v>1509</v>
      <v>1509</v>
    </spb>
    <spb s="1">
      <v xml:space="preserve">Wikipedia	</v>
      <v xml:space="preserve">CC BY-SA 3.0	</v>
      <v xml:space="preserve">https://en.wikipedia.org/wiki/Ashgabat	</v>
      <v xml:space="preserve">https://creativecommons.org/licenses/by-sa/3.0	</v>
    </spb>
    <spb s="1">
      <v xml:space="preserve">Wikipedia	</v>
      <v xml:space="preserve">CC-BY-SA	</v>
      <v xml:space="preserve">http://en.wikipedia.org/wiki/Ashgabat	</v>
      <v xml:space="preserve">http://creativecommons.org/licenses/by-sa/3.0/	</v>
    </spb>
    <spb s="16">
      <v>1511</v>
      <v>1511</v>
      <v>1511</v>
      <v>1511</v>
      <v>1511</v>
      <v>1512</v>
      <v>1511</v>
    </spb>
    <spb s="1">
      <v xml:space="preserve">Wikipedia	Cia	travel.state.gov	</v>
      <v xml:space="preserve">CC-BY-SA			</v>
      <v xml:space="preserve">http://en.wikipedia.org/wiki/Turkmenistan	https://www.cia.gov/library/publications/the-world-factbook/geos/tx.html?Transportation	https://travel.state.gov/content/travel/en/international-travel/International-Travel-Country-Information-Pages/Turkmenistan.html	</v>
      <v xml:space="preserve">http://creativecommons.org/licenses/by-sa/3.0/			</v>
    </spb>
    <spb s="1">
      <v xml:space="preserve">Wikipedia	</v>
      <v xml:space="preserve">CC BY-SA 3.0	</v>
      <v xml:space="preserve">https://en.wikipedia.org/wiki/Turkmenistan	</v>
      <v xml:space="preserve">https://creativecommons.org/licenses/by-sa/3.0	</v>
    </spb>
    <spb s="1">
      <v xml:space="preserve">Wikipedia	</v>
      <v xml:space="preserve">CC-BY-SA	</v>
      <v xml:space="preserve">http://en.wikipedia.org/wiki/Turkmenistan	</v>
      <v xml:space="preserve">http://creativecommons.org/licenses/by-sa/3.0/	</v>
    </spb>
    <spb s="1">
      <v xml:space="preserve">Cia	</v>
      <v xml:space="preserve">	</v>
      <v xml:space="preserve">https://www.cia.gov/library/publications/the-world-factbook/geos/tx.html?Transportation	</v>
      <v xml:space="preserve">	</v>
    </spb>
    <spb s="137">
      <v>1514</v>
      <v>1515</v>
      <v>1515</v>
      <v>13</v>
      <v>1515</v>
      <v>1515</v>
      <v>1515</v>
      <v>1516</v>
      <v>1515</v>
      <v>1515</v>
      <v>1516</v>
      <v>1515</v>
      <v>1515</v>
      <v>16</v>
      <v>1514</v>
      <v>17</v>
      <v>1515</v>
      <v>18</v>
      <v>19</v>
      <v>20</v>
      <v>1517</v>
      <v>1517</v>
      <v>1515</v>
      <v>1517</v>
      <v>21</v>
      <v>22</v>
      <v>23</v>
      <v>44</v>
      <v>1517</v>
      <v>1517</v>
      <v>1517</v>
      <v>1517</v>
      <v>1517</v>
      <v>1517</v>
      <v>1517</v>
      <v>1517</v>
      <v>1517</v>
      <v>1517</v>
      <v>24</v>
    </spb>
    <spb s="3">
      <v>94</v>
      <v>Name</v>
      <v>LearnMoreOnLink</v>
    </spb>
    <spb s="138">
      <v>2018</v>
      <v>square km</v>
      <v>per thousand (2018)</v>
      <v>2022</v>
      <v>2018</v>
      <v>per liter (2016)</v>
      <v>years (2018)</v>
      <v>per thousand (2018)</v>
      <v>2019</v>
      <v>2017</v>
      <v>2016</v>
      <v>2019</v>
      <v>2016</v>
      <v>2014</v>
      <v>kilotons per year (2016)</v>
      <v>deaths per 100,000 (2017)</v>
      <v>kWh (2014)</v>
      <v>1998</v>
      <v>1998</v>
      <v>1998</v>
      <v>1998</v>
      <v>1998</v>
      <v>2015</v>
      <v>1998</v>
      <v>1998</v>
      <v>2014</v>
      <v>2014</v>
      <v>2019</v>
    </spb>
    <spb s="1">
      <v xml:space="preserve">Wikipedia	</v>
      <v xml:space="preserve">CC BY-SA 3.0	</v>
      <v xml:space="preserve">https://en.wikipedia.org/wiki/Funafuti	</v>
      <v xml:space="preserve">https://creativecommons.org/licenses/by-sa/3.0	</v>
    </spb>
    <spb s="1">
      <v xml:space="preserve">Wikipedia	</v>
      <v xml:space="preserve">CC-BY-SA	</v>
      <v xml:space="preserve">http://en.wikipedia.org/wiki/Funafuti	</v>
      <v xml:space="preserve">http://creativecommons.org/licenses/by-sa/3.0/	</v>
    </spb>
    <spb s="16">
      <v>1521</v>
      <v>1521</v>
      <v>1521</v>
      <v>1521</v>
      <v>1521</v>
      <v>1522</v>
      <v>1521</v>
    </spb>
    <spb s="3">
      <v>95</v>
      <v>Name</v>
      <v>LearnMoreOnLink</v>
    </spb>
    <spb s="1">
      <v xml:space="preserve">Wikipedia	Cia	travel.state.gov	</v>
      <v xml:space="preserve">CC-BY-SA			</v>
      <v xml:space="preserve">http://en.wikipedia.org/wiki/Tuvalu	https://www.cia.gov/library/publications/the-world-factbook/geos/tv.html?Transportation	https://travel.state.gov/content/travel/en/international-travel/International-Travel-Country-Information-Pages/Tuvalu.html	</v>
      <v xml:space="preserve">http://creativecommons.org/licenses/by-sa/3.0/			</v>
    </spb>
    <spb s="1">
      <v xml:space="preserve">Wikipedia	</v>
      <v xml:space="preserve">CC BY-SA 3.0	</v>
      <v xml:space="preserve">https://en.wikipedia.org/wiki/Tuvalu	</v>
      <v xml:space="preserve">https://creativecommons.org/licenses/by-sa/3.0	</v>
    </spb>
    <spb s="1">
      <v xml:space="preserve">Wikipedia	</v>
      <v xml:space="preserve">CC-BY-SA	</v>
      <v xml:space="preserve">http://en.wikipedia.org/wiki/Tuvalu	</v>
      <v xml:space="preserve">http://creativecommons.org/licenses/by-sa/3.0/	</v>
    </spb>
    <spb s="1">
      <v xml:space="preserve">Cia	</v>
      <v xml:space="preserve">	</v>
      <v xml:space="preserve">https://www.cia.gov/library/publications/the-world-factbook/geos/tv.html?Transportation	</v>
      <v xml:space="preserve">	</v>
    </spb>
    <spb s="139">
      <v>1525</v>
      <v>1526</v>
      <v>1526</v>
      <v>1526</v>
      <v>1526</v>
      <v>1526</v>
      <v>1527</v>
      <v>1526</v>
      <v>1526</v>
      <v>1526</v>
      <v>1526</v>
      <v>1526</v>
      <v>18</v>
      <v>19</v>
      <v>1528</v>
      <v>1526</v>
      <v>1528</v>
      <v>21</v>
      <v>22</v>
      <v>1528</v>
      <v>1528</v>
      <v>1528</v>
      <v>1528</v>
      <v>1528</v>
      <v>1528</v>
      <v>1528</v>
      <v>1528</v>
      <v>1528</v>
    </spb>
    <spb s="3">
      <v>96</v>
      <v>Name</v>
      <v>LearnMoreOnLink</v>
    </spb>
    <spb s="140">
      <v>2019</v>
      <v>square km</v>
      <v>2022</v>
      <v>per thousand (2018)</v>
      <v>2019</v>
      <v>2016</v>
      <v>2016</v>
      <v>2014</v>
      <v>kilotons per year (2016)</v>
      <v>2010</v>
      <v>2010</v>
      <v>2010</v>
      <v>2010</v>
      <v>2010</v>
      <v>2015</v>
      <v>2010</v>
      <v>2010</v>
      <v>2018</v>
    </spb>
    <spb s="1">
      <v xml:space="preserve">Wikipedia	</v>
      <v xml:space="preserve">CC-BY-SA	</v>
      <v xml:space="preserve">http://en.wikipedia.org/wiki/Kampala	</v>
      <v xml:space="preserve">http://creativecommons.org/licenses/by-sa/3.0/	</v>
    </spb>
    <spb s="1">
      <v xml:space="preserve">Wikipedia	</v>
      <v xml:space="preserve">CC BY-SA 3.0	</v>
      <v xml:space="preserve">https://en.wikipedia.org/wiki/Kampala	</v>
      <v xml:space="preserve">https://creativecommons.org/licenses/by-sa/3.0	</v>
    </spb>
    <spb s="16">
      <v>1532</v>
      <v>1533</v>
      <v>1533</v>
      <v>1533</v>
      <v>1533</v>
      <v>1532</v>
      <v>1533</v>
    </spb>
    <spb s="1">
      <v xml:space="preserve">Wikipedia	Cia	travel.state.gov	</v>
      <v xml:space="preserve">CC-BY-SA			</v>
      <v xml:space="preserve">http://en.wikipedia.org/wiki/Uganda	https://www.cia.gov/library/publications/the-world-factbook/geos/ug.html?Transportation	https://travel.state.gov/content/travel/en/international-travel/International-Travel-Country-Information-Pages/Uganda.html	</v>
      <v xml:space="preserve">http://creativecommons.org/licenses/by-sa/3.0/			</v>
    </spb>
    <spb s="1">
      <v xml:space="preserve">Wikipedia	</v>
      <v xml:space="preserve">CC BY-SA 3.0	</v>
      <v xml:space="preserve">https://en.wikipedia.org/wiki/Uganda	</v>
      <v xml:space="preserve">https://creativecommons.org/licenses/by-sa/3.0	</v>
    </spb>
    <spb s="1">
      <v xml:space="preserve">Wikipedia	</v>
      <v xml:space="preserve">CC-BY-SA	</v>
      <v xml:space="preserve">http://en.wikipedia.org/wiki/Uganda	</v>
      <v xml:space="preserve">http://creativecommons.org/licenses/by-sa/3.0/	</v>
    </spb>
    <spb s="1">
      <v xml:space="preserve">Cia	</v>
      <v xml:space="preserve">	</v>
      <v xml:space="preserve">https://www.cia.gov/library/publications/the-world-factbook/geos/ug.html?Transportation	</v>
      <v xml:space="preserve">	</v>
    </spb>
    <spb s="40">
      <v>10</v>
      <v>1535</v>
      <v>1536</v>
      <v>1536</v>
      <v>13</v>
      <v>1536</v>
      <v>1536</v>
      <v>1536</v>
      <v>1537</v>
      <v>1536</v>
      <v>1536</v>
      <v>1537</v>
      <v>1536</v>
      <v>1536</v>
      <v>1538</v>
      <v>16</v>
      <v>1535</v>
      <v>1538</v>
      <v>17</v>
      <v>1536</v>
      <v>1538</v>
      <v>18</v>
      <v>19</v>
      <v>20</v>
      <v>1538</v>
      <v>1538</v>
      <v>1536</v>
      <v>1538</v>
      <v>21</v>
      <v>22</v>
      <v>23</v>
      <v>1538</v>
      <v>1538</v>
      <v>1538</v>
      <v>1538</v>
      <v>1538</v>
      <v>1538</v>
      <v>1538</v>
      <v>1538</v>
      <v>1538</v>
      <v>1538</v>
      <v>24</v>
    </spb>
    <spb s="37">
      <v>2019</v>
      <v>2019</v>
      <v>square km</v>
      <v>per thousand (2018)</v>
      <v>2022</v>
      <v>2019</v>
      <v>2018</v>
      <v>per liter (2016)</v>
      <v>2019</v>
      <v>years (2018)</v>
      <v>2018</v>
      <v>per thousand (2018)</v>
      <v>2019</v>
      <v>2017</v>
      <v>2016</v>
      <v>2019</v>
      <v>2016</v>
      <v>2017</v>
      <v>kilotons per year (2016)</v>
      <v>deaths per 100,000 (2017)</v>
      <v>2016</v>
      <v>2016</v>
      <v>2016</v>
      <v>2016</v>
      <v>2016</v>
      <v>2015</v>
      <v>2016</v>
      <v>2016</v>
      <v>2017</v>
      <v>2014</v>
      <v>2019</v>
    </spb>
    <spb s="1">
      <v xml:space="preserve">Wikipedia	</v>
      <v xml:space="preserve">CC BY-SA 3.0	</v>
      <v xml:space="preserve">https://en.wikipedia.org/wiki/Kyiv	</v>
      <v xml:space="preserve">https://creativecommons.org/licenses/by-sa/3.0	</v>
    </spb>
    <spb s="1">
      <v xml:space="preserve">Wikipedia	Wikipedia	</v>
      <v xml:space="preserve">CC-BY-SA	CC-BY-SA	</v>
      <v xml:space="preserve">http://en.wikipedia.org/wiki/Kyiv	http://en.wikipedia.org/wiki/Kiev	</v>
      <v xml:space="preserve">http://creativecommons.org/licenses/by-sa/3.0/	http://creativecommons.org/licenses/by-sa/3.0/	</v>
    </spb>
    <spb s="141">
      <v>1541</v>
      <v>1541</v>
      <v>1541</v>
      <v>1541</v>
      <v>1541</v>
      <v>1541</v>
      <v>1542</v>
    </spb>
    <spb s="3">
      <v>97</v>
      <v>Name</v>
      <v>LearnMoreOnLink</v>
    </spb>
    <spb s="1">
      <v xml:space="preserve">Wikipedia	Cia	Youtube	</v>
      <v xml:space="preserve">CC-BY-SA			</v>
      <v xml:space="preserve">http://en.wikipedia.org/wiki/Ukraine	https://www.cia.gov/library/publications/the-world-factbook/geos/up.html?Transportation	https://www.youtube.com/channel/UC3ZSveaqIraw9BASEyDLYXg	</v>
      <v xml:space="preserve">http://creativecommons.org/licenses/by-sa/3.0/			</v>
    </spb>
    <spb s="1">
      <v xml:space="preserve">Wikipedia	</v>
      <v xml:space="preserve">CC BY-SA 3.0	</v>
      <v xml:space="preserve">https://en.wikipedia.org/wiki/Ukraine	</v>
      <v xml:space="preserve">https://creativecommons.org/licenses/by-sa/3.0	</v>
    </spb>
    <spb s="1">
      <v xml:space="preserve">Wikipedia	</v>
      <v xml:space="preserve">CC-BY-SA	</v>
      <v xml:space="preserve">http://en.wikipedia.org/wiki/Ukraine	</v>
      <v xml:space="preserve">http://creativecommons.org/licenses/by-sa/3.0/	</v>
    </spb>
    <spb s="1">
      <v xml:space="preserve">Cia	</v>
      <v xml:space="preserve">	</v>
      <v xml:space="preserve">https://www.cia.gov/library/publications/the-world-factbook/geos/up.html?Transportation	</v>
      <v xml:space="preserve">	</v>
    </spb>
    <spb s="14">
      <v>10</v>
      <v>1545</v>
      <v>1546</v>
      <v>1546</v>
      <v>13</v>
      <v>1546</v>
      <v>1546</v>
      <v>1546</v>
      <v>1547</v>
      <v>1546</v>
      <v>1546</v>
      <v>1547</v>
      <v>1546</v>
      <v>1546</v>
      <v>1548</v>
      <v>16</v>
      <v>1545</v>
      <v>1548</v>
      <v>17</v>
      <v>1546</v>
      <v>1548</v>
      <v>18</v>
      <v>19</v>
      <v>20</v>
      <v>1548</v>
      <v>1548</v>
      <v>1546</v>
      <v>1548</v>
      <v>21</v>
      <v>22</v>
      <v>23</v>
      <v>44</v>
      <v>1548</v>
      <v>1545</v>
      <v>1548</v>
      <v>1548</v>
      <v>1548</v>
      <v>1548</v>
      <v>1548</v>
      <v>1548</v>
      <v>1548</v>
      <v>1548</v>
      <v>1548</v>
      <v>1548</v>
      <v>24</v>
    </spb>
    <spb s="15">
      <v>2019</v>
      <v>2019</v>
      <v>square km</v>
      <v>per thousand (2018)</v>
      <v>2022</v>
      <v>2019</v>
      <v>2018</v>
      <v>per liter (2016)</v>
      <v>2019</v>
      <v>years (2018)</v>
      <v>2018</v>
      <v>per thousand (2018)</v>
      <v>2019</v>
      <v>2017</v>
      <v>2016</v>
      <v>2019</v>
      <v>2016</v>
      <v>2014</v>
      <v>kilotons per year (2016)</v>
      <v>deaths per 100,000 (2017)</v>
      <v>kWh (2014)</v>
      <v>2014</v>
      <v>2018</v>
      <v>2018</v>
      <v>2018</v>
      <v>2018</v>
      <v>2018</v>
      <v>2018</v>
      <v>2015</v>
      <v>2018</v>
      <v>2018</v>
      <v>2014</v>
      <v>2014</v>
      <v>2019</v>
    </spb>
    <spb s="1">
      <v xml:space="preserve">Wikipedia	</v>
      <v xml:space="preserve">CC BY-SA 3.0	</v>
      <v xml:space="preserve">https://en.wikipedia.org/wiki/Abu_Dhabi	</v>
      <v xml:space="preserve">https://creativecommons.org/licenses/by-sa/3.0	</v>
    </spb>
    <spb s="11">
      <v>1551</v>
      <v>1551</v>
      <v>1551</v>
      <v>1551</v>
      <v>1551</v>
      <v>1551</v>
      <v>1551</v>
      <v>1551</v>
      <v>1551</v>
    </spb>
    <spb s="1">
      <v xml:space="preserve">Wikipedia	Cia	travel.state.gov	</v>
      <v xml:space="preserve">CC-BY-SA			</v>
      <v xml:space="preserve">http://en.wikipedia.org/wiki/United_Arab_Emirates	https://www.cia.gov/library/publications/the-world-factbook/geos/ae.html?Transportation	https://travel.state.gov/content/travel/en/international-travel/International-Travel-Country-Information-Pages/UnitedArabEmirates.html	</v>
      <v xml:space="preserve">http://creativecommons.org/licenses/by-sa/3.0/			</v>
    </spb>
    <spb s="1">
      <v xml:space="preserve">Wikipedia	</v>
      <v xml:space="preserve">CC BY-SA 3.0	</v>
      <v xml:space="preserve">https://en.wikipedia.org/wiki/United_Arab_Emirates	</v>
      <v xml:space="preserve">https://creativecommons.org/licenses/by-sa/3.0	</v>
    </spb>
    <spb s="1">
      <v xml:space="preserve">Wikipedia	</v>
      <v xml:space="preserve">CC-BY-SA	</v>
      <v xml:space="preserve">http://en.wikipedia.org/wiki/United_Arab_Emirates	</v>
      <v xml:space="preserve">http://creativecommons.org/licenses/by-sa/3.0/	</v>
    </spb>
    <spb s="1">
      <v xml:space="preserve">Cia	</v>
      <v xml:space="preserve">	</v>
      <v xml:space="preserve">https://www.cia.gov/library/publications/the-world-factbook/geos/ae.html?Transportation	</v>
      <v xml:space="preserve">	</v>
    </spb>
    <spb s="52">
      <v>10</v>
      <v>1553</v>
      <v>1554</v>
      <v>1554</v>
      <v>13</v>
      <v>1554</v>
      <v>1554</v>
      <v>1554</v>
      <v>1555</v>
      <v>1554</v>
      <v>1554</v>
      <v>1554</v>
      <v>1554</v>
      <v>1556</v>
      <v>16</v>
      <v>1553</v>
      <v>1556</v>
      <v>17</v>
      <v>1554</v>
      <v>1556</v>
      <v>18</v>
      <v>19</v>
      <v>20</v>
      <v>1556</v>
      <v>1556</v>
      <v>1554</v>
      <v>1556</v>
      <v>21</v>
      <v>22</v>
      <v>23</v>
      <v>44</v>
      <v>1556</v>
      <v>1553</v>
      <v>1556</v>
      <v>1556</v>
      <v>1556</v>
      <v>1556</v>
      <v>1556</v>
      <v>1556</v>
      <v>1556</v>
      <v>1556</v>
      <v>1556</v>
      <v>1556</v>
      <v>24</v>
    </spb>
    <spb s="15">
      <v>2019</v>
      <v>2019</v>
      <v>square km</v>
      <v>per thousand (2018)</v>
      <v>2022</v>
      <v>2019</v>
      <v>2018</v>
      <v>per liter (2016)</v>
      <v>2019</v>
      <v>years (2018)</v>
      <v>2018</v>
      <v>per thousand (2018)</v>
      <v>2019</v>
      <v>2017</v>
      <v>2016</v>
      <v>2019</v>
      <v>2016</v>
      <v>2018</v>
      <v>kilotons per year (2016)</v>
      <v>deaths per 100,000 (2017)</v>
      <v>kWh (2014)</v>
      <v>2014</v>
      <v>2019</v>
      <v>2014</v>
      <v>2014</v>
      <v>2014</v>
      <v>2014</v>
      <v>2014</v>
      <v>2015</v>
      <v>2014</v>
      <v>2014</v>
      <v>2017</v>
      <v>2016</v>
      <v>2019</v>
    </spb>
    <spb s="1">
      <v xml:space="preserve">Wikipedia	</v>
      <v xml:space="preserve">CC BY-SA 3.0	</v>
      <v xml:space="preserve">https://en.wikipedia.org/wiki/London	</v>
      <v xml:space="preserve">https://creativecommons.org/licenses/by-sa/3.0	</v>
    </spb>
    <spb s="2">
      <v>1559</v>
      <v>1559</v>
      <v>1559</v>
      <v>1559</v>
      <v>1559</v>
      <v>1559</v>
      <v>1559</v>
      <v>1559</v>
      <v>1559</v>
      <v>1559</v>
    </spb>
    <spb s="1">
      <v xml:space="preserve">Wikipedia	</v>
      <v xml:space="preserve">CC BY-SA 3.0	</v>
      <v xml:space="preserve">https://en.wikipedia.org/wiki/Washington,_D.C.	</v>
      <v xml:space="preserve">https://creativecommons.org/licenses/by-sa/3.0	</v>
    </spb>
    <spb s="1">
      <v xml:space="preserve">US Census	</v>
      <v xml:space="preserve">	</v>
      <v xml:space="preserve">https://www.census.gov/popest/data/state/asrh/2014/files/SC-EST2014-AGESEX-CIV.csv	</v>
      <v xml:space="preserve">	</v>
    </spb>
    <spb s="1">
      <v xml:space="preserve">Wikipedia	</v>
      <v xml:space="preserve">CC-BY-SA	</v>
      <v xml:space="preserve">http://en.wikipedia.org/wiki/Washington,_D.C.	</v>
      <v xml:space="preserve">http://creativecommons.org/licenses/by-sa/3.0/	</v>
    </spb>
    <spb s="1">
      <v xml:space="preserve">Wikipedia	US Census	US Census	</v>
      <v xml:space="preserve">CC-BY-SA			</v>
      <v xml:space="preserve">http://en.wikipedia.org/wiki/Washington,_D.C.	https://www.census.gov/popest/data/state/asrh/2014/files/SC-EST2014-AGESEX-CIV.csv	http://www.census.gov/quickfacts/table/WTN220212/11	</v>
      <v xml:space="preserve">http://creativecommons.org/licenses/by-sa/3.0/			</v>
    </spb>
    <spb s="142">
      <v>1561</v>
      <v>1561</v>
      <v>1562</v>
      <v>1561</v>
      <v>1561</v>
      <v>1561</v>
      <v>1563</v>
      <v>1562</v>
      <v>1561</v>
      <v>1562</v>
      <v>1564</v>
      <v>1562</v>
      <v>1562</v>
      <v>1562</v>
      <v>1562</v>
      <v>1564</v>
      <v>1562</v>
      <v>1562</v>
      <v>1562</v>
      <v>1562</v>
      <v>1562</v>
      <v>1562</v>
      <v>1562</v>
      <v>1562</v>
      <v>1562</v>
      <v>1564</v>
      <v>1562</v>
      <v>1562</v>
      <v>1562</v>
      <v>1562</v>
    </spb>
    <spb s="3">
      <v>98</v>
      <v>Name</v>
      <v>LearnMoreOnLink</v>
    </spb>
    <spb s="143">
      <v>square km</v>
      <v>2015</v>
      <v>2020</v>
      <v>2016</v>
      <v>2016</v>
      <v>2015</v>
      <v>2015</v>
      <v>2010, 2016</v>
      <v>persons (2015)</v>
      <v>persons (2015)</v>
      <v>2015</v>
      <v>2015</v>
      <v>2015</v>
      <v>2015</v>
      <v>persons (2015)</v>
      <v>persons (2015)</v>
      <v>2015</v>
      <v>persons age 16+, 2015</v>
      <v>persons (2015)</v>
      <v>under age 65, 2015</v>
      <v>2015</v>
      <v>persons age 25+, 2015</v>
      <v>persons (2015)</v>
      <v>persons (2015)</v>
      <v>persons (2015)</v>
    </spb>
    <spb s="0">
      <v>14</v>
    </spb>
    <spb s="1">
      <v xml:space="preserve">Wikipedia	US Census	US Census	</v>
      <v xml:space="preserve">CC-BY-SA			</v>
      <v xml:space="preserve">http://en.wikipedia.org/wiki/United_States	https://www.census.gov/popest/data/state/asrh/2014/files/SC-EST2014-AGESEX-CIV.csv	http://www.census.gov/quickfacts/table/VET605214/	</v>
      <v xml:space="preserve">http://creativecommons.org/licenses/by-sa/3.0/			</v>
    </spb>
    <spb s="1">
      <v xml:space="preserve">Wikipedia	</v>
      <v xml:space="preserve">CC BY-SA 3.0	</v>
      <v xml:space="preserve">https://en.wikipedia.org/wiki/United_States	</v>
      <v xml:space="preserve">https://creativecommons.org/licenses/by-sa/3.0	</v>
    </spb>
    <spb s="1">
      <v xml:space="preserve">Wikipedia	</v>
      <v xml:space="preserve">CC-BY-SA	</v>
      <v xml:space="preserve">http://en.wikipedia.org/wiki/United_States	</v>
      <v xml:space="preserve">http://creativecommons.org/licenses/by-sa/3.0/	</v>
    </spb>
    <spb s="144">
      <v>10</v>
      <v>1569</v>
      <v>1570</v>
      <v>1570</v>
      <v>13</v>
      <v>1570</v>
      <v>1570</v>
      <v>1570</v>
      <v>1571</v>
      <v>1570</v>
      <v>1570</v>
      <v>1571</v>
      <v>1570</v>
      <v>1570</v>
      <v>16</v>
      <v>1569</v>
      <v>1562</v>
      <v>17</v>
      <v>1570</v>
      <v>1562</v>
      <v>18</v>
      <v>19</v>
      <v>20</v>
      <v>1562</v>
      <v>1570</v>
      <v>1562</v>
      <v>21</v>
      <v>22</v>
      <v>23</v>
      <v>44</v>
      <v>1562</v>
      <v>1569</v>
      <v>1562</v>
      <v>1562</v>
      <v>1562</v>
      <v>1562</v>
      <v>1562</v>
      <v>1562</v>
      <v>1562</v>
      <v>1562</v>
      <v>1562</v>
      <v>1562</v>
      <v>24</v>
    </spb>
    <spb s="15">
      <v>2019</v>
      <v>2019</v>
      <v>square km</v>
      <v>per thousand (2018)</v>
      <v>2022</v>
      <v>2022</v>
      <v>2018</v>
      <v>per liter (2016)</v>
      <v>2019</v>
      <v>years (2018)</v>
      <v>2019</v>
      <v>per thousand (2018)</v>
      <v>2019</v>
      <v>2017</v>
      <v>2016</v>
      <v>2020</v>
      <v>2016</v>
      <v>2017</v>
      <v>kilotons per year (2016)</v>
      <v>deaths per 100,000 (2017)</v>
      <v>kWh (2014)</v>
      <v>2015</v>
      <v>2018</v>
      <v>2016</v>
      <v>2016</v>
      <v>2016</v>
      <v>2016</v>
      <v>2016</v>
      <v>2015</v>
      <v>2016</v>
      <v>2016</v>
      <v>2017</v>
      <v>2017</v>
      <v>2019</v>
    </spb>
    <spb s="1">
      <v xml:space="preserve">Wikipedia	</v>
      <v xml:space="preserve">CC BY-SA 3.0	</v>
      <v xml:space="preserve">https://en.wikipedia.org/wiki/Montevideo	</v>
      <v xml:space="preserve">https://creativecommons.org/licenses/by-sa/3.0	</v>
    </spb>
    <spb s="11">
      <v>1574</v>
      <v>1574</v>
      <v>1574</v>
      <v>1574</v>
      <v>1574</v>
      <v>1574</v>
      <v>1574</v>
      <v>1574</v>
      <v>1574</v>
    </spb>
    <spb s="1">
      <v xml:space="preserve">Wikipedia	Cia	travel.state.gov	</v>
      <v xml:space="preserve">CC-BY-SA			</v>
      <v xml:space="preserve">http://en.wikipedia.org/wiki/Uruguay	https://www.cia.gov/library/publications/the-world-factbook/geos/uy.html?Transportation	https://travel.state.gov/content/travel/en/international-travel/International-Travel-Country-Information-Pages/Uruguay.html	</v>
      <v xml:space="preserve">http://creativecommons.org/licenses/by-sa/3.0/			</v>
    </spb>
    <spb s="1">
      <v xml:space="preserve">Wikipedia	</v>
      <v xml:space="preserve">CC BY-SA 3.0	</v>
      <v xml:space="preserve">https://en.wikipedia.org/wiki/Uruguay	</v>
      <v xml:space="preserve">https://creativecommons.org/licenses/by-sa/3.0	</v>
    </spb>
    <spb s="1">
      <v xml:space="preserve">Wikipedia	</v>
      <v xml:space="preserve">CC-BY-SA	</v>
      <v xml:space="preserve">http://en.wikipedia.org/wiki/Uruguay	</v>
      <v xml:space="preserve">http://creativecommons.org/licenses/by-sa/3.0/	</v>
    </spb>
    <spb s="1">
      <v xml:space="preserve">Cia	</v>
      <v xml:space="preserve">	</v>
      <v xml:space="preserve">https://www.cia.gov/library/publications/the-world-factbook/geos/uy.html?Transportation	</v>
      <v xml:space="preserve">	</v>
    </spb>
    <spb s="14">
      <v>10</v>
      <v>1576</v>
      <v>1577</v>
      <v>1577</v>
      <v>13</v>
      <v>1577</v>
      <v>1577</v>
      <v>1577</v>
      <v>1578</v>
      <v>1577</v>
      <v>1577</v>
      <v>1578</v>
      <v>1577</v>
      <v>1577</v>
      <v>1579</v>
      <v>16</v>
      <v>1576</v>
      <v>1579</v>
      <v>17</v>
      <v>1577</v>
      <v>1579</v>
      <v>18</v>
      <v>19</v>
      <v>20</v>
      <v>1579</v>
      <v>1579</v>
      <v>1577</v>
      <v>1579</v>
      <v>21</v>
      <v>22</v>
      <v>23</v>
      <v>44</v>
      <v>1579</v>
      <v>1576</v>
      <v>1579</v>
      <v>1579</v>
      <v>1579</v>
      <v>1579</v>
      <v>1579</v>
      <v>1579</v>
      <v>1579</v>
      <v>1579</v>
      <v>1579</v>
      <v>1579</v>
      <v>24</v>
    </spb>
    <spb s="15">
      <v>2019</v>
      <v>2019</v>
      <v>square km</v>
      <v>per thousand (2018)</v>
      <v>2022</v>
      <v>2019</v>
      <v>2018</v>
      <v>per liter (2016)</v>
      <v>2019</v>
      <v>years (2018)</v>
      <v>2018</v>
      <v>per thousand (2018)</v>
      <v>2019</v>
      <v>2017</v>
      <v>2016</v>
      <v>2019</v>
      <v>2016</v>
      <v>2017</v>
      <v>kilotons per year (2016)</v>
      <v>deaths per 100,000 (2017)</v>
      <v>kWh (2014)</v>
      <v>2014</v>
      <v>1996</v>
      <v>2018</v>
      <v>2018</v>
      <v>2018</v>
      <v>2018</v>
      <v>2018</v>
      <v>2015</v>
      <v>2018</v>
      <v>2018</v>
      <v>2017</v>
      <v>2017</v>
      <v>2019</v>
    </spb>
    <spb s="1">
      <v xml:space="preserve">Wikipedia	</v>
      <v xml:space="preserve">CC BY-SA 3.0	</v>
      <v xml:space="preserve">https://en.wikipedia.org/wiki/Tashkent	</v>
      <v xml:space="preserve">https://creativecommons.org/licenses/by-sa/3.0	</v>
    </spb>
    <spb s="1">
      <v xml:space="preserve">Wikipedia	</v>
      <v xml:space="preserve">CC-BY-SA	</v>
      <v xml:space="preserve">http://en.wikipedia.org/wiki/Tashkent	</v>
      <v xml:space="preserve">http://creativecommons.org/licenses/by-sa/3.0/	</v>
    </spb>
    <spb s="16">
      <v>1582</v>
      <v>1582</v>
      <v>1582</v>
      <v>1582</v>
      <v>1582</v>
      <v>1583</v>
      <v>1582</v>
    </spb>
    <spb s="1">
      <v xml:space="preserve">Wikipedia	</v>
      <v xml:space="preserve">CC BY-SA 3.0	</v>
      <v xml:space="preserve">https://en.wikipedia.org/wiki/Port_Vila	</v>
      <v xml:space="preserve">https://creativecommons.org/licenses/by-sa/3.0	</v>
    </spb>
    <spb s="11">
      <v>1585</v>
      <v>1585</v>
      <v>1585</v>
      <v>1585</v>
      <v>1585</v>
      <v>1585</v>
      <v>1585</v>
      <v>1585</v>
      <v>1585</v>
    </spb>
    <spb s="1">
      <v xml:space="preserve">Wikipedia	Cia	travel.state.gov	</v>
      <v xml:space="preserve">CC-BY-SA			</v>
      <v xml:space="preserve">http://en.wikipedia.org/wiki/Vanuatu	https://www.cia.gov/library/publications/the-world-factbook/geos/nh.html?Transportation	https://travel.state.gov/content/travel/en/international-travel/International-Travel-Country-Information-Pages/Vanuatu.html	</v>
      <v xml:space="preserve">http://creativecommons.org/licenses/by-sa/3.0/			</v>
    </spb>
    <spb s="1">
      <v xml:space="preserve">Wikipedia	</v>
      <v xml:space="preserve">CC BY-SA 3.0	</v>
      <v xml:space="preserve">https://en.wikipedia.org/wiki/Vanuatu	</v>
      <v xml:space="preserve">https://creativecommons.org/licenses/by-sa/3.0	</v>
    </spb>
    <spb s="1">
      <v xml:space="preserve">Wikipedia	</v>
      <v xml:space="preserve">CC-BY-SA	</v>
      <v xml:space="preserve">http://en.wikipedia.org/wiki/Vanuatu	</v>
      <v xml:space="preserve">http://creativecommons.org/licenses/by-sa/3.0/	</v>
    </spb>
    <spb s="1">
      <v xml:space="preserve">Cia	</v>
      <v xml:space="preserve">	</v>
      <v xml:space="preserve">https://www.cia.gov/library/publications/the-world-factbook/geos/nh.html?Transportation	</v>
      <v xml:space="preserve">	</v>
    </spb>
    <spb s="115">
      <v>10</v>
      <v>1587</v>
      <v>1588</v>
      <v>1588</v>
      <v>13</v>
      <v>1588</v>
      <v>1588</v>
      <v>1588</v>
      <v>1589</v>
      <v>1588</v>
      <v>1588</v>
      <v>1589</v>
      <v>1588</v>
      <v>1588</v>
      <v>1590</v>
      <v>16</v>
      <v>1587</v>
      <v>1590</v>
      <v>17</v>
      <v>1588</v>
      <v>1590</v>
      <v>18</v>
      <v>19</v>
      <v>1590</v>
      <v>1590</v>
      <v>1588</v>
      <v>1590</v>
      <v>21</v>
      <v>22</v>
      <v>23</v>
      <v>1590</v>
      <v>1590</v>
      <v>1590</v>
      <v>1590</v>
      <v>1590</v>
      <v>1590</v>
      <v>1590</v>
      <v>1590</v>
      <v>1590</v>
      <v>1590</v>
      <v>1590</v>
      <v>24</v>
    </spb>
    <spb s="114">
      <v>2019</v>
      <v>2019</v>
      <v>square km</v>
      <v>per thousand (2018)</v>
      <v>2022</v>
      <v>2019</v>
      <v>2018</v>
      <v>per liter (2016)</v>
      <v>2019</v>
      <v>years (2018)</v>
      <v>2018</v>
      <v>per thousand (2018)</v>
      <v>2019</v>
      <v>2016</v>
      <v>2019</v>
      <v>2016</v>
      <v>2016</v>
      <v>kilotons per year (2016)</v>
      <v>deaths per 100,000 (2017)</v>
      <v>2007</v>
      <v>2010</v>
      <v>2010</v>
      <v>2010</v>
      <v>2010</v>
      <v>2010</v>
      <v>2015</v>
      <v>2010</v>
      <v>2010</v>
      <v>2015</v>
      <v>2004</v>
      <v>2019</v>
    </spb>
    <spb s="1">
      <v xml:space="preserve">Wikipedia	</v>
      <v xml:space="preserve">CC BY-SA 3.0	</v>
      <v xml:space="preserve">https://en.wikipedia.org/wiki/Caracas	</v>
      <v xml:space="preserve">https://creativecommons.org/licenses/by-sa/3.0	</v>
    </spb>
    <spb s="2">
      <v>1593</v>
      <v>1593</v>
      <v>1593</v>
      <v>1593</v>
      <v>1593</v>
      <v>1593</v>
      <v>1593</v>
      <v>1593</v>
      <v>1593</v>
      <v>1593</v>
    </spb>
    <spb s="1">
      <v xml:space="preserve">Wikipedia	Cia	travel.state.gov	</v>
      <v xml:space="preserve">CC-BY-SA			</v>
      <v xml:space="preserve">http://en.wikipedia.org/wiki/Venezuela	https://www.cia.gov/library/publications/the-world-factbook/geos/ve.html?Transportation	https://travel.state.gov/content/travel/en/international-travel/International-Travel-Country-Information-Pages/Venezuela.html	</v>
      <v xml:space="preserve">http://creativecommons.org/licenses/by-sa/3.0/			</v>
    </spb>
    <spb s="1">
      <v xml:space="preserve">Wikipedia	</v>
      <v xml:space="preserve">CC BY-SA 3.0	</v>
      <v xml:space="preserve">https://en.wikipedia.org/wiki/Venezuela	</v>
      <v xml:space="preserve">https://creativecommons.org/licenses/by-sa/3.0	</v>
    </spb>
    <spb s="1">
      <v xml:space="preserve">Wikipedia	</v>
      <v xml:space="preserve">CC-BY-SA	</v>
      <v xml:space="preserve">http://en.wikipedia.org/wiki/Venezuela	</v>
      <v xml:space="preserve">http://creativecommons.org/licenses/by-sa/3.0/	</v>
    </spb>
    <spb s="1">
      <v xml:space="preserve">Cia	</v>
      <v xml:space="preserve">	</v>
      <v xml:space="preserve">https://www.cia.gov/library/publications/the-world-factbook/geos/ve.html?Transportation	</v>
      <v xml:space="preserve">	</v>
    </spb>
    <spb s="59">
      <v>10</v>
      <v>1595</v>
      <v>1596</v>
      <v>1596</v>
      <v>13</v>
      <v>1596</v>
      <v>1596</v>
      <v>1596</v>
      <v>1597</v>
      <v>1596</v>
      <v>1596</v>
      <v>1597</v>
      <v>1596</v>
      <v>1596</v>
      <v>1598</v>
      <v>16</v>
      <v>1595</v>
      <v>1598</v>
      <v>17</v>
      <v>1596</v>
      <v>18</v>
      <v>19</v>
      <v>20</v>
      <v>1598</v>
      <v>1598</v>
      <v>1596</v>
      <v>1598</v>
      <v>21</v>
      <v>22</v>
      <v>23</v>
      <v>44</v>
      <v>1598</v>
      <v>1595</v>
      <v>1598</v>
      <v>1598</v>
      <v>1598</v>
      <v>1598</v>
      <v>1598</v>
      <v>1598</v>
      <v>1598</v>
      <v>1598</v>
      <v>1598</v>
      <v>1598</v>
      <v>24</v>
    </spb>
    <spb s="60">
      <v>2016</v>
      <v>2014</v>
      <v>square km</v>
      <v>per thousand (2018)</v>
      <v>2022</v>
      <v>2016</v>
      <v>2018</v>
      <v>per liter (2016)</v>
      <v>2019</v>
      <v>years (2018)</v>
      <v>per thousand (2018)</v>
      <v>2019</v>
      <v>2017</v>
      <v>2016</v>
      <v>2019</v>
      <v>2016</v>
      <v>2001</v>
      <v>kilotons per year (2016)</v>
      <v>deaths per 100,000 (2017)</v>
      <v>kWh (2014)</v>
      <v>2013</v>
      <v>2002</v>
      <v>2006</v>
      <v>2006</v>
      <v>2006</v>
      <v>2006</v>
      <v>2006</v>
      <v>2015</v>
      <v>2006</v>
      <v>2006</v>
      <v>2017</v>
      <v>2009</v>
      <v>2019</v>
    </spb>
    <spb s="1">
      <v xml:space="preserve">Wikipedia	</v>
      <v xml:space="preserve">CC BY-SA 3.0	</v>
      <v xml:space="preserve">https://en.wikipedia.org/wiki/Hanoi	</v>
      <v xml:space="preserve">https://creativecommons.org/licenses/by-sa/3.0	</v>
    </spb>
    <spb s="1">
      <v xml:space="preserve">Wikipedia	</v>
      <v xml:space="preserve">CC-BY-SA	</v>
      <v xml:space="preserve">http://en.wikipedia.org/wiki/Hanoi	</v>
      <v xml:space="preserve">http://creativecommons.org/licenses/by-sa/3.0/	</v>
    </spb>
    <spb s="43">
      <v>1601</v>
      <v>1601</v>
      <v>1601</v>
      <v>1601</v>
      <v>1601</v>
      <v>1602</v>
      <v>1601</v>
      <v>1601</v>
    </spb>
    <spb s="3">
      <v>99</v>
      <v>Name</v>
      <v>LearnMoreOnLink</v>
    </spb>
    <spb s="1">
      <v xml:space="preserve">Wikipedia	Cia	travel.state.gov	</v>
      <v xml:space="preserve">CC-BY-SA			</v>
      <v xml:space="preserve">http://en.wikipedia.org/wiki/Vietnam	https://www.cia.gov/library/publications/the-world-factbook/geos/vm.html?Transportation	https://travel.state.gov/content/travel/en/international-travel/International-Travel-Country-Information-Pages/Vietnam.html	</v>
      <v xml:space="preserve">http://creativecommons.org/licenses/by-sa/3.0/			</v>
    </spb>
    <spb s="1">
      <v xml:space="preserve">Wikipedia	</v>
      <v xml:space="preserve">CC BY-SA 3.0	</v>
      <v xml:space="preserve">https://en.wikipedia.org/wiki/Vietnam	</v>
      <v xml:space="preserve">https://creativecommons.org/licenses/by-sa/3.0	</v>
    </spb>
    <spb s="1">
      <v xml:space="preserve">Wikipedia	</v>
      <v xml:space="preserve">CC-BY-SA	</v>
      <v xml:space="preserve">http://en.wikipedia.org/wiki/Vietnam	</v>
      <v xml:space="preserve">http://creativecommons.org/licenses/by-sa/3.0/	</v>
    </spb>
    <spb s="1">
      <v xml:space="preserve">Cia	</v>
      <v xml:space="preserve">	</v>
      <v xml:space="preserve">https://www.cia.gov/library/publications/the-world-factbook/geos/vm.html?Transportation	</v>
      <v xml:space="preserve">	</v>
    </spb>
    <spb s="14">
      <v>10</v>
      <v>1605</v>
      <v>1606</v>
      <v>1606</v>
      <v>13</v>
      <v>1606</v>
      <v>1606</v>
      <v>1606</v>
      <v>1607</v>
      <v>1606</v>
      <v>1606</v>
      <v>1607</v>
      <v>1606</v>
      <v>1606</v>
      <v>1608</v>
      <v>16</v>
      <v>1605</v>
      <v>1608</v>
      <v>17</v>
      <v>1606</v>
      <v>1608</v>
      <v>18</v>
      <v>19</v>
      <v>20</v>
      <v>1608</v>
      <v>1608</v>
      <v>1606</v>
      <v>1608</v>
      <v>21</v>
      <v>22</v>
      <v>23</v>
      <v>44</v>
      <v>1608</v>
      <v>1605</v>
      <v>1608</v>
      <v>1608</v>
      <v>1608</v>
      <v>1608</v>
      <v>1608</v>
      <v>1608</v>
      <v>1608</v>
      <v>1608</v>
      <v>1608</v>
      <v>1608</v>
      <v>24</v>
    </spb>
    <spb s="15">
      <v>2019</v>
      <v>2019</v>
      <v>square km</v>
      <v>per thousand (2018)</v>
      <v>2022</v>
      <v>2019</v>
      <v>2018</v>
      <v>per liter (2016)</v>
      <v>2019</v>
      <v>years (2018)</v>
      <v>2013</v>
      <v>per thousand (2018)</v>
      <v>2019</v>
      <v>2017</v>
      <v>2016</v>
      <v>2019</v>
      <v>2016</v>
      <v>2016</v>
      <v>kilotons per year (2016)</v>
      <v>deaths per 100,000 (2017)</v>
      <v>kWh (2014)</v>
      <v>2013</v>
      <v>2019</v>
      <v>2018</v>
      <v>2018</v>
      <v>2018</v>
      <v>2018</v>
      <v>2018</v>
      <v>2015</v>
      <v>2018</v>
      <v>2018</v>
      <v>2018</v>
      <v>2016</v>
      <v>2019</v>
    </spb>
    <spb s="1">
      <v xml:space="preserve">Wikipedia	</v>
      <v xml:space="preserve">CC BY-SA 3.0	</v>
      <v xml:space="preserve">https://en.wikipedia.org/wiki/Sanaa	</v>
      <v xml:space="preserve">https://creativecommons.org/licenses/by-sa/3.0	</v>
    </spb>
    <spb s="80">
      <v>1611</v>
      <v>1611</v>
      <v>1611</v>
      <v>1611</v>
      <v>1611</v>
      <v>1611</v>
    </spb>
    <spb s="3">
      <v>100</v>
      <v>Name</v>
      <v>LearnMoreOnLink</v>
    </spb>
    <spb s="1">
      <v xml:space="preserve">Wikipedia	Cia	travel.state.gov	</v>
      <v xml:space="preserve">CC-BY-SA			</v>
      <v xml:space="preserve">http://en.wikipedia.org/wiki/Yemen	https://www.cia.gov/library/publications/the-world-factbook/geos/ym.html?Transportation	https://travel.state.gov/content/travel/en/international-travel/International-Travel-Country-Information-Pages/Yemen.html	</v>
      <v xml:space="preserve">http://creativecommons.org/licenses/by-sa/3.0/			</v>
    </spb>
    <spb s="1">
      <v xml:space="preserve">Wikipedia	</v>
      <v xml:space="preserve">CC BY-SA 3.0	</v>
      <v xml:space="preserve">https://en.wikipedia.org/wiki/Yemen	</v>
      <v xml:space="preserve">https://creativecommons.org/licenses/by-sa/3.0	</v>
    </spb>
    <spb s="1">
      <v xml:space="preserve">Wikipedia	</v>
      <v xml:space="preserve">CC-BY-SA	</v>
      <v xml:space="preserve">http://en.wikipedia.org/wiki/Yemen	</v>
      <v xml:space="preserve">http://creativecommons.org/licenses/by-sa/3.0/	</v>
    </spb>
    <spb s="1">
      <v xml:space="preserve">Cia	</v>
      <v xml:space="preserve">	</v>
      <v xml:space="preserve">https://www.cia.gov/library/publications/the-world-factbook/geos/ym.html?Transportation	</v>
      <v xml:space="preserve">	</v>
    </spb>
    <spb s="145">
      <v>10</v>
      <v>1614</v>
      <v>1615</v>
      <v>1615</v>
      <v>13</v>
      <v>1615</v>
      <v>1615</v>
      <v>1615</v>
      <v>1616</v>
      <v>1615</v>
      <v>1615</v>
      <v>1615</v>
      <v>1615</v>
      <v>1617</v>
      <v>16</v>
      <v>1614</v>
      <v>1617</v>
      <v>17</v>
      <v>1615</v>
      <v>18</v>
      <v>19</v>
      <v>20</v>
      <v>1617</v>
      <v>1617</v>
      <v>1615</v>
      <v>1617</v>
      <v>21</v>
      <v>22</v>
      <v>23</v>
      <v>44</v>
      <v>1617</v>
      <v>1617</v>
      <v>1617</v>
      <v>1617</v>
      <v>1617</v>
      <v>1617</v>
      <v>1617</v>
      <v>1617</v>
      <v>1617</v>
      <v>1617</v>
      <v>1617</v>
      <v>24</v>
    </spb>
    <spb s="3">
      <v>101</v>
      <v>Name</v>
      <v>LearnMoreOnLink</v>
    </spb>
    <spb s="75">
      <v>2014</v>
      <v>2018</v>
      <v>square km</v>
      <v>per thousand (2018)</v>
      <v>2022</v>
      <v>2014</v>
      <v>2018</v>
      <v>per liter (2016)</v>
      <v>2019</v>
      <v>years (2018)</v>
      <v>per thousand (2018)</v>
      <v>2019</v>
      <v>2017</v>
      <v>2016</v>
      <v>2019</v>
      <v>2016</v>
      <v>2014</v>
      <v>kilotons per year (2016)</v>
      <v>deaths per 100,000 (2017)</v>
      <v>kWh (2014)</v>
      <v>2013</v>
      <v>2014</v>
      <v>2014</v>
      <v>2014</v>
      <v>2014</v>
      <v>2014</v>
      <v>2015</v>
      <v>2014</v>
      <v>2014</v>
      <v>2016</v>
      <v>2011</v>
      <v>2019</v>
    </spb>
    <spb s="1">
      <v xml:space="preserve">Wikipedia	</v>
      <v xml:space="preserve">CC BY-SA 3.0	</v>
      <v xml:space="preserve">https://en.wikipedia.org/wiki/Lusaka	</v>
      <v xml:space="preserve">https://creativecommons.org/licenses/by-sa/3.0	</v>
    </spb>
    <spb s="11">
      <v>1621</v>
      <v>1621</v>
      <v>1621</v>
      <v>1621</v>
      <v>1621</v>
      <v>1621</v>
      <v>1621</v>
      <v>1621</v>
      <v>1621</v>
    </spb>
    <spb s="1">
      <v xml:space="preserve">Wikipedia	Cia	travel.state.gov	</v>
      <v xml:space="preserve">CC-BY-SA			</v>
      <v xml:space="preserve">http://en.wikipedia.org/wiki/Zambia	https://www.cia.gov/library/publications/the-world-factbook/geos/za.html?Transportation	https://travel.state.gov/content/travel/en/international-travel/International-Travel-Country-Information-Pages/Zambia.html	</v>
      <v xml:space="preserve">http://creativecommons.org/licenses/by-sa/3.0/			</v>
    </spb>
    <spb s="1">
      <v xml:space="preserve">Wikipedia	</v>
      <v xml:space="preserve">CC BY-SA 3.0	</v>
      <v xml:space="preserve">https://en.wikipedia.org/wiki/Zambia	</v>
      <v xml:space="preserve">https://creativecommons.org/licenses/by-sa/3.0	</v>
    </spb>
    <spb s="1">
      <v xml:space="preserve">Wikipedia	</v>
      <v xml:space="preserve">CC-BY-SA	</v>
      <v xml:space="preserve">http://en.wikipedia.org/wiki/Zambia	</v>
      <v xml:space="preserve">http://creativecommons.org/licenses/by-sa/3.0/	</v>
    </spb>
    <spb s="1">
      <v xml:space="preserve">Cia	</v>
      <v xml:space="preserve">	</v>
      <v xml:space="preserve">https://www.cia.gov/library/publications/the-world-factbook/geos/za.html?Transportation	</v>
      <v xml:space="preserve">	</v>
    </spb>
    <spb s="14">
      <v>10</v>
      <v>1623</v>
      <v>1624</v>
      <v>1624</v>
      <v>13</v>
      <v>1624</v>
      <v>1624</v>
      <v>1624</v>
      <v>1625</v>
      <v>1624</v>
      <v>1624</v>
      <v>1625</v>
      <v>1624</v>
      <v>1624</v>
      <v>1626</v>
      <v>16</v>
      <v>1623</v>
      <v>1626</v>
      <v>17</v>
      <v>1624</v>
      <v>1626</v>
      <v>18</v>
      <v>19</v>
      <v>20</v>
      <v>1626</v>
      <v>1626</v>
      <v>1624</v>
      <v>1626</v>
      <v>21</v>
      <v>22</v>
      <v>23</v>
      <v>44</v>
      <v>1626</v>
      <v>1623</v>
      <v>1626</v>
      <v>1626</v>
      <v>1626</v>
      <v>1626</v>
      <v>1626</v>
      <v>1626</v>
      <v>1626</v>
      <v>1626</v>
      <v>1626</v>
      <v>1626</v>
      <v>24</v>
    </spb>
    <spb s="15">
      <v>2019</v>
      <v>2019</v>
      <v>square km</v>
      <v>per thousand (2018)</v>
      <v>2022</v>
      <v>2019</v>
      <v>2018</v>
      <v>per liter (2016)</v>
      <v>2019</v>
      <v>years (2018)</v>
      <v>2018</v>
      <v>per thousand (2018)</v>
      <v>2019</v>
      <v>2017</v>
      <v>2016</v>
      <v>2019</v>
      <v>2016</v>
      <v>2018</v>
      <v>kilotons per year (2016)</v>
      <v>deaths per 100,000 (2017)</v>
      <v>kWh (2014)</v>
      <v>2013</v>
      <v>2011</v>
      <v>2015</v>
      <v>2015</v>
      <v>2015</v>
      <v>2015</v>
      <v>2015</v>
      <v>2015</v>
      <v>2015</v>
      <v>2015</v>
      <v>2017</v>
      <v>2012</v>
      <v>2019</v>
    </spb>
    <spb s="1">
      <v xml:space="preserve">Wikipedia	Wikipedia	Wikipedia	</v>
      <v xml:space="preserve">CC-BY-SA	CC-BY-SA	CC-BY-SA	</v>
      <v xml:space="preserve">http://en.wikipedia.org/wiki/Harare	http://es.wikipedia.org/wiki/Harare	http://fr.wikipedia.org/wiki/Harare	</v>
      <v xml:space="preserve">http://creativecommons.org/licenses/by-sa/3.0/	http://creativecommons.org/licenses/by-sa/3.0/	http://creativecommons.org/licenses/by-sa/3.0/	</v>
    </spb>
    <spb s="1">
      <v xml:space="preserve">Wikipedia	</v>
      <v xml:space="preserve">CC BY-SA 3.0	</v>
      <v xml:space="preserve">https://en.wikipedia.org/wiki/Harare	</v>
      <v xml:space="preserve">https://creativecommons.org/licenses/by-sa/3.0	</v>
    </spb>
    <spb s="11">
      <v>1629</v>
      <v>1630</v>
      <v>1630</v>
      <v>1630</v>
      <v>1630</v>
      <v>1630</v>
      <v>1630</v>
      <v>1630</v>
      <v>1630</v>
    </spb>
    <spb s="1">
      <v xml:space="preserve">Wikipedia	Cia	travel.state.gov	</v>
      <v xml:space="preserve">CC-BY-SA			</v>
      <v xml:space="preserve">http://en.wikipedia.org/wiki/Zimbabwe	https://www.cia.gov/library/publications/the-world-factbook/geos/zi.html?Transportation	https://travel.state.gov/content/travel/en/international-travel/International-Travel-Country-Information-Pages/Zimbabwe.html	</v>
      <v xml:space="preserve">http://creativecommons.org/licenses/by-sa/3.0/			</v>
    </spb>
    <spb s="1">
      <v xml:space="preserve">Wikipedia	</v>
      <v xml:space="preserve">CC BY-SA 3.0	</v>
      <v xml:space="preserve">https://en.wikipedia.org/wiki/Zimbabwe	</v>
      <v xml:space="preserve">https://creativecommons.org/licenses/by-sa/3.0	</v>
    </spb>
    <spb s="1">
      <v xml:space="preserve">Wikipedia	</v>
      <v xml:space="preserve">CC-BY-SA	</v>
      <v xml:space="preserve">http://en.wikipedia.org/wiki/Zimbabwe	</v>
      <v xml:space="preserve">http://creativecommons.org/licenses/by-sa/3.0/	</v>
    </spb>
    <spb s="1">
      <v xml:space="preserve">Cia	</v>
      <v xml:space="preserve">	</v>
      <v xml:space="preserve">https://www.cia.gov/library/publications/the-world-factbook/geos/zi.html?Transportation	</v>
      <v xml:space="preserve">	</v>
    </spb>
    <spb s="52">
      <v>10</v>
      <v>1632</v>
      <v>1633</v>
      <v>1633</v>
      <v>13</v>
      <v>1633</v>
      <v>1633</v>
      <v>1633</v>
      <v>1634</v>
      <v>1633</v>
      <v>1633</v>
      <v>1633</v>
      <v>1633</v>
      <v>1635</v>
      <v>16</v>
      <v>1632</v>
      <v>1635</v>
      <v>17</v>
      <v>1633</v>
      <v>1635</v>
      <v>18</v>
      <v>19</v>
      <v>20</v>
      <v>1635</v>
      <v>1635</v>
      <v>1633</v>
      <v>1635</v>
      <v>21</v>
      <v>22</v>
      <v>23</v>
      <v>44</v>
      <v>1635</v>
      <v>1632</v>
      <v>1635</v>
      <v>1635</v>
      <v>1635</v>
      <v>1635</v>
      <v>1635</v>
      <v>1635</v>
      <v>1635</v>
      <v>1635</v>
      <v>1635</v>
      <v>1635</v>
      <v>24</v>
    </spb>
    <spb s="15">
      <v>2017</v>
      <v>2019</v>
      <v>square km</v>
      <v>per thousand (2018)</v>
      <v>2022</v>
      <v>2017</v>
      <v>2018</v>
      <v>per liter (2016)</v>
      <v>2019</v>
      <v>years (2018)</v>
      <v>2018</v>
      <v>per thousand (2018)</v>
      <v>2019</v>
      <v>2017</v>
      <v>2016</v>
      <v>2019</v>
      <v>2016</v>
      <v>2018</v>
      <v>kilotons per year (2016)</v>
      <v>deaths per 100,000 (2017)</v>
      <v>kWh (2014)</v>
      <v>2013</v>
      <v>1999</v>
      <v>2017</v>
      <v>2017</v>
      <v>2017</v>
      <v>2017</v>
      <v>2017</v>
      <v>2015</v>
      <v>2017</v>
      <v>2017</v>
      <v>2013</v>
      <v>2015</v>
      <v>2019</v>
    </spb>
  </spbData>
</supportingPropertyBags>
</file>

<file path=xl/richData/rdsupportingpropertybagstructure.xml><?xml version="1.0" encoding="utf-8"?>
<spbStructures xmlns="http://schemas.microsoft.com/office/spreadsheetml/2017/richdata2" count="146">
  <s>
    <k n="_Self" t="i"/>
  </s>
  <s>
    <k n="SourceText" t="s"/>
    <k n="LicenseText" t="s"/>
    <k n="SourceAddress" t="s"/>
    <k n="LicenseAddress" t="s"/>
  </s>
  <s>
    <k n="Area" t="spb"/>
    <k n="Name" t="spb"/>
    <k n="Latitude" t="spb"/>
    <k n="Longitude" t="spb"/>
    <k n="Population" t="spb"/>
    <k n="UniqueName" t="spb"/>
    <k n="Description" t="spb"/>
    <k n="Country/region" t="spb"/>
    <k n="Admin Division 1 (State/province/other)" t="spb"/>
    <k n="Admin Division 2 (County/district/other)" t="spb"/>
  </s>
  <s>
    <k n="^Order" t="spba"/>
    <k n="TitleProperty" t="s"/>
    <k n="SubTitleProperty" t="s"/>
  </s>
  <s>
    <k n="ShowInCardView" t="b"/>
    <k n="ShowInDotNotation" t="b"/>
    <k n="ShowInAutoComplete" t="b"/>
  </s>
  <s>
    <k n="UniqueName" t="spb"/>
    <k n="VDPID/VSID" t="spb"/>
    <k n="LearnMoreOnLink" t="spb"/>
  </s>
  <s>
    <k n="Name" t="i"/>
    <k n="Image" t="i"/>
  </s>
  <s>
    <k n="link" t="s"/>
    <k n="logo" t="s"/>
    <k n="name" t="s"/>
  </s>
  <s>
    <k n="Area" t="s"/>
    <k n="Population" t="s"/>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Out of pocket health expenditure (%)"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Out of pocket health expenditure (%)" t="s"/>
    <k n="Gross primary education enrollment (%)" t="s"/>
    <k n="Gross tertiary education enrollment (%)" t="s"/>
    <k n="Population: Labor force participation (%)" t="s"/>
  </s>
  <s>
    <k n="Area" t="spb"/>
    <k n="Name" t="spb"/>
    <k n="Latitude" t="spb"/>
    <k n="Longitude" t="spb"/>
    <k n="Population" t="spb"/>
    <k n="UniqueName" t="spb"/>
    <k n="Description" t="spb"/>
    <k n="Country/region" t="spb"/>
    <k n="Admin Division 1 (State/province/other)" t="spb"/>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Market cap of listed companies"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Area" t="spb"/>
    <k n="Name" t="spb"/>
    <k n="Population" t="spb"/>
    <k n="UniqueName" t="spb"/>
    <k n="Description" t="spb"/>
    <k n="Abbreviation" t="spb"/>
    <k n="Country/region" t="spb"/>
  </s>
  <s>
    <k n="GDP" t="spb"/>
    <k n="Area" t="spb"/>
    <k n="Name" t="spb"/>
    <k n="Birth rate" t="spb"/>
    <k n="Population" t="spb"/>
    <k n="UniqueName" t="spb"/>
    <k n="Description" t="spb"/>
    <k n="Abbreviation" t="spb"/>
    <k n="Calling code" t="spb"/>
    <k n="Largest city" t="spb"/>
    <k n="Minimum wage" t="spb"/>
    <k n="Currency code" t="spb"/>
    <k n="Official name" t="spb"/>
    <k n="Fertility rate" t="spb"/>
    <k n="Gasoline price" t="spb"/>
    <k n="National anthem" t="spb"/>
    <k n="Infant mortality" t="spb"/>
    <k n="Urban population" t="spb"/>
    <k n="Forested area (%)" t="spb"/>
    <k n="Capital/Major City" t="spb"/>
    <k n="Agricultural land (%)" t="spb"/>
    <k n="Physicians per thousand" t="spb"/>
    <k n="Carbon dioxide emissions" t="spb"/>
    <k n="Out of pocket health expenditure (%)" t="spb"/>
    <k n="Gross primary education enrollment (%)" t="spb"/>
  </s>
  <s>
    <k n="GDP" t="s"/>
    <k n="Area" t="s"/>
    <k n="Birth rate" t="s"/>
    <k n="Population" t="s"/>
    <k n="Fertility rate" t="s"/>
    <k n="Gasoline price" t="s"/>
    <k n="Infant mortality" t="s"/>
    <k n="Urban population" t="s"/>
    <k n="Forested area (%)" t="s"/>
    <k n="Agricultural land (%)" t="s"/>
    <k n="Physicians per thousand" t="s"/>
    <k n="Carbon dioxide emissions" t="s"/>
    <k n="Out of pocket health expenditure (%)" t="s"/>
    <k n="Gross primary education enrollment (%)" t="s"/>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Capital/Major City" t="spb"/>
    <k n="Agricultural land (%)" t="spb"/>
    <k n="Physicians per thousand" t="spb"/>
    <k n="Carbon dioxide emissions" t="spb"/>
    <k n="Maternal mortality ratio" t="spb"/>
    <k n="Fossil fuel energy consumption" t="spb"/>
    <k n="Out of pocket health expenditure (%)" t="spb"/>
    <k n="Gross primary education enrollment (%)" t="spb"/>
    <k n="Gross tertiary education enrollment (%)" t="spb"/>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Agricultural land (%)" t="s"/>
    <k n="Physicians per thousand" t="s"/>
    <k n="Carbon dioxide emissions" t="s"/>
    <k n="Maternal mortality ratio" t="s"/>
    <k n="Fossil fuel energy consumption" t="s"/>
    <k n="Out of pocket health expenditure (%)" t="s"/>
    <k n="Gross primary education enrollment (%)" t="s"/>
    <k n="Gross tertiary education enrollment (%)" t="s"/>
  </s>
  <s>
    <k n="Area" t="spb"/>
    <k n="Name" t="spb"/>
    <k n="Latitude" t="spb"/>
    <k n="Longitude" t="spb"/>
    <k n="Population" t="spb"/>
    <k n="UniqueName" t="spb"/>
    <k n="Description" t="spb"/>
    <k n="Country/region" t="spb"/>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Fossil fuel energy consumption" t="spb"/>
    <k n="Out of pocket health expenditure (%)"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Fossil fuel energy consumption" t="s"/>
    <k n="Out of pocket health expenditure (%)" t="s"/>
    <k n="Gross primary education enrollment (%)" t="s"/>
    <k n="Gross tertiary education enrollment (%)" t="s"/>
    <k n="Population: Labor force participation (%)" t="s"/>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Fossil fuel energy consumption" t="spb"/>
    <k n="Market cap of listed companies" t="spb"/>
    <k n="Out of pocket health expenditure (%)"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Fossil fuel energy consumption" t="s"/>
    <k n="Market cap of listed companies" t="s"/>
    <k n="Out of pocket health expenditure (%)" t="s"/>
    <k n="Gross primary education enrollment (%)" t="s"/>
    <k n="Gross tertiary education enrollment (%)" t="s"/>
    <k n="Population: Labor force participation (%)" t="s"/>
  </s>
  <s>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Market cap of listed companies"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Fossil fuel energy consumption"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Population: Labor force participation (%)" t="spb"/>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Population: Labor force participation (%)" t="s"/>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tertiary education enrollment (%)" t="spb"/>
    <k n="Population: Labor force participation (%)" t="spb"/>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tertiary education enrollment (%)" t="s"/>
    <k n="Population: Labor force participation (%)" t="s"/>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Gasoline price" t="spb"/>
    <k n="Total tax rate" t="spb"/>
    <k n="Life expectancy" t="spb"/>
    <k n="National anthem"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Out of pocket health expenditure (%)"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Out of pocket health expenditure (%)" t="s"/>
    <k n="Gross primary education enrollment (%)" t="s"/>
    <k n="Gross tertiary education enrollment (%)" t="s"/>
    <k n="Population: Labor force participation (%)" t="s"/>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Out of pocket health expenditure (%)"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Out of pocket health expenditure (%)" t="s"/>
    <k n="Gross primary education enrollment (%)" t="s"/>
    <k n="Gross tertiary education enrollment (%)" t="s"/>
    <k n="Population: Labor force participation (%)" t="s"/>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Infant mortality" t="s"/>
    <k n="Urban population" t="s"/>
    <k n="Armed forces size" t="s"/>
    <k n="Forested area (%)" t="s"/>
    <k n="Unemployment rate" t="s"/>
    <k n="Agricultural land (%)" t="s"/>
    <k n="Physicians per thousand" t="s"/>
    <k n="Carbon dioxide emissions" t="s"/>
    <k n="Maternal mortality ratio"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Area" t="spb"/>
    <k n="Name" t="spb"/>
    <k n="Population" t="spb"/>
    <k n="UniqueName" t="spb"/>
    <k n="Description" t="spb"/>
    <k n="Abbreviation" t="spb"/>
    <k n="Country/region" t="spb"/>
    <k n="Capital/Major City" t="spb"/>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Area" t="spb"/>
    <k n="Name" t="spb"/>
    <k n="Population" t="spb"/>
    <k n="UniqueName" t="spb"/>
    <k n="Description" t="spb"/>
    <k n="Abbreviation" t="spb"/>
    <k n="Housing units" t="spb"/>
    <k n="Country/region" t="spb"/>
  </s>
  <s>
    <k n="Area" t="s"/>
    <k n="Population" t="s"/>
    <k n="Housing units" t="s"/>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Total tax rate" t="spb"/>
    <k n="Life expectancy" t="spb"/>
    <k n="National anthem" t="spb"/>
    <k n="Infant mortality" t="spb"/>
    <k n="Urban population" t="spb"/>
    <k n="Forested area (%)" t="spb"/>
    <k n="Unemployment rate" t="spb"/>
    <k n="Capital/Major City" t="spb"/>
    <k n="Agricultural land (%)" t="spb"/>
    <k n="Physicians per thousand" t="spb"/>
    <k n="Carbon dioxide emissions" t="spb"/>
    <k n="Maternal mortality ratio"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
    <k n="GDP" t="s"/>
    <k n="Area" t="s"/>
    <k n="Birth rate" t="s"/>
    <k n="Population" t="s"/>
    <k n="CPI Change (%)" t="s"/>
    <k n="Fertility rate" t="s"/>
    <k n="Total tax rate" t="s"/>
    <k n="Life expectancy" t="s"/>
    <k n="Infant mortality" t="s"/>
    <k n="Urban population" t="s"/>
    <k n="Forested area (%)" t="s"/>
    <k n="Unemployment rate" t="s"/>
    <k n="Agricultural land (%)" t="s"/>
    <k n="Physicians per thousand" t="s"/>
    <k n="Carbon dioxide emissions" t="s"/>
    <k n="Maternal mortality ratio" t="s"/>
    <k n="Fossil fuel energy consumption"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CPI" t="spb"/>
    <k n="GDP" t="spb"/>
    <k n="Area" t="spb"/>
    <k n="Name" t="spb"/>
    <k n="Birth rate" t="spb"/>
    <k n="Population" t="spb"/>
    <k n="UniqueName" t="spb"/>
    <k n="Descrip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GDP" t="spb"/>
    <k n="Area" t="spb"/>
    <k n="Name" t="spb"/>
    <k n="Birth rate" t="spb"/>
    <k n="Population" t="spb"/>
    <k n="UniqueName" t="spb"/>
    <k n="Description" t="spb"/>
    <k n="Abbreviation" t="spb"/>
    <k n="Calling code" t="spb"/>
    <k n="Largest city" t="spb"/>
    <k n="Minimum wage" t="spb"/>
    <k n="Currency code" t="spb"/>
    <k n="Official name" t="spb"/>
    <k n="Fertility rate" t="spb"/>
    <k n="Gasoline price" t="spb"/>
    <k n="Life expectancy" t="spb"/>
    <k n="National anthem"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Gross primary education enrollment (%)" t="spb"/>
    <k n="Gross tertiary education enrollment (%)" t="spb"/>
    <k n="Population: Labor force participation (%)" t="spb"/>
  </s>
  <s>
    <k n="GDP" t="s"/>
    <k n="Area" t="s"/>
    <k n="Birth rate" t="s"/>
    <k n="Population" t="s"/>
    <k n="Fertility rate" t="s"/>
    <k n="Gasoline price" t="s"/>
    <k n="Life expectancy"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Gross primary education enrollment (%)" t="s"/>
    <k n="Gross tertiary education enrollment (%)" t="s"/>
    <k n="Population: Labor force participation (%)" t="s"/>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Gasoline price" t="spb"/>
    <k n="Total tax rate" t="spb"/>
    <k n="Life expectancy" t="spb"/>
    <k n="National anthem"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Infant mortality" t="s"/>
    <k n="Urban population" t="s"/>
    <k n="Armed forces size" t="s"/>
    <k n="Forested area (%)" t="s"/>
    <k n="Unemployment rate" t="s"/>
    <k n="Agricultural land (%)" t="s"/>
    <k n="Physicians per thousand" t="s"/>
    <k n="Carbon dioxide emissions" t="s"/>
    <k n="Maternal mortality ratio" t="s"/>
    <k n="Fossil fuel energy consumption"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Name" t="spb"/>
    <k n="Latitude" t="spb"/>
    <k n="Longitude" t="spb"/>
    <k n="Population" t="spb"/>
    <k n="UniqueName" t="spb"/>
    <k n="Description" t="spb"/>
    <k n="Country/region" t="spb"/>
    <k n="Admin Division 1 (State/province/other)" t="spb"/>
  </s>
  <s>
    <k n="Population" t="s"/>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Total tax rate" t="spb"/>
    <k n="Life expectancy" t="spb"/>
    <k n="National anthem" t="spb"/>
    <k n="Tax revenue (%)" t="spb"/>
    <k n="Infant mortality" t="spb"/>
    <k n="Urban population" t="spb"/>
    <k n="Forested area (%)" t="spb"/>
    <k n="Capital/Major City" t="spb"/>
    <k n="Agricultural land (%)" t="spb"/>
    <k n="Physicians per thousand" t="spb"/>
    <k n="Carbon dioxide emissions" t="spb"/>
    <k n="Fossil fuel energy consumption" t="spb"/>
    <k n="Out of pocket health expenditure (%)" t="spb"/>
    <k n="Gross primary education enrollment (%)" t="spb"/>
    <k n="Gross tertiary education enrollment (%)" t="spb"/>
  </s>
  <s>
    <k n="CPI" t="s"/>
    <k n="GDP" t="s"/>
    <k n="Area" t="s"/>
    <k n="Birth rate" t="s"/>
    <k n="Population" t="s"/>
    <k n="CPI Change (%)" t="s"/>
    <k n="Fertility rate" t="s"/>
    <k n="Total tax rate" t="s"/>
    <k n="Life expectancy" t="s"/>
    <k n="Tax revenue (%)" t="s"/>
    <k n="Infant mortality" t="s"/>
    <k n="Urban population" t="s"/>
    <k n="Forested area (%)" t="s"/>
    <k n="Agricultural land (%)" t="s"/>
    <k n="Physicians per thousand" t="s"/>
    <k n="Carbon dioxide emissions" t="s"/>
    <k n="Fossil fuel energy consumption" t="s"/>
    <k n="Out of pocket health expenditure (%)" t="s"/>
    <k n="Gross primary education enrollment (%)" t="s"/>
    <k n="Gross tertiary education enrollment (%)" t="s"/>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Market cap of listed companies"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Fossil fuel energy consumption" t="spb"/>
    <k n="Out of pocket health expenditure (%)" t="spb"/>
    <k n="Gross primary education enrollment (%)" t="spb"/>
    <k n="Gross tertiary education enrollment (%)" t="spb"/>
    <k n="Population: Labor force participation (%)" t="spb"/>
  </s>
  <s>
    <k n="CPI" t="s"/>
    <k n="GDP" t="s"/>
    <k n="Area" t="s"/>
    <k n="Birth rate" t="s"/>
    <k n="Population" t="s"/>
    <k n="CPI Change (%)" t="s"/>
    <k n="Fertility rat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Fossil fuel energy consumption" t="s"/>
    <k n="Out of pocket health expenditure (%)" t="s"/>
    <k n="Gross primary education enrollment (%)" t="s"/>
    <k n="Gross tertiary education enrollment (%)" t="s"/>
    <k n="Population: Labor force participation (%)" t="s"/>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GDP" t="spb"/>
    <k n="Area" t="spb"/>
    <k n="Name" t="spb"/>
    <k n="Population" t="spb"/>
    <k n="UniqueName" t="spb"/>
    <k n="Description" t="spb"/>
    <k n="Calling code" t="spb"/>
    <k n="Largest city" t="spb"/>
    <k n="Currency code" t="spb"/>
    <k n="Official name" t="spb"/>
    <k n="National anthem" t="spb"/>
    <k n="Tax revenue (%)" t="spb"/>
    <k n="Capital/Major City" t="spb"/>
    <k n="Out of pocket health expenditure (%)" t="spb"/>
  </s>
  <s>
    <k n="GDP" t="s"/>
    <k n="Area" t="s"/>
    <k n="Population" t="s"/>
    <k n="Tax revenue (%)" t="s"/>
    <k n="Out of pocket health expenditure (%)" t="s"/>
  </s>
  <s>
    <k n="CPI" t="spb"/>
    <k n="GDP" t="spb"/>
    <k n="Area" t="spb"/>
    <k n="Name" t="spb"/>
    <k n="Birth rate" t="spb"/>
    <k n="Population" t="spb"/>
    <k n="UniqueName" t="spb"/>
    <k n="Description" t="spb"/>
    <k n="Abbreviation" t="spb"/>
    <k n="Calling code"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Area" t="spb"/>
    <k n="Name" t="spb"/>
    <k n="Households" t="spb"/>
    <k n="Population" t="spb"/>
    <k n="UniqueName" t="spb"/>
    <k n="Description" t="spb"/>
    <k n="Abbreviation" t="spb"/>
    <k n="Housing units" t="spb"/>
    <k n="Country/region" t="spb"/>
    <k n="Persons per household" t="spb"/>
  </s>
  <s>
    <k n="Area" t="s"/>
    <k n="Households" t="s"/>
    <k n="Population" t="s"/>
    <k n="Housing units" t="s"/>
    <k n="Persons per household" t="s"/>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Gasoline price" t="spb"/>
    <k n="Total tax rate" t="spb"/>
    <k n="Life expectancy" t="spb"/>
    <k n="National anthem" t="spb"/>
    <k n="Tax revenue (%)" t="spb"/>
    <k n="Infant mortality" t="spb"/>
    <k n="Urban population" t="spb"/>
    <k n="Forested area (%)" t="spb"/>
    <k n="Capital/Major City" t="spb"/>
    <k n="Agricultural land (%)" t="spb"/>
    <k n="Physicians per thousand" t="spb"/>
    <k n="Carbon dioxide emissions" t="spb"/>
    <k n="Maternal mortality ratio" t="spb"/>
    <k n="Fossil fuel energy consumption" t="spb"/>
    <k n="Out of pocket health expenditure (%)" t="spb"/>
    <k n="Gross primary education enrollment (%)" t="spb"/>
    <k n="Gross tertiary education enrollment (%)" t="spb"/>
  </s>
  <s>
    <k n="CPI" t="s"/>
    <k n="GDP" t="s"/>
    <k n="Area" t="s"/>
    <k n="Birth rate" t="s"/>
    <k n="Population" t="s"/>
    <k n="CPI Change (%)" t="s"/>
    <k n="Fertility rate" t="s"/>
    <k n="Gasoline price" t="s"/>
    <k n="Total tax rate" t="s"/>
    <k n="Life expectancy" t="s"/>
    <k n="Tax revenue (%)" t="s"/>
    <k n="Infant mortality" t="s"/>
    <k n="Urban population" t="s"/>
    <k n="Forested area (%)" t="s"/>
    <k n="Agricultural land (%)" t="s"/>
    <k n="Physicians per thousand" t="s"/>
    <k n="Carbon dioxide emissions" t="s"/>
    <k n="Maternal mortality ratio" t="s"/>
    <k n="Fossil fuel energy consumption" t="s"/>
    <k n="Out of pocket health expenditure (%)" t="s"/>
    <k n="Gross primary education enrollment (%)" t="s"/>
    <k n="Gross tertiary education enrollment (%)" t="s"/>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
    <k n="GDP" t="s"/>
    <k n="Area" t="s"/>
    <k n="Birth rate" t="s"/>
    <k n="Population" t="s"/>
    <k n="CPI Change (%)" t="s"/>
    <k n="Fertility rat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Fossil fuel energy consumption"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Area" t="spb"/>
    <k n="Name" t="spb"/>
    <k n="Households" t="spb"/>
    <k n="Population" t="spb"/>
    <k n="UniqueName" t="spb"/>
    <k n="Description" t="spb"/>
    <k n="Abbreviation" t="spb"/>
    <k n="Country/region" t="spb"/>
    <k n="Capital/Major City" t="spb"/>
    <k n="Persons per household" t="spb"/>
  </s>
  <s>
    <k n="Area" t="s"/>
    <k n="Households" t="s"/>
    <k n="Population" t="s"/>
    <k n="Persons per household" t="s"/>
  </s>
  <s>
    <k n="CPI" t="spb"/>
    <k n="GDP" t="spb"/>
    <k n="Area" t="spb"/>
    <k n="Name" t="spb"/>
    <k n="Birth rate" t="spb"/>
    <k n="Population" t="spb"/>
    <k n="UniqueName" t="spb"/>
    <k n="Descrip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Area" t="spb"/>
    <k n="Name" t="spb"/>
    <k n="Population" t="spb"/>
    <k n="UniqueName" t="spb"/>
    <k n="Description" t="spb"/>
    <k n="Abbreviation" t="spb"/>
    <k n="Largest city" t="spb"/>
    <k n="Country/region" t="spb"/>
    <k n="Capital/Major City" t="spb"/>
  </s>
  <s>
    <k n="Area" t="spb"/>
    <k n="Name" t="spb"/>
    <k n="Population" t="spb"/>
    <k n="UniqueName" t="spb"/>
    <k n="Description" t="spb"/>
    <k n="Country/region" t="spb"/>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Out of pocket health expenditure (%)"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Market cap of listed companies" t="s"/>
    <k n="Out of pocket health expenditure (%)" t="s"/>
    <k n="Gross primary education enrollment (%)" t="s"/>
    <k n="Gross tertiary education enrollment (%)" t="s"/>
    <k n="Population: Labor force participation (%)" t="s"/>
  </s>
  <s>
    <k n="ShowInDotNotation" t="b"/>
    <k n="ShowInAutoComplete" t="b"/>
  </s>
  <s>
    <k n="UniqueName" t="spb"/>
    <k n="VDPID/VSID" t="spb"/>
    <k n="Description" t="spb"/>
    <k n="LearnMoreOnLink" t="spb"/>
  </s>
  <s>
    <k n="Name" t="i"/>
    <k n="Description" t="i"/>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Out of pocket health expenditure (%)" t="spb"/>
    <k n="Gross primary education enrollment (%)" t="spb"/>
    <k n="Gross tertiary education enrollment (%)" t="spb"/>
    <k n="Population: Labor force participation (%)" t="spb"/>
  </s>
  <s>
    <k n="GDP" t="spb"/>
    <k n="Area" t="spb"/>
    <k n="Name" t="spb"/>
    <k n="Birth rate" t="spb"/>
    <k n="Population" t="spb"/>
    <k n="UniqueName" t="spb"/>
    <k n="Description" t="spb"/>
    <k n="Abbreviation" t="spb"/>
    <k n="Calling code" t="spb"/>
    <k n="Largest city" t="spb"/>
    <k n="Currency code" t="spb"/>
    <k n="Official name" t="spb"/>
    <k n="Fertility rate" t="spb"/>
    <k n="Gasoline price" t="spb"/>
    <k n="Total tax rate" t="spb"/>
    <k n="Life expectancy" t="spb"/>
    <k n="National anthem" t="spb"/>
    <k n="Urban population" t="spb"/>
    <k n="Forested area (%)" t="spb"/>
    <k n="Capital/Major City" t="spb"/>
    <k n="Agricultural land (%)" t="spb"/>
    <k n="Carbon dioxide emissions" t="spb"/>
    <k n="Gross primary education enrollment (%)" t="spb"/>
    <k n="Gross tertiary education enrollment (%)" t="spb"/>
  </s>
  <s>
    <k n="GDP" t="s"/>
    <k n="Area" t="s"/>
    <k n="Birth rate" t="s"/>
    <k n="Population" t="s"/>
    <k n="Fertility rate" t="s"/>
    <k n="Gasoline price" t="s"/>
    <k n="Total tax rate" t="s"/>
    <k n="Life expectancy" t="s"/>
    <k n="Urban population" t="s"/>
    <k n="Forested area (%)" t="s"/>
    <k n="Agricultural land (%)" t="s"/>
    <k n="Carbon dioxide emissions" t="s"/>
    <k n="Gross primary education enrollment (%)" t="s"/>
    <k n="Gross tertiary education enrollment (%)" t="s"/>
  </s>
  <s>
    <k n="Area" t="spb"/>
    <k n="Name" t="spb"/>
    <k n="Latitude" t="spb"/>
    <k n="Longitude" t="spb"/>
    <k n="Population" t="spb"/>
    <k n="UniqueName" t="spb"/>
    <k n="Description" t="spb"/>
    <k n="Country/region" t="spb"/>
    <k n="Admin Division 2 (County/district/other)" t="spb"/>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pb"/>
    <k n="GDP" t="spb"/>
    <k n="Area" t="spb"/>
    <k n="Name" t="spb"/>
    <k n="Birth rate" t="spb"/>
    <k n="Population" t="spb"/>
    <k n="UniqueName" t="spb"/>
    <k n="Description" t="spb"/>
    <k n="Abbreviation" t="spb"/>
    <k n="Calling code"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GDP" t="spb"/>
    <k n="Area" t="spb"/>
    <k n="Name" t="spb"/>
    <k n="Birth rate" t="spb"/>
    <k n="Population" t="spb"/>
    <k n="UniqueName" t="spb"/>
    <k n="Description" t="spb"/>
    <k n="Abbreviation" t="spb"/>
    <k n="Calling code" t="spb"/>
    <k n="Largest city" t="spb"/>
    <k n="Minimum wage" t="spb"/>
    <k n="Currency code" t="spb"/>
    <k n="Official name" t="spb"/>
    <k n="Fertility rate" t="spb"/>
    <k n="Gasoline price" t="spb"/>
    <k n="Total tax rate" t="spb"/>
    <k n="Life expectancy" t="spb"/>
    <k n="National anthem" t="spb"/>
    <k n="Tax revenue (%)" t="spb"/>
    <k n="Infant mortality" t="spb"/>
    <k n="Urban population" t="spb"/>
    <k n="Forested area (%)" t="spb"/>
    <k n="Capital/Major City" t="spb"/>
    <k n="Agricultural land (%)" t="spb"/>
    <k n="Physicians per thousand" t="spb"/>
    <k n="Carbon dioxide emissions" t="spb"/>
    <k n="Fossil fuel energy consumption" t="spb"/>
    <k n="Out of pocket health expenditure (%)" t="spb"/>
    <k n="Gross primary education enrollment (%)" t="spb"/>
    <k n="Gross tertiary education enrollment (%)" t="spb"/>
  </s>
  <s>
    <k n="GDP" t="s"/>
    <k n="Area" t="s"/>
    <k n="Birth rate" t="s"/>
    <k n="Population" t="s"/>
    <k n="Fertility rate" t="s"/>
    <k n="Gasoline price" t="s"/>
    <k n="Total tax rate" t="s"/>
    <k n="Life expectancy" t="s"/>
    <k n="Tax revenue (%)" t="s"/>
    <k n="Infant mortality" t="s"/>
    <k n="Urban population" t="s"/>
    <k n="Forested area (%)" t="s"/>
    <k n="Agricultural land (%)" t="s"/>
    <k n="Physicians per thousand" t="s"/>
    <k n="Carbon dioxide emissions" t="s"/>
    <k n="Fossil fuel energy consumption" t="s"/>
    <k n="Out of pocket health expenditure (%)" t="s"/>
    <k n="Gross primary education enrollment (%)" t="s"/>
    <k n="Gross tertiary education enrollment (%)" t="s"/>
  </s>
  <s>
    <k n="Area" t="spb"/>
    <k n="Name" t="spb"/>
    <k n="Households" t="spb"/>
    <k n="Population" t="spb"/>
    <k n="UniqueName" t="spb"/>
    <k n="Description" t="spb"/>
    <k n="Abbreviation" t="spb"/>
    <k n="Country/region" t="spb"/>
  </s>
  <s>
    <k n="Area" t="s"/>
    <k n="Households" t="s"/>
    <k n="Population" t="s"/>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Total tax rate" t="spb"/>
    <k n="Life expectancy" t="spb"/>
    <k n="National anthem" t="spb"/>
    <k n="Tax revenue (%)" t="spb"/>
    <k n="Infant mortality" t="spb"/>
    <k n="Urban population" t="spb"/>
    <k n="Forested area (%)" t="spb"/>
    <k n="Capital/Major City" t="spb"/>
    <k n="Agricultural land (%)" t="spb"/>
    <k n="Physicians per thousand" t="spb"/>
    <k n="Carbon dioxide emissions" t="spb"/>
    <k n="Maternal mortality ratio"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s>
  <s>
    <k n="CPI" t="s"/>
    <k n="GDP" t="s"/>
    <k n="Area" t="s"/>
    <k n="Birth rate" t="s"/>
    <k n="Population" t="s"/>
    <k n="CPI Change (%)" t="s"/>
    <k n="Fertility rate" t="s"/>
    <k n="Total tax rate" t="s"/>
    <k n="Life expectancy" t="s"/>
    <k n="Tax revenue (%)" t="s"/>
    <k n="Infant mortality" t="s"/>
    <k n="Urban population" t="s"/>
    <k n="Forested area (%)" t="s"/>
    <k n="Agricultural land (%)" t="s"/>
    <k n="Physicians per thousand" t="s"/>
    <k n="Carbon dioxide emissions" t="s"/>
    <k n="Maternal mortality ratio"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s>
  <s>
    <k n="GDP" t="spb"/>
    <k n="Area" t="spb"/>
    <k n="Name" t="spb"/>
    <k n="Birth rate" t="spb"/>
    <k n="Population" t="spb"/>
    <k n="UniqueName" t="spb"/>
    <k n="Description" t="spb"/>
    <k n="Abbreviation" t="spb"/>
    <k n="Calling code" t="spb"/>
    <k n="Largest city" t="spb"/>
    <k n="Minimum wage" t="spb"/>
    <k n="Currency code" t="spb"/>
    <k n="Official name" t="spb"/>
    <k n="Gasoline price" t="spb"/>
    <k n="National anthem" t="spb"/>
    <k n="Infant mortality" t="spb"/>
    <k n="Urban population" t="spb"/>
    <k n="Capital/Major City" t="spb"/>
    <k n="Physicians per thousand" t="spb"/>
    <k n="Out of pocket health expenditure (%)" t="spb"/>
  </s>
  <s>
    <k n="GDP" t="s"/>
    <k n="Area" t="s"/>
    <k n="Birth rate" t="s"/>
    <k n="Population" t="s"/>
    <k n="Gasoline price" t="s"/>
    <k n="Infant mortality" t="s"/>
    <k n="Urban population" t="s"/>
    <k n="Physicians per thousand" t="s"/>
    <k n="Out of pocket health expenditure (%)" t="s"/>
  </s>
  <s>
    <k n="GDP" t="spb"/>
    <k n="Area" t="spb"/>
    <k n="Name" t="spb"/>
    <k n="Population" t="spb"/>
    <k n="UniqueName" t="spb"/>
    <k n="Description" t="spb"/>
    <k n="Abbreviation" t="spb"/>
    <k n="Calling code" t="spb"/>
    <k n="Largest city" t="spb"/>
    <k n="Currency code" t="spb"/>
    <k n="Official name" t="spb"/>
    <k n="National anthem" t="spb"/>
    <k n="Capital/Major City" t="spb"/>
  </s>
  <s>
    <k n="GDP" t="s"/>
    <k n="Area" t="s"/>
    <k n="Population" t="s"/>
  </s>
  <s>
    <k n="UniqueName" t="spb"/>
    <k n="LearnMoreOnLink" t="spb"/>
  </s>
  <s>
    <k n="GDP" t="spb"/>
    <k n="Area" t="spb"/>
    <k n="Name" t="spb"/>
    <k n="Birth rate" t="spb"/>
    <k n="Population" t="spb"/>
    <k n="UniqueName" t="spb"/>
    <k n="Description" t="spb"/>
    <k n="Abbreviation" t="spb"/>
    <k n="Calling code" t="spb"/>
    <k n="Largest city" t="spb"/>
    <k n="Currency code" t="spb"/>
    <k n="Official name" t="spb"/>
    <k n="Fertility rate" t="spb"/>
    <k n="Gasoline price" t="spb"/>
    <k n="Life expectancy" t="spb"/>
    <k n="National anthem"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Gross primary education enrollment (%)" t="spb"/>
    <k n="Gross tertiary education enrollment (%)" t="spb"/>
    <k n="Population: Labor force participation (%)" t="spb"/>
  </s>
  <s>
    <k n="GDP" t="spb"/>
    <k n="Area" t="spb"/>
    <k n="Name" t="spb"/>
    <k n="Population" t="spb"/>
    <k n="UniqueName" t="spb"/>
    <k n="Description" t="spb"/>
    <k n="Calling code" t="spb"/>
    <k n="Largest city" t="spb"/>
    <k n="Currency code" t="spb"/>
    <k n="Official name" t="spb"/>
    <k n="National anthem" t="spb"/>
    <k n="Capital/Major City" t="spb"/>
    <k n="Out of pocket health expenditure (%)" t="spb"/>
  </s>
  <s>
    <k n="GDP" t="s"/>
    <k n="Area" t="s"/>
    <k n="Population" t="s"/>
    <k n="Out of pocket health expenditure (%)" t="s"/>
  </s>
  <s>
    <k n="Area" t="spb"/>
    <k n="Name" t="spb"/>
    <k n="Latitude" t="spb"/>
    <k n="Longitude" t="spb"/>
    <k n="UniqueName" t="spb"/>
    <k n="Description" t="spb"/>
    <k n="Country/region" t="spb"/>
  </s>
  <s>
    <k n="Area" t="s"/>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Market cap of listed companies"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Area" t="spb"/>
    <k n="Name" t="spb"/>
    <k n="Population" t="spb"/>
    <k n="UniqueName" t="spb"/>
    <k n="Description" t="spb"/>
    <k n="Country/region" t="spb"/>
    <k n="Admin Division 1 (State/province/other)" t="spb"/>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Out of pocket health expenditure (%)" t="spb"/>
    <k n="Gross primary education enrollment (%)" t="spb"/>
    <k n="Gross tertiary education enrollment (%)" t="spb"/>
    <k n="Population: Labor force participation (%)" t="spb"/>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Gasoline price" t="spb"/>
    <k n="Total tax rate" t="spb"/>
    <k n="Life expectancy" t="spb"/>
    <k n="National anthem" t="spb"/>
    <k n="Tax revenue (%)" t="spb"/>
    <k n="Infant mortality" t="spb"/>
    <k n="Urban population" t="spb"/>
    <k n="Forested area (%)" t="spb"/>
    <k n="Unemployment rate" t="spb"/>
    <k n="Capital/Major City" t="spb"/>
    <k n="Agricultural land (%)" t="spb"/>
    <k n="Physicians per thousand" t="spb"/>
    <k n="Carbon dioxide emissions" t="spb"/>
    <k n="Maternal mortality ratio"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Tax revenue (%)" t="s"/>
    <k n="Infant mortality" t="s"/>
    <k n="Urban population" t="s"/>
    <k n="Forested area (%)" t="s"/>
    <k n="Unemployment rate" t="s"/>
    <k n="Agricultural land (%)" t="s"/>
    <k n="Physicians per thousand" t="s"/>
    <k n="Carbon dioxide emissions" t="s"/>
    <k n="Maternal mortality ratio" t="s"/>
    <k n="Fossil fuel energy consumption"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Forested area (%)" t="spb"/>
    <k n="Unemployment rate" t="spb"/>
    <k n="Capital/Major City" t="spb"/>
    <k n="Agricultural land (%)" t="spb"/>
    <k n="Physicians per thousand" t="spb"/>
    <k n="Carbon dioxide emissions" t="spb"/>
    <k n="Maternal mortality ratio"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Total tax rate" t="spb"/>
    <k n="Life expectancy" t="spb"/>
    <k n="National anthem" t="spb"/>
    <k n="Tax revenue (%)" t="spb"/>
    <k n="Infant mortality" t="spb"/>
    <k n="Urban population" t="spb"/>
    <k n="Forested area (%)" t="spb"/>
    <k n="Capital/Major City" t="spb"/>
    <k n="Agricultural land (%)" t="spb"/>
    <k n="Physicians per thousand" t="spb"/>
    <k n="Out of pocket health expenditure (%)" t="spb"/>
    <k n="Gross primary education enrollment (%)" t="spb"/>
    <k n="Gross tertiary education enrollment (%)" t="spb"/>
  </s>
  <s>
    <k n="CPI" t="s"/>
    <k n="GDP" t="s"/>
    <k n="Area" t="s"/>
    <k n="Birth rate" t="s"/>
    <k n="Population" t="s"/>
    <k n="CPI Change (%)" t="s"/>
    <k n="Fertility rate" t="s"/>
    <k n="Total tax rate" t="s"/>
    <k n="Life expectancy" t="s"/>
    <k n="Tax revenue (%)" t="s"/>
    <k n="Infant mortality" t="s"/>
    <k n="Urban population" t="s"/>
    <k n="Forested area (%)" t="s"/>
    <k n="Agricultural land (%)" t="s"/>
    <k n="Physicians per thousand" t="s"/>
    <k n="Out of pocket health expenditure (%)" t="s"/>
    <k n="Gross primary education enrollment (%)" t="s"/>
    <k n="Gross tertiary education enrollment (%)" t="s"/>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Total tax rate" t="spb"/>
    <k n="Life expectancy" t="spb"/>
    <k n="National anthem" t="spb"/>
    <k n="Tax revenue (%)" t="spb"/>
    <k n="Infant mortality" t="spb"/>
    <k n="Urban population" t="spb"/>
    <k n="Armed forces size" t="spb"/>
    <k n="Forested area (%)" t="spb"/>
    <k n="Capital/Major City" t="spb"/>
    <k n="Agricultural land (%)" t="spb"/>
    <k n="Physicians per thousand" t="spb"/>
    <k n="Carbon dioxide emissions" t="spb"/>
    <k n="Maternal mortality ratio"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s>
  <s>
    <k n="CPI" t="s"/>
    <k n="GDP" t="s"/>
    <k n="Area" t="s"/>
    <k n="Birth rate" t="s"/>
    <k n="Population" t="s"/>
    <k n="CPI Change (%)" t="s"/>
    <k n="Fertility rate" t="s"/>
    <k n="Total tax rate" t="s"/>
    <k n="Life expectancy" t="s"/>
    <k n="Tax revenue (%)" t="s"/>
    <k n="Infant mortality" t="s"/>
    <k n="Urban population" t="s"/>
    <k n="Armed forces size" t="s"/>
    <k n="Forested area (%)" t="s"/>
    <k n="Agricultural land (%)" t="s"/>
    <k n="Physicians per thousand" t="s"/>
    <k n="Carbon dioxide emissions" t="s"/>
    <k n="Maternal mortality ratio" t="s"/>
    <k n="Fossil fuel energy consumption" t="s"/>
    <k n="Market cap of listed companies"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Total tax rate" t="spb"/>
    <k n="Life expectancy" t="spb"/>
    <k n="National anthem" t="spb"/>
    <k n="Tax revenue (%)" t="spb"/>
    <k n="Infant mortality" t="spb"/>
    <k n="Urban population" t="spb"/>
    <k n="Forested area (%)" t="spb"/>
    <k n="Unemployment rate" t="spb"/>
    <k n="Capital/Major City" t="spb"/>
    <k n="Agricultural land (%)" t="spb"/>
    <k n="Physicians per thousand" t="spb"/>
    <k n="Carbon dioxide emissions" t="spb"/>
    <k n="Maternal mortality ratio"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Population: Labor force participation (%)" t="spb"/>
  </s>
  <s>
    <k n="CPI" t="s"/>
    <k n="GDP" t="s"/>
    <k n="Area" t="s"/>
    <k n="Birth rate" t="s"/>
    <k n="Population" t="s"/>
    <k n="CPI Change (%)" t="s"/>
    <k n="Fertility rate" t="s"/>
    <k n="Total tax rate" t="s"/>
    <k n="Life expectancy" t="s"/>
    <k n="Tax revenue (%)" t="s"/>
    <k n="Infant mortality" t="s"/>
    <k n="Urban population" t="s"/>
    <k n="Forested area (%)" t="s"/>
    <k n="Unemployment rate" t="s"/>
    <k n="Agricultural land (%)" t="s"/>
    <k n="Physicians per thousand" t="s"/>
    <k n="Carbon dioxide emissions" t="s"/>
    <k n="Maternal mortality ratio" t="s"/>
    <k n="Fossil fuel energy consumption"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Population: Labor force participation (%)" t="s"/>
  </s>
  <s>
    <k n="GDP" t="spb"/>
    <k n="Area" t="spb"/>
    <k n="Name" t="spb"/>
    <k n="Birth rate" t="spb"/>
    <k n="Population" t="spb"/>
    <k n="UniqueName" t="spb"/>
    <k n="Description" t="spb"/>
    <k n="Abbreviation" t="spb"/>
    <k n="Calling code" t="spb"/>
    <k n="Largest city" t="spb"/>
    <k n="Currency code" t="spb"/>
    <k n="Official name" t="spb"/>
    <k n="Fertility rate" t="spb"/>
    <k n="Gasoline pric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Gross primary education enrollment (%)" t="spb"/>
    <k n="Gross tertiary education enrollment (%)" t="spb"/>
    <k n="Population: Labor force participation (%)" t="spb"/>
  </s>
  <s>
    <k n="GDP" t="s"/>
    <k n="Area" t="s"/>
    <k n="Birth rate" t="s"/>
    <k n="Population" t="s"/>
    <k n="Fertility rate" t="s"/>
    <k n="Gasoline pric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Gross primary education enrollment (%)" t="s"/>
    <k n="Gross tertiary education enrollment (%)" t="s"/>
    <k n="Population: Labor force participation (%)" t="s"/>
  </s>
  <s>
    <k n="Area" t="spb"/>
    <k n="Name" t="spb"/>
    <k n="Households" t="spb"/>
    <k n="Population" t="spb"/>
    <k n="UniqueName" t="spb"/>
    <k n="Description" t="spb"/>
    <k n="Abbreviation" t="spb"/>
    <k n="Housing units" t="spb"/>
    <k n="Country/region" t="spb"/>
    <k n="Capital/Major City" t="spb"/>
  </s>
  <s>
    <k n="Area" t="s"/>
    <k n="Households" t="s"/>
    <k n="Population" t="s"/>
    <k n="Housing units" t="s"/>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Gasoline price" t="spb"/>
    <k n="Total tax rate" t="spb"/>
    <k n="Life expectancy" t="spb"/>
    <k n="National anthem" t="spb"/>
    <k n="Infant mortality" t="spb"/>
    <k n="Urban population" t="spb"/>
    <k n="Armed forces size" t="spb"/>
    <k n="Unemployment rate" t="spb"/>
    <k n="Capital/Major City" t="spb"/>
    <k n="Carbon dioxide emissions" t="spb"/>
    <k n="Maternal mortality ratio" t="spb"/>
    <k n="Electric power consumption"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Population: Labor force participation (%)" t="spb"/>
  </s>
  <s>
    <k n="CPI" t="s"/>
    <k n="GDP" t="s"/>
    <k n="Area" t="s"/>
    <k n="Birth rate" t="s"/>
    <k n="Population" t="s"/>
    <k n="CPI Change (%)" t="s"/>
    <k n="Fertility rate" t="s"/>
    <k n="Gasoline price" t="s"/>
    <k n="Total tax rate" t="s"/>
    <k n="Life expectancy" t="s"/>
    <k n="Infant mortality" t="s"/>
    <k n="Urban population" t="s"/>
    <k n="Armed forces size" t="s"/>
    <k n="Unemployment rate" t="s"/>
    <k n="Carbon dioxide emissions" t="s"/>
    <k n="Maternal mortality ratio" t="s"/>
    <k n="Electric power consumption" t="s"/>
    <k n="Fossil fuel energy consumption"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Population: Labor force participation (%)" t="s"/>
  </s>
  <s>
    <k n="CPI" t="spb"/>
    <k n="GDP"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
    <k n="GDP"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Market cap of listed companies"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Total tax rate" t="spb"/>
    <k n="Life expectancy" t="spb"/>
    <k n="National anthem" t="spb"/>
    <k n="Tax revenue (%)" t="spb"/>
    <k n="Infant mortality" t="spb"/>
    <k n="Urban population" t="spb"/>
    <k n="Forested area (%)" t="spb"/>
    <k n="Unemployment rate" t="spb"/>
    <k n="Capital/Major City" t="spb"/>
    <k n="Agricultural land (%)" t="spb"/>
    <k n="Physicians per thousand" t="spb"/>
    <k n="Carbon dioxide emissions" t="spb"/>
    <k n="Maternal mortality ratio" t="spb"/>
    <k n="Fossil fuel energy consumption" t="spb"/>
    <k n="Out of pocket health expenditure (%)" t="spb"/>
    <k n="Gross primary education enrollment (%)" t="spb"/>
    <k n="Gross tertiary education enrollment (%)" t="spb"/>
    <k n="Population: Labor force participation (%)" t="spb"/>
  </s>
  <s>
    <k n="CPI" t="s"/>
    <k n="GDP" t="s"/>
    <k n="Area" t="s"/>
    <k n="Birth rate" t="s"/>
    <k n="Population" t="s"/>
    <k n="CPI Change (%)" t="s"/>
    <k n="Fertility rate" t="s"/>
    <k n="Total tax rate" t="s"/>
    <k n="Life expectancy" t="s"/>
    <k n="Tax revenue (%)" t="s"/>
    <k n="Infant mortality" t="s"/>
    <k n="Urban population" t="s"/>
    <k n="Forested area (%)" t="s"/>
    <k n="Unemployment rate" t="s"/>
    <k n="Agricultural land (%)" t="s"/>
    <k n="Physicians per thousand" t="s"/>
    <k n="Carbon dioxide emissions" t="s"/>
    <k n="Maternal mortality ratio" t="s"/>
    <k n="Fossil fuel energy consumption" t="s"/>
    <k n="Out of pocket health expenditure (%)" t="s"/>
    <k n="Gross primary education enrollment (%)" t="s"/>
    <k n="Gross tertiary education enrollment (%)" t="s"/>
    <k n="Population: Labor force participation (%)" t="s"/>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Population: Income share third 20%" t="spb"/>
    <k n="Population: Income share fourth 2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Population: Income share third 20%" t="s"/>
    <k n="Population: Income share fourth 2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Total tax rate" t="spb"/>
    <k n="Life expectancy" t="spb"/>
    <k n="National anthem" t="spb"/>
    <k n="Tax revenue (%)" t="spb"/>
    <k n="Infant mortality" t="spb"/>
    <k n="Urban population" t="spb"/>
    <k n="Forested area (%)" t="spb"/>
    <k n="Unemployment rate" t="spb"/>
    <k n="Capital/Major City" t="spb"/>
    <k n="Agricultural land (%)" t="spb"/>
    <k n="Physicians per thousand" t="spb"/>
    <k n="Carbon dioxide emissions" t="spb"/>
    <k n="Maternal mortality ratio"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
    <k n="GDP" t="s"/>
    <k n="Area" t="s"/>
    <k n="Birth rate" t="s"/>
    <k n="Population" t="s"/>
    <k n="CPI Change (%)" t="s"/>
    <k n="Fertility rate" t="s"/>
    <k n="Total tax rate" t="s"/>
    <k n="Life expectancy" t="s"/>
    <k n="Tax revenue (%)" t="s"/>
    <k n="Infant mortality" t="s"/>
    <k n="Urban population" t="s"/>
    <k n="Forested area (%)" t="s"/>
    <k n="Unemployment rate" t="s"/>
    <k n="Agricultural land (%)" t="s"/>
    <k n="Physicians per thousand" t="s"/>
    <k n="Carbon dioxide emissions" t="s"/>
    <k n="Maternal mortality ratio" t="s"/>
    <k n="Fossil fuel energy consumption"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GDP" t="spb"/>
    <k n="Area" t="spb"/>
    <k n="Name" t="spb"/>
    <k n="Birth rate" t="spb"/>
    <k n="Population" t="spb"/>
    <k n="UniqueName" t="spb"/>
    <k n="Description" t="spb"/>
    <k n="Abbreviation" t="spb"/>
    <k n="Calling code" t="spb"/>
    <k n="Largest city" t="spb"/>
    <k n="Minimum wage" t="spb"/>
    <k n="Currency code" t="spb"/>
    <k n="Official name" t="spb"/>
    <k n="Fertility rate" t="spb"/>
    <k n="Gasoline price" t="spb"/>
    <k n="Life expectancy" t="spb"/>
    <k n="National anthem"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GDP" t="s"/>
    <k n="Area" t="s"/>
    <k n="Birth rate" t="s"/>
    <k n="Population" t="s"/>
    <k n="Fertility rate" t="s"/>
    <k n="Gasoline price" t="s"/>
    <k n="Life expectancy" t="s"/>
    <k n="Infant mortality" t="s"/>
    <k n="Urban population" t="s"/>
    <k n="Armed forces size" t="s"/>
    <k n="Forested area (%)" t="s"/>
    <k n="Unemployment rate" t="s"/>
    <k n="Agricultural land (%)" t="s"/>
    <k n="Physicians per thousand" t="s"/>
    <k n="Carbon dioxide emissions" t="s"/>
    <k n="Maternal mortality ratio" t="s"/>
    <k n="Electric power consumption"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GDP" t="spb"/>
    <k n="Area" t="spb"/>
    <k n="Name" t="spb"/>
    <k n="Population" t="spb"/>
    <k n="UniqueName" t="spb"/>
    <k n="Description" t="spb"/>
    <k n="Abbreviation" t="spb"/>
    <k n="Calling code" t="spb"/>
    <k n="Largest city" t="spb"/>
    <k n="Currency code" t="spb"/>
    <k n="Official name" t="spb"/>
    <k n="National anthem" t="spb"/>
    <k n="Infant mortality" t="spb"/>
    <k n="Urban population" t="spb"/>
    <k n="Forested area (%)" t="spb"/>
    <k n="Capital/Major City" t="spb"/>
    <k n="Agricultural land (%)" t="spb"/>
    <k n="Physicians per thousand" t="spb"/>
    <k n="Carbon dioxide emission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s>
  <s>
    <k n="GDP" t="s"/>
    <k n="Area" t="s"/>
    <k n="Population" t="s"/>
    <k n="Infant mortality" t="s"/>
    <k n="Urban population" t="s"/>
    <k n="Forested area (%)" t="s"/>
    <k n="Agricultural land (%)" t="s"/>
    <k n="Physicians per thousand" t="s"/>
    <k n="Carbon dioxide emissions"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s>
  <s>
    <k n="Area" t="spb"/>
    <k n="Name" t="spb"/>
    <k n="Population" t="spb"/>
    <k n="UniqueName" t="spb"/>
    <k n="Description" t="spb"/>
    <k n="Country/region" t="spb"/>
    <k n="Capital/Major City" t="spb"/>
  </s>
  <s>
    <k n="Area" t="spb"/>
    <k n="Name" t="spb"/>
    <k n="Households" t="spb"/>
    <k n="Population" t="spb"/>
    <k n="UniqueName" t="spb"/>
    <k n="Description" t="spb"/>
    <k n="Abbreviation" t="spb"/>
    <k n="Housing units" t="spb"/>
    <k n="Country/region" t="spb"/>
    <k n="Building permits" t="spb"/>
    <k n="Median gross rent" t="spb"/>
    <k n="Persons per household" t="spb"/>
    <k n="Population change (%)" t="spb"/>
    <k n="Population: Asian (%)" t="spb"/>
    <k n="Population: White (%)" t="spb"/>
    <k n="Median household income" t="spb"/>
    <k n="Population: Age 65+ (%)" t="spb"/>
    <k n="Population: Under age 5 (%)" t="spb"/>
    <k n="Population: Under age 18 (%)" t="spb"/>
    <k n="Population: Two or more races (%)" t="spb"/>
    <k n="Population: Hispanic or Latino (%)" t="spb"/>
    <k n="Population: Foreign born persons (%)" t="spb"/>
    <k n="Population: In civilian labor force (%)" t="spb"/>
    <k n="Population: Black or African American (%)" t="spb"/>
    <k n="Population: Persons with a disability (%)" t="spb"/>
    <k n="Median value, owner-occupied housing units" t="spb"/>
    <k n="Population: Bachelor's degree or higher (%)" t="spb"/>
    <k n="Population: High school graduate or higher (%)" t="spb"/>
    <k n="Population: American Indian and Alaskan Native (%)" t="spb"/>
    <k n="Population: Native Hawaiian and Other Pacific Islander (%)" t="spb"/>
  </s>
  <s>
    <k n="Area" t="s"/>
    <k n="Households" t="s"/>
    <k n="Population" t="s"/>
    <k n="Housing units" t="s"/>
    <k n="Building permits" t="s"/>
    <k n="Median gross rent" t="s"/>
    <k n="Persons per household" t="s"/>
    <k n="Population change (%)" t="s"/>
    <k n="Population: Asian (%)" t="s"/>
    <k n="Population: White (%)" t="s"/>
    <k n="Median household income" t="s"/>
    <k n="Population: Age 65+ (%)" t="s"/>
    <k n="Population: Under age 5 (%)" t="s"/>
    <k n="Population: Under age 18 (%)" t="s"/>
    <k n="Population: Two or more races (%)" t="s"/>
    <k n="Population: Hispanic or Latino (%)" t="s"/>
    <k n="Population: Foreign born persons (%)" t="s"/>
    <k n="Population: In civilian labor force (%)" t="s"/>
    <k n="Population: Black or African American (%)" t="s"/>
    <k n="Population: Persons with a disability (%)" t="s"/>
    <k n="Median value, owner-occupied housing units" t="s"/>
    <k n="Population: Bachelor's degree or higher (%)" t="s"/>
    <k n="Population: High school graduate or higher (%)" t="s"/>
    <k n="Population: American Indian and Alaskan Native (%)" t="s"/>
    <k n="Population: Native Hawaiian and Other Pacific Islander (%)" t="s"/>
  </s>
  <s>
    <k n="CPI" t="spb"/>
    <k n="GDP" t="spb"/>
    <k n="Area" t="spb"/>
    <k n="Name" t="spb"/>
    <k n="Birth rate" t="spb"/>
    <k n="Population" t="spb"/>
    <k n="UniqueName" t="spb"/>
    <k n="Description" t="spb"/>
    <k n="Abbreviation" t="spb"/>
    <k n="Calling code" t="spb"/>
    <k n="Largest city" t="spb"/>
    <k n="Minimum wage" t="spb"/>
    <k n="Currency code" t="spb"/>
    <k n="Official name" t="spb"/>
    <k n="Fertility rate" t="spb"/>
    <k n="Gasoline price" t="spb"/>
    <k n="Total tax rate" t="spb"/>
    <k n="Life expectancy" t="spb"/>
    <k n="National anthem" t="spb"/>
    <k n="Tax revenue (%)" t="spb"/>
    <k n="Infant mortality" t="spb"/>
    <k n="Urban population" t="spb"/>
    <k n="Armed forces size" t="spb"/>
    <k n="Forested area (%)"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Gasoline price" t="spb"/>
    <k n="Total tax rate" t="spb"/>
    <k n="Life expectancy" t="spb"/>
    <k n="National anthem"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3" formatCode="#,##0"/>
    </x:dxf>
    <x:dxf>
      <x:numFmt numFmtId="0" formatCode="General"/>
    </x:dxf>
    <x:dxf>
      <x:numFmt numFmtId="2" formatCode="0.00"/>
    </x:dxf>
    <x:dxf>
      <x:numFmt numFmtId="14" formatCode="0.00%"/>
    </x:dxf>
    <x:dxf>
      <x:numFmt numFmtId="4" formatCode="#,##0.00"/>
    </x:dxf>
    <x:dxf>
      <x:numFmt numFmtId="1" formatCode="0"/>
    </x:dxf>
    <x:dxf>
      <x:numFmt numFmtId="13" formatCode="0%"/>
    </x:dxf>
  </dxfs>
  <richProperties>
    <rPr n="NumberFormat" t="s"/>
    <rPr n="IsTitleField" t="b"/>
    <rPr n="IsHeroField" t="b"/>
    <rPr n="RequiresInlineAttribution" t="b"/>
  </richProperties>
  <richStyles>
    <rSty dxfid="1">
      <rpv i="0">0.0000</rpv>
    </rSty>
    <rSty>
      <rpv i="1">1</rpv>
    </rSty>
    <rSty>
      <rpv i="2">1</rpv>
    </rSty>
    <rSty dxfid="0">
      <rpv i="0">#,##0</rpv>
    </rSty>
    <rSty dxfid="3">
      <rpv i="0">0.0%</rpv>
    </rSty>
    <rSty dxfid="2">
      <rpv i="0">0.00</rpv>
    </rSty>
    <rSty dxfid="5">
      <rpv i="0">0</rpv>
    </rSty>
    <rSty dxfid="4">
      <rpv i="0">#,##0.00</rpv>
    </rSty>
    <rSty dxfid="1">
      <rpv i="0">_([$$-en-US]* #,##0.00_);_([$$-en-US]* (#,##0.00);_([$$-en-US]* "-"??_);_(@_)</rpv>
    </rSty>
    <rSty dxfid="1">
      <rpv i="0">_([$$-en-US]* #,##0_);_([$$-en-US]* (#,##0);_([$$-en-US]* "-"_);_(@_)</rpv>
    </rSty>
    <rSty dxfid="1">
      <rpv i="0">0.0</rpv>
    </rSty>
    <rSty dxfid="3"/>
    <rSty>
      <rpv i="3">1</rpv>
    </rSty>
    <rSty dxfid="6"/>
  </richStyles>
</rich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9B72F-CD1E-406D-B320-B6355EABBF62}">
  <dimension ref="A1:V196"/>
  <sheetViews>
    <sheetView topLeftCell="F1" zoomScale="115" zoomScaleNormal="115" workbookViewId="0">
      <selection activeCell="T6" sqref="T6"/>
    </sheetView>
  </sheetViews>
  <sheetFormatPr defaultRowHeight="14.25" customHeight="1" x14ac:dyDescent="0.25"/>
  <cols>
    <col min="1" max="5" width="20.85546875" customWidth="1"/>
    <col min="7" max="7" width="19.28515625" bestFit="1" customWidth="1"/>
    <col min="12" max="13" width="18.85546875" customWidth="1"/>
    <col min="14" max="14" width="15.7109375" customWidth="1"/>
    <col min="17" max="17" width="18.28515625" bestFit="1" customWidth="1"/>
    <col min="18" max="19" width="0" hidden="1" customWidth="1"/>
    <col min="20" max="20" width="15.5703125" bestFit="1" customWidth="1"/>
  </cols>
  <sheetData>
    <row r="1" spans="1:22" ht="14.25" customHeight="1" x14ac:dyDescent="0.25">
      <c r="A1" s="1" t="s">
        <v>200</v>
      </c>
      <c r="B1" s="1" t="s">
        <v>201</v>
      </c>
      <c r="C1" s="1" t="s">
        <v>202</v>
      </c>
      <c r="D1" s="1"/>
      <c r="E1" s="1"/>
      <c r="G1" t="s">
        <v>202</v>
      </c>
      <c r="L1" t="s">
        <v>200</v>
      </c>
      <c r="N1" t="s">
        <v>211</v>
      </c>
      <c r="Q1" t="s">
        <v>212</v>
      </c>
      <c r="T1" t="s">
        <v>213</v>
      </c>
      <c r="U1" t="s">
        <v>214</v>
      </c>
      <c r="V1" t="s">
        <v>215</v>
      </c>
    </row>
    <row r="2" spans="1:22" ht="14.25" customHeight="1" x14ac:dyDescent="0.25">
      <c r="A2" s="2" t="s">
        <v>0</v>
      </c>
      <c r="B2" s="2" t="s">
        <v>1</v>
      </c>
      <c r="C2" t="s">
        <v>204</v>
      </c>
      <c r="G2" t="s">
        <v>207</v>
      </c>
      <c r="H2">
        <f>COUNTIF($C$2:$C$195,G2)</f>
        <v>0</v>
      </c>
      <c r="L2" s="3" t="s">
        <v>0</v>
      </c>
      <c r="M2" s="3" t="str">
        <f>VLOOKUP(L2,$A$2:$C$195,3,FALSE)</f>
        <v>Middle east</v>
      </c>
      <c r="N2">
        <v>0</v>
      </c>
      <c r="Q2" t="s">
        <v>208</v>
      </c>
      <c r="T2">
        <f t="shared" ref="T2:T6" si="0">SUMIF($M$2:$M$196,Q2,$N$2:$N$196)</f>
        <v>223.03</v>
      </c>
      <c r="U2">
        <v>-4.2694000000000001</v>
      </c>
      <c r="V2">
        <v>15.2712</v>
      </c>
    </row>
    <row r="3" spans="1:22" ht="14.25" customHeight="1" x14ac:dyDescent="0.25">
      <c r="A3" s="2" t="s">
        <v>2</v>
      </c>
      <c r="B3" s="2" t="s">
        <v>3</v>
      </c>
      <c r="C3" t="s">
        <v>203</v>
      </c>
      <c r="G3" t="s">
        <v>208</v>
      </c>
      <c r="H3">
        <f t="shared" ref="H3:H9" si="1">COUNTIF($C$2:$C$195,G3)</f>
        <v>49</v>
      </c>
      <c r="L3" s="3" t="s">
        <v>2</v>
      </c>
      <c r="M3" s="3" t="str">
        <f t="shared" ref="M3:M66" si="2">VLOOKUP(L3,$A$2:$C$195,3,FALSE)</f>
        <v>Other eurasia</v>
      </c>
      <c r="N3">
        <v>3.7109999999999999</v>
      </c>
      <c r="Q3" t="s">
        <v>203</v>
      </c>
      <c r="T3">
        <f t="shared" si="0"/>
        <v>1043.653224938</v>
      </c>
      <c r="U3">
        <v>39.9208</v>
      </c>
      <c r="V3">
        <v>32.853999999999999</v>
      </c>
    </row>
    <row r="4" spans="1:22" ht="14.25" customHeight="1" x14ac:dyDescent="0.25">
      <c r="A4" s="2" t="s">
        <v>4</v>
      </c>
      <c r="B4" s="2" t="s">
        <v>5</v>
      </c>
      <c r="C4" t="s">
        <v>204</v>
      </c>
      <c r="G4" t="s">
        <v>203</v>
      </c>
      <c r="H4">
        <f t="shared" si="1"/>
        <v>36</v>
      </c>
      <c r="L4" s="3" t="s">
        <v>4</v>
      </c>
      <c r="M4" s="3" t="str">
        <f t="shared" si="2"/>
        <v>Middle east</v>
      </c>
      <c r="N4">
        <v>10</v>
      </c>
      <c r="Q4" t="s">
        <v>210</v>
      </c>
      <c r="T4">
        <f t="shared" si="0"/>
        <v>1.0233699999999999</v>
      </c>
      <c r="U4">
        <v>4.6534000000000004</v>
      </c>
      <c r="V4">
        <v>-74.083699999999993</v>
      </c>
    </row>
    <row r="5" spans="1:22" ht="14.25" customHeight="1" x14ac:dyDescent="0.25">
      <c r="A5" s="2" t="s">
        <v>6</v>
      </c>
      <c r="B5" s="2" t="s">
        <v>3</v>
      </c>
      <c r="C5" t="s">
        <v>203</v>
      </c>
      <c r="G5" t="s">
        <v>210</v>
      </c>
      <c r="H5">
        <f t="shared" si="1"/>
        <v>28</v>
      </c>
      <c r="L5" s="3" t="s">
        <v>6</v>
      </c>
      <c r="M5" s="3" t="str">
        <f t="shared" si="2"/>
        <v>Other eurasia</v>
      </c>
      <c r="N5">
        <v>0</v>
      </c>
      <c r="Q5" t="s">
        <v>204</v>
      </c>
      <c r="T5">
        <f t="shared" si="0"/>
        <v>260.70909499999999</v>
      </c>
      <c r="U5">
        <v>30.0444</v>
      </c>
      <c r="V5">
        <v>31.235700000000001</v>
      </c>
    </row>
    <row r="6" spans="1:22" ht="14.25" customHeight="1" x14ac:dyDescent="0.25">
      <c r="A6" s="2" t="s">
        <v>7</v>
      </c>
      <c r="B6" s="2" t="s">
        <v>5</v>
      </c>
      <c r="C6" t="s">
        <v>208</v>
      </c>
      <c r="G6" t="s">
        <v>204</v>
      </c>
      <c r="H6">
        <f t="shared" si="1"/>
        <v>18</v>
      </c>
      <c r="L6" s="3" t="s">
        <v>7</v>
      </c>
      <c r="M6" s="3" t="str">
        <f t="shared" si="2"/>
        <v>Sub-saharan africa</v>
      </c>
      <c r="N6">
        <v>0</v>
      </c>
      <c r="Q6" t="s">
        <v>205</v>
      </c>
      <c r="T6">
        <f t="shared" si="0"/>
        <v>85.24221</v>
      </c>
      <c r="U6">
        <v>1.3571</v>
      </c>
      <c r="V6">
        <v>103.81950000000001</v>
      </c>
    </row>
    <row r="7" spans="1:22" ht="14.25" customHeight="1" x14ac:dyDescent="0.25">
      <c r="A7" s="2" t="s">
        <v>8</v>
      </c>
      <c r="B7" s="2" t="s">
        <v>9</v>
      </c>
      <c r="C7" t="s">
        <v>210</v>
      </c>
      <c r="G7" t="s">
        <v>205</v>
      </c>
      <c r="H7">
        <f t="shared" si="1"/>
        <v>19</v>
      </c>
      <c r="L7" s="3" t="s">
        <v>8</v>
      </c>
      <c r="M7" s="3" t="str">
        <f t="shared" si="2"/>
        <v>Other latin america</v>
      </c>
      <c r="N7">
        <v>0</v>
      </c>
      <c r="Q7" t="str" cm="1">
        <f t="array" ref="Q7:S41">_xlfn._xlws.FILTER(A2:C195,C2:C195=G8)</f>
        <v>Argentina</v>
      </c>
      <c r="R7" t="str">
        <v>S. America</v>
      </c>
      <c r="S7" t="str">
        <v>Country specific</v>
      </c>
      <c r="T7">
        <f>VLOOKUP(Q7,$L$2:$N$196,3,FALSE)</f>
        <v>2.7</v>
      </c>
      <c r="U7">
        <f>VLOOKUP(Q7,'lat lon'!$A$2:$E$195,4,FALSE)</f>
        <v>-34.608400000000003</v>
      </c>
      <c r="V7">
        <f>VLOOKUP(Q7,'lat lon'!$A$2:$E$195,5,FALSE)</f>
        <v>-58.444099999999999</v>
      </c>
    </row>
    <row r="8" spans="1:22" ht="14.25" customHeight="1" x14ac:dyDescent="0.25">
      <c r="A8" s="2" t="s">
        <v>10</v>
      </c>
      <c r="B8" s="2" t="s">
        <v>11</v>
      </c>
      <c r="C8" t="s">
        <v>206</v>
      </c>
      <c r="G8" t="s">
        <v>206</v>
      </c>
      <c r="H8">
        <f t="shared" si="1"/>
        <v>35</v>
      </c>
      <c r="L8" s="3" t="s">
        <v>10</v>
      </c>
      <c r="M8" s="3" t="str">
        <f t="shared" si="2"/>
        <v>Country specific</v>
      </c>
      <c r="N8">
        <v>2.7</v>
      </c>
      <c r="Q8" t="str">
        <v>Australia</v>
      </c>
      <c r="R8" t="str">
        <v>Australia</v>
      </c>
      <c r="S8" t="str">
        <v>Country specific</v>
      </c>
      <c r="T8">
        <f>VLOOKUP(Q8,$L$2:$N$196,3,FALSE)</f>
        <v>2984.5</v>
      </c>
      <c r="U8" vm="1">
        <f>VLOOKUP(Q8,'lat lon'!$A$2:$E$195,4,FALSE)</f>
        <v>-35.293055555556002</v>
      </c>
      <c r="V8" vm="2">
        <f>VLOOKUP(Q8,'lat lon'!$A$2:$E$195,5,FALSE)</f>
        <v>149.12694444444</v>
      </c>
    </row>
    <row r="9" spans="1:22" ht="14.25" customHeight="1" x14ac:dyDescent="0.25">
      <c r="A9" s="2" t="s">
        <v>12</v>
      </c>
      <c r="B9" s="2" t="s">
        <v>1</v>
      </c>
      <c r="C9" t="s">
        <v>203</v>
      </c>
      <c r="G9" t="s">
        <v>209</v>
      </c>
      <c r="H9">
        <f t="shared" si="1"/>
        <v>9</v>
      </c>
      <c r="L9" s="3" t="s">
        <v>12</v>
      </c>
      <c r="M9" s="3" t="str">
        <f t="shared" si="2"/>
        <v>Other eurasia</v>
      </c>
      <c r="N9">
        <v>0</v>
      </c>
      <c r="Q9" t="str">
        <v>Belgium</v>
      </c>
      <c r="R9" t="str">
        <v>Europe</v>
      </c>
      <c r="S9" t="str">
        <v>Country specific</v>
      </c>
      <c r="T9">
        <f>VLOOKUP(Q9,$L$2:$N$196,3,FALSE)</f>
        <v>0.19900000000000001</v>
      </c>
      <c r="U9" vm="3">
        <f>VLOOKUP(Q9,'lat lon'!$A$2:$E$195,4,FALSE)</f>
        <v>50.8466666666667</v>
      </c>
      <c r="V9" vm="4">
        <f>VLOOKUP(Q9,'lat lon'!$A$2:$E$195,5,FALSE)</f>
        <v>4.3516666666666701</v>
      </c>
    </row>
    <row r="10" spans="1:22" ht="14.25" customHeight="1" x14ac:dyDescent="0.25">
      <c r="A10" s="2" t="s">
        <v>13</v>
      </c>
      <c r="B10" s="2" t="s">
        <v>13</v>
      </c>
      <c r="C10" t="s">
        <v>206</v>
      </c>
      <c r="L10" s="3" t="s">
        <v>13</v>
      </c>
      <c r="M10" s="3" t="str">
        <f t="shared" si="2"/>
        <v>Country specific</v>
      </c>
      <c r="N10">
        <v>2984.5</v>
      </c>
      <c r="Q10" t="str">
        <v>Brazil</v>
      </c>
      <c r="R10" t="str">
        <v>S. America</v>
      </c>
      <c r="S10" t="str">
        <v>Country specific</v>
      </c>
      <c r="T10">
        <f>VLOOKUP(Q10,$L$2:$N$196,3,FALSE)</f>
        <v>1489</v>
      </c>
      <c r="U10" vm="5">
        <f>VLOOKUP(Q10,'lat lon'!$A$2:$E$195,4,FALSE)</f>
        <v>-15.793888888889001</v>
      </c>
      <c r="V10" vm="6">
        <f>VLOOKUP(Q10,'lat lon'!$A$2:$E$195,5,FALSE)</f>
        <v>-47.882777777778003</v>
      </c>
    </row>
    <row r="11" spans="1:22" ht="14.25" customHeight="1" x14ac:dyDescent="0.25">
      <c r="A11" s="2" t="s">
        <v>14</v>
      </c>
      <c r="B11" s="2" t="s">
        <v>3</v>
      </c>
      <c r="C11" t="s">
        <v>203</v>
      </c>
      <c r="L11" s="3" t="s">
        <v>14</v>
      </c>
      <c r="M11" s="3" t="str">
        <f t="shared" si="2"/>
        <v>Other eurasia</v>
      </c>
      <c r="N11">
        <v>0.14599999999999999</v>
      </c>
      <c r="Q11" t="str">
        <v>Canada</v>
      </c>
      <c r="R11" t="str">
        <v>N. America</v>
      </c>
      <c r="S11" t="str">
        <v>Country specific</v>
      </c>
      <c r="T11">
        <f>VLOOKUP(Q11,$L$2:$N$196,3,FALSE)</f>
        <v>1595</v>
      </c>
      <c r="U11" vm="7">
        <f>VLOOKUP(Q11,'lat lon'!$A$2:$E$195,4,FALSE)</f>
        <v>45.424722222222002</v>
      </c>
      <c r="V11" vm="8">
        <f>VLOOKUP(Q11,'lat lon'!$A$2:$E$195,5,FALSE)</f>
        <v>-75.694999999999993</v>
      </c>
    </row>
    <row r="12" spans="1:22" ht="14.25" customHeight="1" x14ac:dyDescent="0.25">
      <c r="A12" s="2" t="s">
        <v>15</v>
      </c>
      <c r="B12" s="2" t="s">
        <v>1</v>
      </c>
      <c r="C12" t="s">
        <v>203</v>
      </c>
      <c r="L12" s="3" t="s">
        <v>15</v>
      </c>
      <c r="M12" s="3" t="str">
        <f t="shared" si="2"/>
        <v>Other eurasia</v>
      </c>
      <c r="N12">
        <v>0</v>
      </c>
      <c r="Q12" t="str">
        <v>China</v>
      </c>
      <c r="R12" t="str">
        <v>Asia</v>
      </c>
      <c r="S12" t="str">
        <v>Country specific</v>
      </c>
      <c r="T12">
        <f>VLOOKUP(Q12,$L$2:$N$196,3,FALSE)</f>
        <v>2019.5</v>
      </c>
      <c r="U12">
        <f>VLOOKUP(Q12,'lat lon'!$A$2:$E$195,4,FALSE)</f>
        <v>40.190600000000003</v>
      </c>
      <c r="V12">
        <f>VLOOKUP(Q12,'lat lon'!$A$2:$E$195,5,FALSE)</f>
        <v>116.4121</v>
      </c>
    </row>
    <row r="13" spans="1:22" ht="14.25" customHeight="1" x14ac:dyDescent="0.25">
      <c r="A13" s="2" t="s">
        <v>16</v>
      </c>
      <c r="B13" s="2" t="s">
        <v>9</v>
      </c>
      <c r="C13" t="s">
        <v>210</v>
      </c>
      <c r="L13" s="3" t="s">
        <v>16</v>
      </c>
      <c r="M13" s="3" t="str">
        <f t="shared" si="2"/>
        <v>Other latin america</v>
      </c>
      <c r="N13">
        <v>0</v>
      </c>
      <c r="Q13" t="str">
        <v>Denmark</v>
      </c>
      <c r="R13" t="str">
        <v>Europe</v>
      </c>
      <c r="S13" t="str">
        <v>Country specific</v>
      </c>
      <c r="T13">
        <f>VLOOKUP(Q13,$L$2:$N$196,3,FALSE)</f>
        <v>16.027940000000001</v>
      </c>
      <c r="U13" vm="9">
        <f>VLOOKUP(Q13,'lat lon'!$A$2:$E$195,4,FALSE)</f>
        <v>55.676111111110998</v>
      </c>
      <c r="V13" vm="10">
        <f>VLOOKUP(Q13,'lat lon'!$A$2:$E$195,5,FALSE)</f>
        <v>12.568888888888999</v>
      </c>
    </row>
    <row r="14" spans="1:22" ht="14.25" customHeight="1" x14ac:dyDescent="0.25">
      <c r="A14" s="2" t="s">
        <v>17</v>
      </c>
      <c r="B14" s="2" t="s">
        <v>1</v>
      </c>
      <c r="C14" t="s">
        <v>204</v>
      </c>
      <c r="L14" s="3" t="s">
        <v>17</v>
      </c>
      <c r="M14" s="3" t="str">
        <f t="shared" si="2"/>
        <v>Middle east</v>
      </c>
      <c r="N14">
        <v>0</v>
      </c>
      <c r="Q14" t="str">
        <v>Egypt</v>
      </c>
      <c r="R14" t="str">
        <v>Africa</v>
      </c>
      <c r="S14" t="str">
        <v>Country specific</v>
      </c>
      <c r="T14">
        <f>VLOOKUP(Q14,$L$2:$N$196,3,FALSE)</f>
        <v>667.17</v>
      </c>
      <c r="U14" vm="11">
        <f>VLOOKUP(Q14,'lat lon'!$A$2:$E$195,4,FALSE)</f>
        <v>30.044444444444402</v>
      </c>
      <c r="V14" vm="12">
        <f>VLOOKUP(Q14,'lat lon'!$A$2:$E$195,5,FALSE)</f>
        <v>31.2358333333333</v>
      </c>
    </row>
    <row r="15" spans="1:22" ht="14.25" customHeight="1" x14ac:dyDescent="0.25">
      <c r="A15" s="2" t="s">
        <v>18</v>
      </c>
      <c r="B15" s="2" t="s">
        <v>1</v>
      </c>
      <c r="C15" t="s">
        <v>205</v>
      </c>
      <c r="L15" s="3" t="s">
        <v>18</v>
      </c>
      <c r="M15" s="3" t="str">
        <f t="shared" si="2"/>
        <v>Other Asia pacific</v>
      </c>
      <c r="N15">
        <v>21.132999999999999</v>
      </c>
      <c r="Q15" t="str">
        <v>Finland</v>
      </c>
      <c r="R15" t="str">
        <v>Europe</v>
      </c>
      <c r="S15" t="str">
        <v>Country specific</v>
      </c>
      <c r="T15">
        <f>VLOOKUP(Q15,$L$2:$N$196,3,FALSE)</f>
        <v>2</v>
      </c>
      <c r="U15" vm="13">
        <f>VLOOKUP(Q15,'lat lon'!$A$2:$E$195,4,FALSE)</f>
        <v>60.170833333333299</v>
      </c>
      <c r="V15" vm="14">
        <f>VLOOKUP(Q15,'lat lon'!$A$2:$E$195,5,FALSE)</f>
        <v>24.9375</v>
      </c>
    </row>
    <row r="16" spans="1:22" ht="14.25" customHeight="1" x14ac:dyDescent="0.25">
      <c r="A16" s="2" t="s">
        <v>19</v>
      </c>
      <c r="B16" s="2" t="s">
        <v>9</v>
      </c>
      <c r="C16" t="s">
        <v>210</v>
      </c>
      <c r="L16" s="3" t="s">
        <v>19</v>
      </c>
      <c r="M16" s="3" t="str">
        <f t="shared" si="2"/>
        <v>Other latin america</v>
      </c>
      <c r="N16">
        <v>0</v>
      </c>
      <c r="Q16" t="str">
        <v>France</v>
      </c>
      <c r="R16" t="str">
        <v>Europe</v>
      </c>
      <c r="S16" t="str">
        <v>Country specific</v>
      </c>
      <c r="T16">
        <f>VLOOKUP(Q16,$L$2:$N$196,3,FALSE)</f>
        <v>7.2078509999999998</v>
      </c>
      <c r="U16" vm="15">
        <f>VLOOKUP(Q16,'lat lon'!$A$2:$E$195,4,FALSE)</f>
        <v>48.856666666666698</v>
      </c>
      <c r="V16" vm="16">
        <f>VLOOKUP(Q16,'lat lon'!$A$2:$E$195,5,FALSE)</f>
        <v>2.35222222222222</v>
      </c>
    </row>
    <row r="17" spans="1:22" ht="14.25" customHeight="1" x14ac:dyDescent="0.25">
      <c r="A17" s="2" t="s">
        <v>20</v>
      </c>
      <c r="B17" s="2" t="s">
        <v>3</v>
      </c>
      <c r="C17" t="s">
        <v>203</v>
      </c>
      <c r="L17" s="3" t="s">
        <v>20</v>
      </c>
      <c r="M17" s="3" t="str">
        <f t="shared" si="2"/>
        <v>Other eurasia</v>
      </c>
      <c r="N17">
        <v>0</v>
      </c>
      <c r="Q17" t="str">
        <v>Germany</v>
      </c>
      <c r="R17" t="str">
        <v>Europe</v>
      </c>
      <c r="S17" t="str">
        <v>Country specific</v>
      </c>
      <c r="T17">
        <f>VLOOKUP(Q17,$L$2:$N$196,3,FALSE)</f>
        <v>51.207599999999999</v>
      </c>
      <c r="U17">
        <f>VLOOKUP(Q17,'lat lon'!$A$2:$E$195,4,FALSE)</f>
        <v>52.510899999999999</v>
      </c>
      <c r="V17">
        <f>VLOOKUP(Q17,'lat lon'!$A$2:$E$195,5,FALSE)</f>
        <v>13.398899999999999</v>
      </c>
    </row>
    <row r="18" spans="1:22" ht="14.25" customHeight="1" x14ac:dyDescent="0.25">
      <c r="A18" s="2" t="s">
        <v>21</v>
      </c>
      <c r="B18" s="2" t="s">
        <v>3</v>
      </c>
      <c r="C18" t="s">
        <v>206</v>
      </c>
      <c r="L18" s="3" t="s">
        <v>21</v>
      </c>
      <c r="M18" s="3" t="str">
        <f t="shared" si="2"/>
        <v>Country specific</v>
      </c>
      <c r="N18">
        <v>0.19900000000000001</v>
      </c>
      <c r="Q18" t="str">
        <v>Iceland</v>
      </c>
      <c r="R18" t="str">
        <v>Europe</v>
      </c>
      <c r="S18" t="str">
        <v>Country specific</v>
      </c>
      <c r="T18">
        <f>VLOOKUP(Q18,$L$2:$N$196,3,FALSE)</f>
        <v>0</v>
      </c>
      <c r="U18" vm="17">
        <f>VLOOKUP(Q18,'lat lon'!$A$2:$E$195,4,FALSE)</f>
        <v>64.147499999999994</v>
      </c>
      <c r="V18" vm="18">
        <f>VLOOKUP(Q18,'lat lon'!$A$2:$E$195,5,FALSE)</f>
        <v>-21.934999999999999</v>
      </c>
    </row>
    <row r="19" spans="1:22" ht="14.25" customHeight="1" x14ac:dyDescent="0.25">
      <c r="A19" s="2" t="s">
        <v>22</v>
      </c>
      <c r="B19" s="2" t="s">
        <v>9</v>
      </c>
      <c r="C19" t="s">
        <v>210</v>
      </c>
      <c r="L19" s="3" t="s">
        <v>22</v>
      </c>
      <c r="M19" s="3" t="str">
        <f t="shared" si="2"/>
        <v>Other latin america</v>
      </c>
      <c r="N19">
        <v>0</v>
      </c>
      <c r="Q19" t="str">
        <v>India</v>
      </c>
      <c r="R19" t="str">
        <v>Asia</v>
      </c>
      <c r="S19" t="str">
        <v>Country specific</v>
      </c>
      <c r="T19">
        <f>VLOOKUP(Q19,$L$2:$N$196,3,FALSE)</f>
        <v>497</v>
      </c>
      <c r="U19" vm="19">
        <f>VLOOKUP(Q19,'lat lon'!$A$2:$E$195,4,FALSE)</f>
        <v>28.613895400000001</v>
      </c>
      <c r="V19" vm="20">
        <f>VLOOKUP(Q19,'lat lon'!$A$2:$E$195,5,FALSE)</f>
        <v>77.209005700000006</v>
      </c>
    </row>
    <row r="20" spans="1:22" ht="14.25" customHeight="1" x14ac:dyDescent="0.25">
      <c r="A20" s="2" t="s">
        <v>23</v>
      </c>
      <c r="B20" s="2" t="s">
        <v>5</v>
      </c>
      <c r="C20" t="s">
        <v>208</v>
      </c>
      <c r="L20" s="3" t="s">
        <v>23</v>
      </c>
      <c r="M20" s="3" t="str">
        <f t="shared" si="2"/>
        <v>Sub-saharan africa</v>
      </c>
      <c r="N20">
        <v>0</v>
      </c>
      <c r="Q20" t="str">
        <v>Indonesia</v>
      </c>
      <c r="R20" t="str">
        <v>Asia</v>
      </c>
      <c r="S20" t="str">
        <v>Country specific</v>
      </c>
      <c r="T20">
        <f>VLOOKUP(Q20,$L$2:$N$196,3,FALSE)</f>
        <v>653.5</v>
      </c>
      <c r="U20">
        <f>VLOOKUP(Q20,'lat lon'!$A$2:$E$195,4,FALSE)</f>
        <v>-6.1753999999999998</v>
      </c>
      <c r="V20">
        <f>VLOOKUP(Q20,'lat lon'!$A$2:$E$195,5,FALSE)</f>
        <v>106.8272</v>
      </c>
    </row>
    <row r="21" spans="1:22" ht="14.25" customHeight="1" x14ac:dyDescent="0.25">
      <c r="A21" s="2" t="s">
        <v>24</v>
      </c>
      <c r="B21" s="2" t="s">
        <v>1</v>
      </c>
      <c r="C21" t="s">
        <v>205</v>
      </c>
      <c r="L21" s="3" t="s">
        <v>24</v>
      </c>
      <c r="M21" s="3" t="str">
        <f t="shared" si="2"/>
        <v>Other Asia pacific</v>
      </c>
      <c r="N21">
        <v>0</v>
      </c>
      <c r="Q21" t="str">
        <v>Iran</v>
      </c>
      <c r="R21" t="str">
        <v>Asia</v>
      </c>
      <c r="S21" t="str">
        <v>Country specific</v>
      </c>
      <c r="T21">
        <f>VLOOKUP(Q21,$L$2:$N$196,3,FALSE)</f>
        <v>117.6264</v>
      </c>
      <c r="U21" vm="21">
        <f>VLOOKUP(Q21,'lat lon'!$A$2:$E$195,4,FALSE)</f>
        <v>35.688888888888897</v>
      </c>
      <c r="V21" vm="22">
        <f>VLOOKUP(Q21,'lat lon'!$A$2:$E$195,5,FALSE)</f>
        <v>51.389722222222197</v>
      </c>
    </row>
    <row r="22" spans="1:22" ht="14.25" customHeight="1" x14ac:dyDescent="0.25">
      <c r="A22" s="2" t="s">
        <v>25</v>
      </c>
      <c r="B22" s="2" t="s">
        <v>11</v>
      </c>
      <c r="C22" t="s">
        <v>210</v>
      </c>
      <c r="L22" s="3" t="s">
        <v>25</v>
      </c>
      <c r="M22" s="3" t="str">
        <f t="shared" si="2"/>
        <v>Other latin america</v>
      </c>
      <c r="N22">
        <v>0</v>
      </c>
      <c r="Q22" t="str">
        <v>Ireland</v>
      </c>
      <c r="R22" t="str">
        <v>Europe</v>
      </c>
      <c r="S22" t="str">
        <v>Country specific</v>
      </c>
      <c r="T22">
        <f>VLOOKUP(Q22,$L$2:$N$196,3,FALSE)</f>
        <v>90.634079999999997</v>
      </c>
      <c r="U22" vm="23">
        <f>VLOOKUP(Q22,'lat lon'!$A$2:$E$195,4,FALSE)</f>
        <v>53.349722222222198</v>
      </c>
      <c r="V22" vm="24">
        <f>VLOOKUP(Q22,'lat lon'!$A$2:$E$195,5,FALSE)</f>
        <v>-6.2602777777777803</v>
      </c>
    </row>
    <row r="23" spans="1:22" ht="14.25" customHeight="1" x14ac:dyDescent="0.25">
      <c r="A23" s="2" t="s">
        <v>26</v>
      </c>
      <c r="B23" s="2" t="s">
        <v>3</v>
      </c>
      <c r="C23" t="s">
        <v>203</v>
      </c>
      <c r="L23" s="3" t="s">
        <v>26</v>
      </c>
      <c r="M23" s="3" t="str">
        <f t="shared" si="2"/>
        <v>Other eurasia</v>
      </c>
      <c r="N23">
        <v>0</v>
      </c>
      <c r="Q23" t="str">
        <v>Italy</v>
      </c>
      <c r="R23" t="str">
        <v>Europe</v>
      </c>
      <c r="S23" t="str">
        <v>Country specific</v>
      </c>
      <c r="T23">
        <f>VLOOKUP(Q23,$L$2:$N$196,3,FALSE)</f>
        <v>8.2027305049999999</v>
      </c>
      <c r="U23" vm="25">
        <f>VLOOKUP(Q23,'lat lon'!$A$2:$E$195,4,FALSE)</f>
        <v>41.893055555556003</v>
      </c>
      <c r="V23" vm="26">
        <f>VLOOKUP(Q23,'lat lon'!$A$2:$E$195,5,FALSE)</f>
        <v>12.482777777778001</v>
      </c>
    </row>
    <row r="24" spans="1:22" ht="14.25" customHeight="1" x14ac:dyDescent="0.25">
      <c r="A24" s="2" t="s">
        <v>27</v>
      </c>
      <c r="B24" s="2" t="s">
        <v>5</v>
      </c>
      <c r="C24" t="s">
        <v>208</v>
      </c>
      <c r="L24" s="3" t="s">
        <v>27</v>
      </c>
      <c r="M24" s="3" t="str">
        <f t="shared" si="2"/>
        <v>Sub-saharan africa</v>
      </c>
      <c r="N24">
        <v>0</v>
      </c>
      <c r="Q24" t="str">
        <v>Japan</v>
      </c>
      <c r="R24" t="str">
        <v>Asia</v>
      </c>
      <c r="S24" t="str">
        <v>Country specific</v>
      </c>
      <c r="T24">
        <f>VLOOKUP(Q24,$L$2:$N$196,3,FALSE)</f>
        <v>41.5</v>
      </c>
      <c r="U24">
        <f>VLOOKUP(Q24,'lat lon'!$A$2:$E$195,4,FALSE)</f>
        <v>35.676900000000003</v>
      </c>
      <c r="V24">
        <f>VLOOKUP(Q24,'lat lon'!$A$2:$E$195,5,FALSE)</f>
        <v>139.76390000000001</v>
      </c>
    </row>
    <row r="25" spans="1:22" ht="14.25" customHeight="1" x14ac:dyDescent="0.25">
      <c r="A25" s="2" t="s">
        <v>28</v>
      </c>
      <c r="B25" s="2" t="s">
        <v>11</v>
      </c>
      <c r="C25" t="s">
        <v>206</v>
      </c>
      <c r="L25" s="3" t="s">
        <v>28</v>
      </c>
      <c r="M25" s="3" t="str">
        <f t="shared" si="2"/>
        <v>Country specific</v>
      </c>
      <c r="N25">
        <v>1489</v>
      </c>
      <c r="Q25" t="str">
        <v>Malaysia</v>
      </c>
      <c r="R25" t="str">
        <v>Asia</v>
      </c>
      <c r="S25" t="str">
        <v>Country specific</v>
      </c>
      <c r="T25">
        <f>VLOOKUP(Q25,$L$2:$N$196,3,FALSE)</f>
        <v>149.5729</v>
      </c>
      <c r="U25">
        <f>VLOOKUP(Q25,'lat lon'!$A$2:$E$195,4,FALSE)</f>
        <v>3.1526999999999998</v>
      </c>
      <c r="V25">
        <f>VLOOKUP(Q25,'lat lon'!$A$2:$E$195,5,FALSE)</f>
        <v>101.7022</v>
      </c>
    </row>
    <row r="26" spans="1:22" ht="14.25" customHeight="1" x14ac:dyDescent="0.25">
      <c r="A26" s="2" t="s">
        <v>29</v>
      </c>
      <c r="B26" s="2" t="s">
        <v>1</v>
      </c>
      <c r="C26" t="s">
        <v>205</v>
      </c>
      <c r="L26" s="3" t="s">
        <v>29</v>
      </c>
      <c r="M26" s="3" t="str">
        <f t="shared" si="2"/>
        <v>Other Asia pacific</v>
      </c>
      <c r="N26">
        <v>3</v>
      </c>
      <c r="Q26" t="str">
        <v>Mexico</v>
      </c>
      <c r="R26" t="str">
        <v>N. America</v>
      </c>
      <c r="S26" t="str">
        <v>Country specific</v>
      </c>
      <c r="T26">
        <f>VLOOKUP(Q26,$L$2:$N$196,3,FALSE)</f>
        <v>690.5</v>
      </c>
      <c r="U26">
        <f>VLOOKUP(Q26,'lat lon'!$A$2:$E$195,4,FALSE)</f>
        <v>19.320799999999998</v>
      </c>
      <c r="V26">
        <f>VLOOKUP(Q26,'lat lon'!$A$2:$E$195,5,FALSE)</f>
        <v>-99.151499999999999</v>
      </c>
    </row>
    <row r="27" spans="1:22" ht="14.25" customHeight="1" x14ac:dyDescent="0.25">
      <c r="A27" s="2" t="s">
        <v>30</v>
      </c>
      <c r="B27" s="2" t="s">
        <v>3</v>
      </c>
      <c r="C27" t="s">
        <v>203</v>
      </c>
      <c r="L27" s="3" t="s">
        <v>30</v>
      </c>
      <c r="M27" s="3" t="str">
        <f t="shared" si="2"/>
        <v>Other eurasia</v>
      </c>
      <c r="N27">
        <v>2.5672600000000001</v>
      </c>
      <c r="Q27" t="str">
        <v>Netherlands</v>
      </c>
      <c r="R27" t="str">
        <v>Europe</v>
      </c>
      <c r="S27" t="str">
        <v>Country specific</v>
      </c>
      <c r="T27">
        <f>VLOOKUP(Q27,$L$2:$N$196,3,FALSE)</f>
        <v>3.21</v>
      </c>
      <c r="U27" vm="27">
        <f>VLOOKUP(Q27,'lat lon'!$A$2:$E$195,4,FALSE)</f>
        <v>52.372777777777799</v>
      </c>
      <c r="V27" vm="28">
        <f>VLOOKUP(Q27,'lat lon'!$A$2:$E$195,5,FALSE)</f>
        <v>4.8936111111111096</v>
      </c>
    </row>
    <row r="28" spans="1:22" ht="14.25" customHeight="1" x14ac:dyDescent="0.25">
      <c r="A28" s="2" t="s">
        <v>31</v>
      </c>
      <c r="B28" s="2" t="s">
        <v>5</v>
      </c>
      <c r="C28" t="s">
        <v>208</v>
      </c>
      <c r="L28" s="3" t="s">
        <v>31</v>
      </c>
      <c r="M28" s="3" t="str">
        <f t="shared" si="2"/>
        <v>Sub-saharan africa</v>
      </c>
      <c r="N28">
        <v>0</v>
      </c>
      <c r="Q28" t="str">
        <v>New Zealand</v>
      </c>
      <c r="R28" t="str">
        <v>Australia</v>
      </c>
      <c r="S28" t="str">
        <v>Country specific</v>
      </c>
      <c r="T28">
        <f>VLOOKUP(Q28,$L$2:$N$196,3,FALSE)</f>
        <v>0</v>
      </c>
      <c r="U28" vm="29">
        <f>VLOOKUP(Q28,'lat lon'!$A$2:$E$195,4,FALSE)</f>
        <v>-41.288888888888998</v>
      </c>
      <c r="V28" vm="30">
        <f>VLOOKUP(Q28,'lat lon'!$A$2:$E$195,5,FALSE)</f>
        <v>174.77722222221999</v>
      </c>
    </row>
    <row r="29" spans="1:22" ht="14.25" customHeight="1" x14ac:dyDescent="0.25">
      <c r="A29" s="2" t="s">
        <v>32</v>
      </c>
      <c r="B29" s="2" t="s">
        <v>5</v>
      </c>
      <c r="C29" t="s">
        <v>208</v>
      </c>
      <c r="L29" s="3" t="s">
        <v>32</v>
      </c>
      <c r="M29" s="3" t="str">
        <f t="shared" si="2"/>
        <v>Sub-saharan africa</v>
      </c>
      <c r="N29">
        <v>0</v>
      </c>
      <c r="Q29" t="str">
        <v>Norway</v>
      </c>
      <c r="R29" t="str">
        <v>Europe</v>
      </c>
      <c r="S29" t="str">
        <v>Country specific</v>
      </c>
      <c r="T29">
        <f>VLOOKUP(Q29,$L$2:$N$196,3,FALSE)</f>
        <v>104.40813</v>
      </c>
      <c r="U29">
        <f>VLOOKUP(Q29,'lat lon'!$A$2:$E$195,4,FALSE)</f>
        <v>59.9133</v>
      </c>
      <c r="V29">
        <f>VLOOKUP(Q29,'lat lon'!$A$2:$E$195,5,FALSE)</f>
        <v>10.739000000000001</v>
      </c>
    </row>
    <row r="30" spans="1:22" ht="14.25" customHeight="1" x14ac:dyDescent="0.25">
      <c r="A30" s="2" t="s">
        <v>33</v>
      </c>
      <c r="B30" s="2" t="s">
        <v>5</v>
      </c>
      <c r="C30" t="s">
        <v>208</v>
      </c>
      <c r="L30" s="3" t="s">
        <v>33</v>
      </c>
      <c r="M30" s="3" t="str">
        <f t="shared" si="2"/>
        <v>Sub-saharan africa</v>
      </c>
      <c r="N30">
        <v>0</v>
      </c>
      <c r="Q30" t="str">
        <v>Pakistan</v>
      </c>
      <c r="R30" t="str">
        <v>Asia</v>
      </c>
      <c r="S30" t="str">
        <v>Country specific</v>
      </c>
      <c r="T30">
        <f>VLOOKUP(Q30,$L$2:$N$196,3,FALSE)</f>
        <v>31.701730000000001</v>
      </c>
      <c r="U30" vm="31">
        <f>VLOOKUP(Q30,'lat lon'!$A$2:$E$195,4,FALSE)</f>
        <v>33.698888888889002</v>
      </c>
      <c r="V30" vm="32">
        <f>VLOOKUP(Q30,'lat lon'!$A$2:$E$195,5,FALSE)</f>
        <v>73.036944444444003</v>
      </c>
    </row>
    <row r="31" spans="1:22" ht="14.25" customHeight="1" x14ac:dyDescent="0.25">
      <c r="A31" s="2" t="s">
        <v>34</v>
      </c>
      <c r="B31" s="2" t="s">
        <v>1</v>
      </c>
      <c r="C31" t="s">
        <v>205</v>
      </c>
      <c r="L31" s="3" t="s">
        <v>34</v>
      </c>
      <c r="M31" s="3" t="str">
        <f t="shared" si="2"/>
        <v>Other Asia pacific</v>
      </c>
      <c r="N31">
        <v>0</v>
      </c>
      <c r="Q31" t="str">
        <v>Poland</v>
      </c>
      <c r="R31" t="str">
        <v>Europe</v>
      </c>
      <c r="S31" t="str">
        <v>Country specific</v>
      </c>
      <c r="T31">
        <f>VLOOKUP(Q31,$L$2:$N$196,3,FALSE)</f>
        <v>2.94</v>
      </c>
      <c r="U31" vm="33">
        <f>VLOOKUP(Q31,'lat lon'!$A$2:$E$195,4,FALSE)</f>
        <v>52.23</v>
      </c>
      <c r="V31" vm="34">
        <f>VLOOKUP(Q31,'lat lon'!$A$2:$E$195,5,FALSE)</f>
        <v>21.011111111111099</v>
      </c>
    </row>
    <row r="32" spans="1:22" ht="14.25" customHeight="1" x14ac:dyDescent="0.25">
      <c r="A32" s="2" t="s">
        <v>35</v>
      </c>
      <c r="B32" s="2" t="s">
        <v>5</v>
      </c>
      <c r="C32" t="s">
        <v>208</v>
      </c>
      <c r="L32" s="3" t="s">
        <v>35</v>
      </c>
      <c r="M32" s="3" t="str">
        <f t="shared" si="2"/>
        <v>Sub-saharan africa</v>
      </c>
      <c r="N32">
        <v>0</v>
      </c>
      <c r="Q32" t="str">
        <v>Portugal</v>
      </c>
      <c r="R32" t="str">
        <v>Europe</v>
      </c>
      <c r="S32" t="str">
        <v>Country specific</v>
      </c>
      <c r="T32">
        <f>VLOOKUP(Q32,$L$2:$N$196,3,FALSE)</f>
        <v>0</v>
      </c>
      <c r="U32">
        <f>VLOOKUP(Q32,'lat lon'!$A$2:$E$195,4,FALSE)</f>
        <v>38.707799999999999</v>
      </c>
      <c r="V32">
        <f>VLOOKUP(Q32,'lat lon'!$A$2:$E$195,5,FALSE)</f>
        <v>-9.1365999999999996</v>
      </c>
    </row>
    <row r="33" spans="1:22" ht="14.25" customHeight="1" x14ac:dyDescent="0.25">
      <c r="A33" s="2" t="s">
        <v>36</v>
      </c>
      <c r="B33" s="2" t="s">
        <v>9</v>
      </c>
      <c r="C33" t="s">
        <v>206</v>
      </c>
      <c r="L33" s="3" t="s">
        <v>36</v>
      </c>
      <c r="M33" s="3" t="str">
        <f t="shared" si="2"/>
        <v>Country specific</v>
      </c>
      <c r="N33">
        <v>1595</v>
      </c>
      <c r="Q33" t="str">
        <v>Russia</v>
      </c>
      <c r="R33" t="str">
        <v>Europe</v>
      </c>
      <c r="S33" t="str">
        <v>Country specific</v>
      </c>
      <c r="T33">
        <f>VLOOKUP(Q33,$L$2:$N$196,3,FALSE)</f>
        <v>6187.5</v>
      </c>
      <c r="U33">
        <f>VLOOKUP(Q33,'lat lon'!$A$2:$E$195,4,FALSE)</f>
        <v>55.625599999999999</v>
      </c>
      <c r="V33">
        <f>VLOOKUP(Q33,'lat lon'!$A$2:$E$195,5,FALSE)</f>
        <v>37.606400000000001</v>
      </c>
    </row>
    <row r="34" spans="1:22" ht="14.25" customHeight="1" x14ac:dyDescent="0.25">
      <c r="A34" s="2" t="s">
        <v>37</v>
      </c>
      <c r="B34" s="2" t="s">
        <v>5</v>
      </c>
      <c r="C34" t="s">
        <v>208</v>
      </c>
      <c r="L34" s="3" t="s">
        <v>37</v>
      </c>
      <c r="M34" s="3" t="str">
        <f t="shared" si="2"/>
        <v>Sub-saharan africa</v>
      </c>
      <c r="N34">
        <v>0</v>
      </c>
      <c r="Q34" t="str">
        <v>Saudi Arabia</v>
      </c>
      <c r="R34" t="str">
        <v>Asia</v>
      </c>
      <c r="S34" t="str">
        <v>Country specific</v>
      </c>
      <c r="T34">
        <f>VLOOKUP(Q34,$L$2:$N$196,3,FALSE)</f>
        <v>446</v>
      </c>
      <c r="U34" vm="35">
        <f>VLOOKUP(Q34,'lat lon'!$A$2:$E$195,4,FALSE)</f>
        <v>24.65</v>
      </c>
      <c r="V34" vm="36">
        <f>VLOOKUP(Q34,'lat lon'!$A$2:$E$195,5,FALSE)</f>
        <v>46.71</v>
      </c>
    </row>
    <row r="35" spans="1:22" ht="14.25" customHeight="1" x14ac:dyDescent="0.25">
      <c r="A35" s="2" t="s">
        <v>38</v>
      </c>
      <c r="B35" s="2" t="s">
        <v>5</v>
      </c>
      <c r="C35" t="s">
        <v>208</v>
      </c>
      <c r="L35" s="3" t="s">
        <v>38</v>
      </c>
      <c r="M35" s="3" t="str">
        <f t="shared" si="2"/>
        <v>Sub-saharan africa</v>
      </c>
      <c r="N35">
        <v>0</v>
      </c>
      <c r="Q35" t="str">
        <v>South Africa</v>
      </c>
      <c r="R35" t="str">
        <v>Africa</v>
      </c>
      <c r="S35" t="str">
        <v>Country specific</v>
      </c>
      <c r="T35">
        <f>VLOOKUP(Q35,$L$2:$N$196,3,FALSE)</f>
        <v>342.92928999999998</v>
      </c>
      <c r="U35" vm="37">
        <f>VLOOKUP(Q35,'lat lon'!$A$2:$E$195,4,FALSE)</f>
        <v>-25.746388888889001</v>
      </c>
      <c r="V35" vm="38">
        <f>VLOOKUP(Q35,'lat lon'!$A$2:$E$195,5,FALSE)</f>
        <v>28.188055555556002</v>
      </c>
    </row>
    <row r="36" spans="1:22" ht="14.25" customHeight="1" x14ac:dyDescent="0.25">
      <c r="A36" s="2" t="s">
        <v>39</v>
      </c>
      <c r="B36" s="2" t="s">
        <v>11</v>
      </c>
      <c r="C36" t="s">
        <v>210</v>
      </c>
      <c r="L36" s="3" t="s">
        <v>39</v>
      </c>
      <c r="M36" s="3" t="str">
        <f t="shared" si="2"/>
        <v>Other latin america</v>
      </c>
      <c r="N36">
        <v>0</v>
      </c>
      <c r="Q36" t="str">
        <v>South Korea</v>
      </c>
      <c r="R36" t="str">
        <v>Asia</v>
      </c>
      <c r="S36" t="str">
        <v>Country specific</v>
      </c>
      <c r="T36">
        <f>VLOOKUP(Q36,$L$2:$N$196,3,FALSE)</f>
        <v>16.5</v>
      </c>
      <c r="U36">
        <f>VLOOKUP(Q36,'lat lon'!$A$2:$E$195,4,FALSE)</f>
        <v>37.566699999999997</v>
      </c>
      <c r="V36">
        <f>VLOOKUP(Q36,'lat lon'!$A$2:$E$195,5,FALSE)</f>
        <v>126.9783</v>
      </c>
    </row>
    <row r="37" spans="1:22" ht="14.25" customHeight="1" x14ac:dyDescent="0.25">
      <c r="A37" s="2" t="s">
        <v>40</v>
      </c>
      <c r="B37" s="2" t="s">
        <v>1</v>
      </c>
      <c r="C37" t="s">
        <v>206</v>
      </c>
      <c r="L37" s="3" t="s">
        <v>40</v>
      </c>
      <c r="M37" s="3" t="str">
        <f t="shared" si="2"/>
        <v>Country specific</v>
      </c>
      <c r="N37">
        <v>2019.5</v>
      </c>
      <c r="Q37" t="str">
        <v>Spain</v>
      </c>
      <c r="R37" t="str">
        <v>Europe</v>
      </c>
      <c r="S37" t="str">
        <v>Country specific</v>
      </c>
      <c r="T37">
        <f>VLOOKUP(Q37,$L$2:$N$196,3,FALSE)</f>
        <v>20.770600000000002</v>
      </c>
      <c r="U37" vm="39">
        <f>VLOOKUP(Q37,'lat lon'!$A$2:$E$195,4,FALSE)</f>
        <v>40.416944444444397</v>
      </c>
      <c r="V37" vm="40">
        <f>VLOOKUP(Q37,'lat lon'!$A$2:$E$195,5,FALSE)</f>
        <v>-3.70333333333333</v>
      </c>
    </row>
    <row r="38" spans="1:22" ht="14.25" customHeight="1" x14ac:dyDescent="0.25">
      <c r="A38" s="2" t="s">
        <v>41</v>
      </c>
      <c r="B38" s="2" t="s">
        <v>11</v>
      </c>
      <c r="C38" t="s">
        <v>210</v>
      </c>
      <c r="L38" s="3" t="s">
        <v>41</v>
      </c>
      <c r="M38" s="3" t="str">
        <f t="shared" si="2"/>
        <v>Other latin america</v>
      </c>
      <c r="N38">
        <v>0.98799999999999999</v>
      </c>
      <c r="Q38" t="str">
        <v>Sweden</v>
      </c>
      <c r="R38" t="str">
        <v>Europe</v>
      </c>
      <c r="S38" t="str">
        <v>Country specific</v>
      </c>
      <c r="T38">
        <f>VLOOKUP(Q38,$L$2:$N$196,3,FALSE)</f>
        <v>14.9</v>
      </c>
      <c r="U38" vm="41">
        <f>VLOOKUP(Q38,'lat lon'!$A$2:$E$195,4,FALSE)</f>
        <v>59.329444444444</v>
      </c>
      <c r="V38" vm="42">
        <f>VLOOKUP(Q38,'lat lon'!$A$2:$E$195,5,FALSE)</f>
        <v>18.068611111111</v>
      </c>
    </row>
    <row r="39" spans="1:22" ht="14.25" customHeight="1" x14ac:dyDescent="0.25">
      <c r="A39" s="2" t="s">
        <v>42</v>
      </c>
      <c r="B39" s="2" t="s">
        <v>5</v>
      </c>
      <c r="C39" t="s">
        <v>208</v>
      </c>
      <c r="L39" s="3" t="s">
        <v>42</v>
      </c>
      <c r="M39" s="3" t="str">
        <f t="shared" si="2"/>
        <v>Sub-saharan africa</v>
      </c>
      <c r="N39">
        <v>0</v>
      </c>
      <c r="Q39" t="str">
        <v>Switzerland</v>
      </c>
      <c r="R39" t="str">
        <v>Europe</v>
      </c>
      <c r="S39" t="str">
        <v>Country specific</v>
      </c>
      <c r="T39">
        <f>VLOOKUP(Q39,$L$2:$N$196,3,FALSE)</f>
        <v>0</v>
      </c>
      <c r="U39" vm="43">
        <f>VLOOKUP(Q39,'lat lon'!$A$2:$E$195,4,FALSE)</f>
        <v>46.947980000000001</v>
      </c>
      <c r="V39" vm="44">
        <f>VLOOKUP(Q39,'lat lon'!$A$2:$E$195,5,FALSE)</f>
        <v>7.4474299999999998</v>
      </c>
    </row>
    <row r="40" spans="1:22" ht="14.25" customHeight="1" x14ac:dyDescent="0.25">
      <c r="A40" s="2" t="s">
        <v>43</v>
      </c>
      <c r="B40" s="2" t="s">
        <v>5</v>
      </c>
      <c r="C40" t="s">
        <v>208</v>
      </c>
      <c r="L40" s="3" t="s">
        <v>43</v>
      </c>
      <c r="M40" s="3" t="str">
        <f t="shared" si="2"/>
        <v>Sub-saharan africa</v>
      </c>
      <c r="N40">
        <v>0</v>
      </c>
      <c r="Q40" t="str">
        <v>United Kingdom</v>
      </c>
      <c r="R40" t="str">
        <v>Europe</v>
      </c>
      <c r="S40" t="str">
        <v>Country specific</v>
      </c>
      <c r="T40">
        <f>VLOOKUP(Q40,$L$2:$N$196,3,FALSE)</f>
        <v>81.344399999999993</v>
      </c>
      <c r="U40" vm="45">
        <f>VLOOKUP(Q40,'lat lon'!$A$2:$E$195,4,FALSE)</f>
        <v>51.507222222221998</v>
      </c>
      <c r="V40" vm="46">
        <f>VLOOKUP(Q40,'lat lon'!$A$2:$E$195,5,FALSE)</f>
        <v>-0.1275</v>
      </c>
    </row>
    <row r="41" spans="1:22" ht="14.25" customHeight="1" x14ac:dyDescent="0.25">
      <c r="A41" s="2" t="s">
        <v>44</v>
      </c>
      <c r="B41" s="2" t="s">
        <v>9</v>
      </c>
      <c r="C41" t="s">
        <v>210</v>
      </c>
      <c r="L41" s="3" t="s">
        <v>44</v>
      </c>
      <c r="M41" s="3" t="str">
        <f t="shared" si="2"/>
        <v>Other latin america</v>
      </c>
      <c r="N41">
        <v>0</v>
      </c>
      <c r="Q41" t="str">
        <v>United States</v>
      </c>
      <c r="R41" t="str">
        <v>N. America</v>
      </c>
      <c r="S41" t="str">
        <v>Country specific</v>
      </c>
      <c r="T41">
        <f>VLOOKUP(Q41,$L$2:$N$196,3,FALSE)</f>
        <v>3050</v>
      </c>
      <c r="U41">
        <f>VLOOKUP(Q41,'lat lon'!$A$2:$E$195,4,FALSE)</f>
        <v>38.895000000000003</v>
      </c>
      <c r="V41">
        <f>VLOOKUP(Q41,'lat lon'!$A$2:$E$195,5,FALSE)</f>
        <v>-77.036500000000004</v>
      </c>
    </row>
    <row r="42" spans="1:22" ht="14.25" customHeight="1" x14ac:dyDescent="0.25">
      <c r="A42" s="2" t="s">
        <v>45</v>
      </c>
      <c r="B42" s="2" t="s">
        <v>5</v>
      </c>
      <c r="C42" t="s">
        <v>208</v>
      </c>
      <c r="L42" s="3" t="s">
        <v>45</v>
      </c>
      <c r="M42" s="3" t="str">
        <f t="shared" si="2"/>
        <v>Sub-saharan africa</v>
      </c>
      <c r="N42">
        <v>0</v>
      </c>
    </row>
    <row r="43" spans="1:22" ht="14.25" customHeight="1" x14ac:dyDescent="0.25">
      <c r="A43" s="2" t="s">
        <v>46</v>
      </c>
      <c r="B43" s="2" t="s">
        <v>3</v>
      </c>
      <c r="C43" t="s">
        <v>203</v>
      </c>
      <c r="L43" s="3" t="s">
        <v>46</v>
      </c>
      <c r="M43" s="3" t="str">
        <f t="shared" si="2"/>
        <v>Other eurasia</v>
      </c>
      <c r="N43">
        <v>4.8968499999999997</v>
      </c>
    </row>
    <row r="44" spans="1:22" ht="14.25" customHeight="1" x14ac:dyDescent="0.25">
      <c r="A44" s="2" t="s">
        <v>47</v>
      </c>
      <c r="B44" s="2" t="s">
        <v>9</v>
      </c>
      <c r="C44" t="s">
        <v>210</v>
      </c>
      <c r="L44" s="3" t="s">
        <v>47</v>
      </c>
      <c r="M44" s="3" t="str">
        <f t="shared" si="2"/>
        <v>Other latin america</v>
      </c>
      <c r="N44">
        <v>0</v>
      </c>
    </row>
    <row r="45" spans="1:22" ht="14.25" customHeight="1" x14ac:dyDescent="0.25">
      <c r="A45" s="2" t="s">
        <v>48</v>
      </c>
      <c r="B45" s="2" t="s">
        <v>1</v>
      </c>
      <c r="C45" t="s">
        <v>203</v>
      </c>
      <c r="L45" s="3" t="s">
        <v>48</v>
      </c>
      <c r="M45" s="3" t="str">
        <f t="shared" si="2"/>
        <v>Other eurasia</v>
      </c>
      <c r="N45">
        <v>0</v>
      </c>
    </row>
    <row r="46" spans="1:22" ht="14.25" customHeight="1" x14ac:dyDescent="0.25">
      <c r="A46" s="2" t="s">
        <v>49</v>
      </c>
      <c r="B46" s="2" t="s">
        <v>3</v>
      </c>
      <c r="C46" t="s">
        <v>203</v>
      </c>
      <c r="L46" s="3" t="s">
        <v>49</v>
      </c>
      <c r="M46" s="3" t="str">
        <f t="shared" si="2"/>
        <v>Other eurasia</v>
      </c>
      <c r="N46">
        <v>0.49179493800000001</v>
      </c>
    </row>
    <row r="47" spans="1:22" ht="14.25" customHeight="1" x14ac:dyDescent="0.25">
      <c r="A47" s="2" t="s">
        <v>50</v>
      </c>
      <c r="B47" s="2" t="s">
        <v>3</v>
      </c>
      <c r="C47" t="s">
        <v>206</v>
      </c>
      <c r="L47" s="3" t="s">
        <v>50</v>
      </c>
      <c r="M47" s="3" t="str">
        <f t="shared" si="2"/>
        <v>Country specific</v>
      </c>
      <c r="N47">
        <v>16.027940000000001</v>
      </c>
    </row>
    <row r="48" spans="1:22" ht="14.25" customHeight="1" x14ac:dyDescent="0.25">
      <c r="A48" s="2" t="s">
        <v>51</v>
      </c>
      <c r="B48" s="2" t="s">
        <v>5</v>
      </c>
      <c r="C48" t="s">
        <v>208</v>
      </c>
      <c r="L48" s="3" t="s">
        <v>51</v>
      </c>
      <c r="M48" s="3" t="str">
        <f t="shared" si="2"/>
        <v>Sub-saharan africa</v>
      </c>
      <c r="N48">
        <v>0</v>
      </c>
    </row>
    <row r="49" spans="1:14" ht="14.25" customHeight="1" x14ac:dyDescent="0.25">
      <c r="A49" s="2" t="s">
        <v>52</v>
      </c>
      <c r="B49" s="2" t="s">
        <v>9</v>
      </c>
      <c r="C49" t="s">
        <v>208</v>
      </c>
      <c r="L49" s="3" t="s">
        <v>52</v>
      </c>
      <c r="M49" s="3" t="str">
        <f t="shared" si="2"/>
        <v>Sub-saharan africa</v>
      </c>
      <c r="N49">
        <v>0</v>
      </c>
    </row>
    <row r="50" spans="1:14" ht="14.25" customHeight="1" x14ac:dyDescent="0.25">
      <c r="A50" s="2" t="s">
        <v>53</v>
      </c>
      <c r="B50" s="2" t="s">
        <v>9</v>
      </c>
      <c r="C50" t="s">
        <v>208</v>
      </c>
      <c r="L50" s="3" t="s">
        <v>53</v>
      </c>
      <c r="M50" s="3" t="str">
        <f t="shared" si="2"/>
        <v>Sub-saharan africa</v>
      </c>
      <c r="N50">
        <v>0</v>
      </c>
    </row>
    <row r="51" spans="1:14" ht="14.25" customHeight="1" x14ac:dyDescent="0.25">
      <c r="A51" s="2" t="s">
        <v>54</v>
      </c>
      <c r="B51" s="2" t="s">
        <v>5</v>
      </c>
      <c r="C51" t="s">
        <v>208</v>
      </c>
      <c r="L51" s="3" t="s">
        <v>54</v>
      </c>
      <c r="M51" s="3" t="str">
        <f t="shared" si="2"/>
        <v>Sub-saharan africa</v>
      </c>
      <c r="N51">
        <v>0</v>
      </c>
    </row>
    <row r="52" spans="1:14" ht="14.25" customHeight="1" x14ac:dyDescent="0.25">
      <c r="A52" s="2" t="s">
        <v>55</v>
      </c>
      <c r="B52" s="2" t="s">
        <v>11</v>
      </c>
      <c r="C52" t="s">
        <v>210</v>
      </c>
      <c r="L52" s="3" t="s">
        <v>55</v>
      </c>
      <c r="M52" s="3" t="str">
        <f t="shared" si="2"/>
        <v>Other latin america</v>
      </c>
      <c r="N52">
        <v>0</v>
      </c>
    </row>
    <row r="53" spans="1:14" ht="14.25" customHeight="1" x14ac:dyDescent="0.25">
      <c r="A53" s="2" t="s">
        <v>56</v>
      </c>
      <c r="B53" s="2" t="s">
        <v>5</v>
      </c>
      <c r="C53" t="s">
        <v>206</v>
      </c>
      <c r="L53" s="3" t="s">
        <v>56</v>
      </c>
      <c r="M53" s="3" t="str">
        <f t="shared" si="2"/>
        <v>Country specific</v>
      </c>
      <c r="N53">
        <v>667.17</v>
      </c>
    </row>
    <row r="54" spans="1:14" ht="14.25" customHeight="1" x14ac:dyDescent="0.25">
      <c r="A54" s="2" t="s">
        <v>57</v>
      </c>
      <c r="B54" s="2" t="s">
        <v>9</v>
      </c>
      <c r="C54" t="s">
        <v>210</v>
      </c>
      <c r="L54" s="3" t="s">
        <v>57</v>
      </c>
      <c r="M54" s="3" t="str">
        <f t="shared" si="2"/>
        <v>Other latin america</v>
      </c>
      <c r="N54">
        <v>0</v>
      </c>
    </row>
    <row r="55" spans="1:14" ht="14.25" customHeight="1" x14ac:dyDescent="0.25">
      <c r="A55" s="2" t="s">
        <v>58</v>
      </c>
      <c r="B55" s="2" t="s">
        <v>5</v>
      </c>
      <c r="C55" t="s">
        <v>208</v>
      </c>
      <c r="L55" s="3" t="s">
        <v>58</v>
      </c>
      <c r="M55" s="3" t="str">
        <f t="shared" si="2"/>
        <v>Sub-saharan africa</v>
      </c>
      <c r="N55">
        <v>0</v>
      </c>
    </row>
    <row r="56" spans="1:14" ht="14.25" customHeight="1" x14ac:dyDescent="0.25">
      <c r="A56" s="2" t="s">
        <v>59</v>
      </c>
      <c r="B56" s="2" t="s">
        <v>5</v>
      </c>
      <c r="C56" t="s">
        <v>208</v>
      </c>
      <c r="L56" s="3" t="s">
        <v>59</v>
      </c>
      <c r="M56" s="3" t="str">
        <f t="shared" si="2"/>
        <v>Sub-saharan africa</v>
      </c>
      <c r="N56">
        <v>0</v>
      </c>
    </row>
    <row r="57" spans="1:14" ht="14.25" customHeight="1" x14ac:dyDescent="0.25">
      <c r="A57" s="2" t="s">
        <v>60</v>
      </c>
      <c r="B57" s="2" t="s">
        <v>3</v>
      </c>
      <c r="C57" t="s">
        <v>203</v>
      </c>
      <c r="L57" s="3" t="s">
        <v>60</v>
      </c>
      <c r="M57" s="3" t="str">
        <f t="shared" si="2"/>
        <v>Other eurasia</v>
      </c>
      <c r="N57">
        <v>1.47</v>
      </c>
    </row>
    <row r="58" spans="1:14" ht="14.25" customHeight="1" x14ac:dyDescent="0.25">
      <c r="A58" s="2" t="s">
        <v>61</v>
      </c>
      <c r="B58" s="2" t="s">
        <v>5</v>
      </c>
      <c r="C58" t="s">
        <v>208</v>
      </c>
      <c r="L58" s="3" t="s">
        <v>61</v>
      </c>
      <c r="M58" s="3" t="str">
        <f t="shared" si="2"/>
        <v>Sub-saharan africa</v>
      </c>
      <c r="N58">
        <v>0</v>
      </c>
    </row>
    <row r="59" spans="1:14" ht="14.25" customHeight="1" x14ac:dyDescent="0.25">
      <c r="A59" s="2" t="s">
        <v>62</v>
      </c>
      <c r="B59" s="2" t="s">
        <v>5</v>
      </c>
      <c r="C59" t="s">
        <v>208</v>
      </c>
      <c r="L59" s="3" t="s">
        <v>62</v>
      </c>
      <c r="M59" s="3" t="str">
        <f t="shared" si="2"/>
        <v>Sub-saharan africa</v>
      </c>
      <c r="N59">
        <v>0</v>
      </c>
    </row>
    <row r="60" spans="1:14" ht="14.25" customHeight="1" x14ac:dyDescent="0.25">
      <c r="A60" s="2" t="s">
        <v>63</v>
      </c>
      <c r="B60" s="2" t="s">
        <v>13</v>
      </c>
      <c r="C60" t="s">
        <v>205</v>
      </c>
      <c r="L60" s="3" t="s">
        <v>63</v>
      </c>
      <c r="M60" s="3" t="str">
        <f t="shared" si="2"/>
        <v>Other Asia pacific</v>
      </c>
      <c r="N60">
        <v>0</v>
      </c>
    </row>
    <row r="61" spans="1:14" ht="14.25" customHeight="1" x14ac:dyDescent="0.25">
      <c r="A61" s="2" t="s">
        <v>64</v>
      </c>
      <c r="B61" s="2" t="s">
        <v>3</v>
      </c>
      <c r="C61" t="s">
        <v>206</v>
      </c>
      <c r="L61" s="3" t="s">
        <v>64</v>
      </c>
      <c r="M61" s="3" t="str">
        <f t="shared" si="2"/>
        <v>Country specific</v>
      </c>
      <c r="N61">
        <v>2</v>
      </c>
    </row>
    <row r="62" spans="1:14" ht="14.25" customHeight="1" x14ac:dyDescent="0.25">
      <c r="A62" s="2" t="s">
        <v>65</v>
      </c>
      <c r="B62" s="2" t="s">
        <v>3</v>
      </c>
      <c r="C62" t="s">
        <v>206</v>
      </c>
      <c r="L62" s="3" t="s">
        <v>65</v>
      </c>
      <c r="M62" s="3" t="str">
        <f t="shared" si="2"/>
        <v>Country specific</v>
      </c>
      <c r="N62">
        <v>7.2078509999999998</v>
      </c>
    </row>
    <row r="63" spans="1:14" ht="14.25" customHeight="1" x14ac:dyDescent="0.25">
      <c r="A63" s="2" t="s">
        <v>66</v>
      </c>
      <c r="B63" s="2" t="s">
        <v>5</v>
      </c>
      <c r="C63" t="s">
        <v>208</v>
      </c>
      <c r="L63" s="3" t="s">
        <v>66</v>
      </c>
      <c r="M63" s="3" t="str">
        <f t="shared" si="2"/>
        <v>Sub-saharan africa</v>
      </c>
      <c r="N63">
        <v>0</v>
      </c>
    </row>
    <row r="64" spans="1:14" ht="14.25" customHeight="1" x14ac:dyDescent="0.25">
      <c r="A64" s="2" t="s">
        <v>67</v>
      </c>
      <c r="B64" s="2" t="s">
        <v>5</v>
      </c>
      <c r="C64" t="s">
        <v>208</v>
      </c>
      <c r="L64" s="3" t="s">
        <v>67</v>
      </c>
      <c r="M64" s="3" t="str">
        <f t="shared" si="2"/>
        <v>Sub-saharan africa</v>
      </c>
      <c r="N64">
        <v>0</v>
      </c>
    </row>
    <row r="65" spans="1:14" ht="14.25" customHeight="1" x14ac:dyDescent="0.25">
      <c r="A65" s="2" t="s">
        <v>68</v>
      </c>
      <c r="B65" s="2" t="s">
        <v>1</v>
      </c>
      <c r="C65" t="s">
        <v>203</v>
      </c>
      <c r="L65" s="3" t="s">
        <v>68</v>
      </c>
      <c r="M65" s="3" t="str">
        <f t="shared" si="2"/>
        <v>Other eurasia</v>
      </c>
      <c r="N65">
        <v>0</v>
      </c>
    </row>
    <row r="66" spans="1:14" ht="14.25" customHeight="1" x14ac:dyDescent="0.25">
      <c r="A66" s="2" t="s">
        <v>69</v>
      </c>
      <c r="B66" s="2" t="s">
        <v>3</v>
      </c>
      <c r="C66" t="s">
        <v>206</v>
      </c>
      <c r="L66" s="3" t="s">
        <v>69</v>
      </c>
      <c r="M66" s="3" t="str">
        <f t="shared" si="2"/>
        <v>Country specific</v>
      </c>
      <c r="N66">
        <v>51.207599999999999</v>
      </c>
    </row>
    <row r="67" spans="1:14" ht="14.25" customHeight="1" x14ac:dyDescent="0.25">
      <c r="A67" s="2" t="s">
        <v>70</v>
      </c>
      <c r="B67" s="2" t="s">
        <v>5</v>
      </c>
      <c r="C67" t="s">
        <v>208</v>
      </c>
      <c r="L67" s="3" t="s">
        <v>70</v>
      </c>
      <c r="M67" s="3" t="str">
        <f t="shared" ref="M67:M130" si="3">VLOOKUP(L67,$A$2:$C$195,3,FALSE)</f>
        <v>Sub-saharan africa</v>
      </c>
      <c r="N67">
        <v>0</v>
      </c>
    </row>
    <row r="68" spans="1:14" ht="14.25" customHeight="1" x14ac:dyDescent="0.25">
      <c r="A68" s="2" t="s">
        <v>71</v>
      </c>
      <c r="B68" s="2" t="s">
        <v>3</v>
      </c>
      <c r="C68" t="s">
        <v>203</v>
      </c>
      <c r="L68" s="3" t="s">
        <v>71</v>
      </c>
      <c r="M68" s="3" t="str">
        <f t="shared" si="3"/>
        <v>Other eurasia</v>
      </c>
      <c r="N68">
        <v>3.984</v>
      </c>
    </row>
    <row r="69" spans="1:14" ht="14.25" customHeight="1" x14ac:dyDescent="0.25">
      <c r="A69" s="2" t="s">
        <v>72</v>
      </c>
      <c r="B69" s="2" t="s">
        <v>9</v>
      </c>
      <c r="C69" t="s">
        <v>210</v>
      </c>
      <c r="L69" s="3" t="s">
        <v>72</v>
      </c>
      <c r="M69" s="3" t="str">
        <f t="shared" si="3"/>
        <v>Other latin america</v>
      </c>
      <c r="N69">
        <v>0</v>
      </c>
    </row>
    <row r="70" spans="1:14" ht="14.25" customHeight="1" x14ac:dyDescent="0.25">
      <c r="A70" s="2" t="s">
        <v>73</v>
      </c>
      <c r="B70" s="2" t="s">
        <v>9</v>
      </c>
      <c r="C70" t="s">
        <v>210</v>
      </c>
      <c r="L70" s="3" t="s">
        <v>73</v>
      </c>
      <c r="M70" s="3" t="str">
        <f t="shared" si="3"/>
        <v>Other latin america</v>
      </c>
      <c r="N70">
        <v>0</v>
      </c>
    </row>
    <row r="71" spans="1:14" ht="14.25" customHeight="1" x14ac:dyDescent="0.25">
      <c r="A71" s="2" t="s">
        <v>74</v>
      </c>
      <c r="B71" s="2" t="s">
        <v>5</v>
      </c>
      <c r="C71" t="s">
        <v>208</v>
      </c>
      <c r="L71" s="3" t="s">
        <v>74</v>
      </c>
      <c r="M71" s="3" t="str">
        <f t="shared" si="3"/>
        <v>Sub-saharan africa</v>
      </c>
      <c r="N71">
        <v>0</v>
      </c>
    </row>
    <row r="72" spans="1:14" ht="14.25" customHeight="1" x14ac:dyDescent="0.25">
      <c r="A72" s="2" t="s">
        <v>75</v>
      </c>
      <c r="B72" s="2" t="s">
        <v>5</v>
      </c>
      <c r="C72" t="s">
        <v>208</v>
      </c>
      <c r="L72" s="3" t="s">
        <v>75</v>
      </c>
      <c r="M72" s="3" t="str">
        <f t="shared" si="3"/>
        <v>Sub-saharan africa</v>
      </c>
      <c r="N72">
        <v>0</v>
      </c>
    </row>
    <row r="73" spans="1:14" ht="14.25" customHeight="1" x14ac:dyDescent="0.25">
      <c r="A73" s="2" t="s">
        <v>76</v>
      </c>
      <c r="B73" s="2" t="s">
        <v>11</v>
      </c>
      <c r="C73" t="s">
        <v>210</v>
      </c>
      <c r="L73" s="3" t="s">
        <v>76</v>
      </c>
      <c r="M73" s="3" t="str">
        <f t="shared" si="3"/>
        <v>Other latin america</v>
      </c>
      <c r="N73">
        <v>0</v>
      </c>
    </row>
    <row r="74" spans="1:14" ht="14.25" customHeight="1" x14ac:dyDescent="0.25">
      <c r="A74" s="2" t="s">
        <v>77</v>
      </c>
      <c r="B74" s="2" t="s">
        <v>9</v>
      </c>
      <c r="C74" t="s">
        <v>210</v>
      </c>
      <c r="L74" s="3" t="s">
        <v>77</v>
      </c>
      <c r="M74" s="3" t="str">
        <f t="shared" si="3"/>
        <v>Other latin america</v>
      </c>
      <c r="N74">
        <v>0</v>
      </c>
    </row>
    <row r="75" spans="1:14" ht="14.25" customHeight="1" x14ac:dyDescent="0.25">
      <c r="A75" s="2" t="s">
        <v>79</v>
      </c>
      <c r="B75" s="2" t="s">
        <v>9</v>
      </c>
      <c r="C75" t="s">
        <v>210</v>
      </c>
      <c r="L75" s="3" t="s">
        <v>78</v>
      </c>
      <c r="M75" s="3" t="e">
        <f t="shared" si="3"/>
        <v>#N/A</v>
      </c>
      <c r="N75">
        <v>0</v>
      </c>
    </row>
    <row r="76" spans="1:14" ht="14.25" customHeight="1" x14ac:dyDescent="0.25">
      <c r="A76" s="2" t="s">
        <v>80</v>
      </c>
      <c r="B76" s="2" t="s">
        <v>3</v>
      </c>
      <c r="C76" t="s">
        <v>203</v>
      </c>
      <c r="L76" s="3" t="s">
        <v>79</v>
      </c>
      <c r="M76" s="3" t="str">
        <f t="shared" si="3"/>
        <v>Other latin america</v>
      </c>
      <c r="N76">
        <v>0</v>
      </c>
    </row>
    <row r="77" spans="1:14" ht="14.25" customHeight="1" x14ac:dyDescent="0.25">
      <c r="A77" s="2" t="s">
        <v>81</v>
      </c>
      <c r="B77" s="2" t="s">
        <v>3</v>
      </c>
      <c r="C77" t="s">
        <v>206</v>
      </c>
      <c r="L77" s="3" t="s">
        <v>80</v>
      </c>
      <c r="M77" s="3" t="str">
        <f t="shared" si="3"/>
        <v>Other eurasia</v>
      </c>
      <c r="N77">
        <v>10.827999999999999</v>
      </c>
    </row>
    <row r="78" spans="1:14" ht="14.25" customHeight="1" x14ac:dyDescent="0.25">
      <c r="A78" s="2" t="s">
        <v>82</v>
      </c>
      <c r="B78" s="2" t="s">
        <v>1</v>
      </c>
      <c r="C78" t="s">
        <v>206</v>
      </c>
      <c r="L78" s="3" t="s">
        <v>81</v>
      </c>
      <c r="M78" s="3" t="str">
        <f t="shared" si="3"/>
        <v>Country specific</v>
      </c>
      <c r="N78">
        <v>0</v>
      </c>
    </row>
    <row r="79" spans="1:14" ht="14.25" customHeight="1" x14ac:dyDescent="0.25">
      <c r="A79" s="2" t="s">
        <v>83</v>
      </c>
      <c r="B79" s="2" t="s">
        <v>1</v>
      </c>
      <c r="C79" t="s">
        <v>206</v>
      </c>
      <c r="L79" s="3" t="s">
        <v>82</v>
      </c>
      <c r="M79" s="3" t="str">
        <f t="shared" si="3"/>
        <v>Country specific</v>
      </c>
      <c r="N79">
        <v>497</v>
      </c>
    </row>
    <row r="80" spans="1:14" ht="14.25" customHeight="1" x14ac:dyDescent="0.25">
      <c r="A80" s="2" t="s">
        <v>84</v>
      </c>
      <c r="B80" s="2" t="s">
        <v>1</v>
      </c>
      <c r="C80" t="s">
        <v>206</v>
      </c>
      <c r="L80" s="3" t="s">
        <v>83</v>
      </c>
      <c r="M80" s="3" t="str">
        <f t="shared" si="3"/>
        <v>Country specific</v>
      </c>
      <c r="N80">
        <v>653.5</v>
      </c>
    </row>
    <row r="81" spans="1:14" ht="14.25" customHeight="1" x14ac:dyDescent="0.25">
      <c r="A81" s="2" t="s">
        <v>85</v>
      </c>
      <c r="B81" s="2" t="s">
        <v>1</v>
      </c>
      <c r="C81" t="s">
        <v>204</v>
      </c>
      <c r="L81" s="3" t="s">
        <v>84</v>
      </c>
      <c r="M81" s="3" t="str">
        <f t="shared" si="3"/>
        <v>Country specific</v>
      </c>
      <c r="N81">
        <v>117.6264</v>
      </c>
    </row>
    <row r="82" spans="1:14" ht="14.25" customHeight="1" x14ac:dyDescent="0.25">
      <c r="A82" s="2" t="s">
        <v>86</v>
      </c>
      <c r="B82" s="2" t="s">
        <v>3</v>
      </c>
      <c r="C82" t="s">
        <v>206</v>
      </c>
      <c r="L82" s="3" t="s">
        <v>85</v>
      </c>
      <c r="M82" s="3" t="str">
        <f t="shared" si="3"/>
        <v>Middle east</v>
      </c>
      <c r="N82">
        <v>26</v>
      </c>
    </row>
    <row r="83" spans="1:14" ht="14.25" customHeight="1" x14ac:dyDescent="0.25">
      <c r="A83" s="2" t="s">
        <v>87</v>
      </c>
      <c r="B83" s="2" t="s">
        <v>1</v>
      </c>
      <c r="C83" t="s">
        <v>204</v>
      </c>
      <c r="L83" s="3" t="s">
        <v>86</v>
      </c>
      <c r="M83" s="3" t="str">
        <f t="shared" si="3"/>
        <v>Country specific</v>
      </c>
      <c r="N83">
        <v>90.634079999999997</v>
      </c>
    </row>
    <row r="84" spans="1:14" ht="14.25" customHeight="1" x14ac:dyDescent="0.25">
      <c r="A84" s="2" t="s">
        <v>88</v>
      </c>
      <c r="B84" s="2" t="s">
        <v>3</v>
      </c>
      <c r="C84" t="s">
        <v>206</v>
      </c>
      <c r="L84" s="3" t="s">
        <v>87</v>
      </c>
      <c r="M84" s="3" t="str">
        <f t="shared" si="3"/>
        <v>Middle east</v>
      </c>
      <c r="N84">
        <v>11.759399999999999</v>
      </c>
    </row>
    <row r="85" spans="1:14" ht="14.25" customHeight="1" x14ac:dyDescent="0.25">
      <c r="A85" s="2" t="s">
        <v>89</v>
      </c>
      <c r="B85" s="2" t="s">
        <v>9</v>
      </c>
      <c r="C85" t="s">
        <v>210</v>
      </c>
      <c r="L85" s="3" t="s">
        <v>88</v>
      </c>
      <c r="M85" s="3" t="str">
        <f t="shared" si="3"/>
        <v>Country specific</v>
      </c>
      <c r="N85">
        <v>8.2027305049999999</v>
      </c>
    </row>
    <row r="86" spans="1:14" ht="14.25" customHeight="1" x14ac:dyDescent="0.25">
      <c r="A86" s="2" t="s">
        <v>90</v>
      </c>
      <c r="B86" s="2" t="s">
        <v>1</v>
      </c>
      <c r="C86" t="s">
        <v>206</v>
      </c>
      <c r="L86" s="3" t="s">
        <v>89</v>
      </c>
      <c r="M86" s="3" t="str">
        <f t="shared" si="3"/>
        <v>Other latin america</v>
      </c>
      <c r="N86">
        <v>0</v>
      </c>
    </row>
    <row r="87" spans="1:14" ht="14.25" customHeight="1" x14ac:dyDescent="0.25">
      <c r="A87" s="2" t="s">
        <v>91</v>
      </c>
      <c r="B87" s="2" t="s">
        <v>1</v>
      </c>
      <c r="C87" t="s">
        <v>204</v>
      </c>
      <c r="L87" s="3" t="s">
        <v>90</v>
      </c>
      <c r="M87" s="3" t="str">
        <f t="shared" si="3"/>
        <v>Country specific</v>
      </c>
      <c r="N87">
        <v>41.5</v>
      </c>
    </row>
    <row r="88" spans="1:14" ht="14.25" customHeight="1" x14ac:dyDescent="0.25">
      <c r="A88" s="2" t="s">
        <v>92</v>
      </c>
      <c r="B88" s="2" t="s">
        <v>1</v>
      </c>
      <c r="C88" t="s">
        <v>203</v>
      </c>
      <c r="L88" s="3" t="s">
        <v>91</v>
      </c>
      <c r="M88" s="3" t="str">
        <f t="shared" si="3"/>
        <v>Middle east</v>
      </c>
      <c r="N88">
        <v>9.6999999999999993</v>
      </c>
    </row>
    <row r="89" spans="1:14" ht="14.25" customHeight="1" x14ac:dyDescent="0.25">
      <c r="A89" s="2" t="s">
        <v>93</v>
      </c>
      <c r="B89" s="2" t="s">
        <v>5</v>
      </c>
      <c r="C89" t="s">
        <v>208</v>
      </c>
      <c r="L89" s="3" t="s">
        <v>92</v>
      </c>
      <c r="M89" s="3" t="str">
        <f t="shared" si="3"/>
        <v>Other eurasia</v>
      </c>
      <c r="N89">
        <v>582.87531999999999</v>
      </c>
    </row>
    <row r="90" spans="1:14" ht="14.25" customHeight="1" x14ac:dyDescent="0.25">
      <c r="A90" s="2" t="s">
        <v>94</v>
      </c>
      <c r="B90" s="2" t="s">
        <v>13</v>
      </c>
      <c r="C90" t="s">
        <v>205</v>
      </c>
      <c r="L90" s="3" t="s">
        <v>93</v>
      </c>
      <c r="M90" s="3" t="str">
        <f t="shared" si="3"/>
        <v>Sub-saharan africa</v>
      </c>
      <c r="N90">
        <v>0</v>
      </c>
    </row>
    <row r="91" spans="1:14" ht="14.25" customHeight="1" x14ac:dyDescent="0.25">
      <c r="A91" s="2" t="s">
        <v>95</v>
      </c>
      <c r="B91" s="2" t="s">
        <v>1</v>
      </c>
      <c r="C91" t="s">
        <v>204</v>
      </c>
      <c r="L91" s="3" t="s">
        <v>94</v>
      </c>
      <c r="M91" s="3" t="str">
        <f t="shared" si="3"/>
        <v>Other Asia pacific</v>
      </c>
      <c r="N91">
        <v>0</v>
      </c>
    </row>
    <row r="92" spans="1:14" ht="14.25" customHeight="1" x14ac:dyDescent="0.25">
      <c r="A92" s="2" t="s">
        <v>96</v>
      </c>
      <c r="B92" s="2" t="s">
        <v>1</v>
      </c>
      <c r="C92" t="s">
        <v>203</v>
      </c>
      <c r="L92" s="3" t="s">
        <v>95</v>
      </c>
      <c r="M92" s="3" t="str">
        <f t="shared" si="3"/>
        <v>Middle east</v>
      </c>
      <c r="N92">
        <v>0.44</v>
      </c>
    </row>
    <row r="93" spans="1:14" ht="14.25" customHeight="1" x14ac:dyDescent="0.25">
      <c r="A93" s="2" t="s">
        <v>97</v>
      </c>
      <c r="B93" s="2" t="s">
        <v>1</v>
      </c>
      <c r="C93" t="s">
        <v>205</v>
      </c>
      <c r="L93" s="3" t="s">
        <v>96</v>
      </c>
      <c r="M93" s="3" t="str">
        <f t="shared" si="3"/>
        <v>Other eurasia</v>
      </c>
      <c r="N93">
        <v>0</v>
      </c>
    </row>
    <row r="94" spans="1:14" ht="14.25" customHeight="1" x14ac:dyDescent="0.25">
      <c r="A94" s="2" t="s">
        <v>98</v>
      </c>
      <c r="B94" s="2" t="s">
        <v>3</v>
      </c>
      <c r="C94" t="s">
        <v>203</v>
      </c>
      <c r="L94" s="3" t="s">
        <v>97</v>
      </c>
      <c r="M94" s="3" t="str">
        <f t="shared" si="3"/>
        <v>Other Asia pacific</v>
      </c>
      <c r="N94">
        <v>0</v>
      </c>
    </row>
    <row r="95" spans="1:14" ht="14.25" customHeight="1" x14ac:dyDescent="0.25">
      <c r="A95" s="2" t="s">
        <v>99</v>
      </c>
      <c r="B95" s="2" t="s">
        <v>1</v>
      </c>
      <c r="C95" t="s">
        <v>204</v>
      </c>
      <c r="L95" s="3" t="s">
        <v>98</v>
      </c>
      <c r="M95" s="3" t="str">
        <f t="shared" si="3"/>
        <v>Other eurasia</v>
      </c>
      <c r="N95">
        <v>1.47</v>
      </c>
    </row>
    <row r="96" spans="1:14" ht="14.25" customHeight="1" x14ac:dyDescent="0.25">
      <c r="A96" s="2" t="s">
        <v>100</v>
      </c>
      <c r="B96" s="2" t="s">
        <v>5</v>
      </c>
      <c r="C96" t="s">
        <v>208</v>
      </c>
      <c r="L96" s="3" t="s">
        <v>99</v>
      </c>
      <c r="M96" s="3" t="str">
        <f t="shared" si="3"/>
        <v>Middle east</v>
      </c>
      <c r="N96">
        <v>0</v>
      </c>
    </row>
    <row r="97" spans="1:14" ht="14.25" customHeight="1" x14ac:dyDescent="0.25">
      <c r="A97" s="2" t="s">
        <v>101</v>
      </c>
      <c r="B97" s="2" t="s">
        <v>5</v>
      </c>
      <c r="C97" t="s">
        <v>208</v>
      </c>
      <c r="L97" s="3" t="s">
        <v>100</v>
      </c>
      <c r="M97" s="3" t="str">
        <f t="shared" si="3"/>
        <v>Sub-saharan africa</v>
      </c>
      <c r="N97">
        <v>0</v>
      </c>
    </row>
    <row r="98" spans="1:14" ht="14.25" customHeight="1" x14ac:dyDescent="0.25">
      <c r="A98" s="2" t="s">
        <v>102</v>
      </c>
      <c r="B98" s="2" t="s">
        <v>5</v>
      </c>
      <c r="C98" t="s">
        <v>204</v>
      </c>
      <c r="L98" s="3" t="s">
        <v>101</v>
      </c>
      <c r="M98" s="3" t="str">
        <f t="shared" si="3"/>
        <v>Sub-saharan africa</v>
      </c>
      <c r="N98">
        <v>0</v>
      </c>
    </row>
    <row r="99" spans="1:14" ht="14.25" customHeight="1" x14ac:dyDescent="0.25">
      <c r="A99" s="2" t="s">
        <v>103</v>
      </c>
      <c r="B99" s="2" t="s">
        <v>3</v>
      </c>
      <c r="C99" t="s">
        <v>203</v>
      </c>
      <c r="L99" s="3" t="s">
        <v>102</v>
      </c>
      <c r="M99" s="3" t="str">
        <f t="shared" si="3"/>
        <v>Middle east</v>
      </c>
      <c r="N99">
        <v>7.9</v>
      </c>
    </row>
    <row r="100" spans="1:14" ht="14.25" customHeight="1" x14ac:dyDescent="0.25">
      <c r="A100" s="2" t="s">
        <v>104</v>
      </c>
      <c r="B100" s="2" t="s">
        <v>3</v>
      </c>
      <c r="C100" t="s">
        <v>203</v>
      </c>
      <c r="L100" s="3" t="s">
        <v>103</v>
      </c>
      <c r="M100" s="3" t="str">
        <f t="shared" si="3"/>
        <v>Other eurasia</v>
      </c>
      <c r="N100">
        <v>0</v>
      </c>
    </row>
    <row r="101" spans="1:14" ht="14.25" customHeight="1" x14ac:dyDescent="0.25">
      <c r="A101" s="2" t="s">
        <v>105</v>
      </c>
      <c r="B101" s="2" t="s">
        <v>3</v>
      </c>
      <c r="C101" t="s">
        <v>203</v>
      </c>
      <c r="L101" s="3" t="s">
        <v>104</v>
      </c>
      <c r="M101" s="3" t="str">
        <f t="shared" si="3"/>
        <v>Other eurasia</v>
      </c>
      <c r="N101">
        <v>1.47</v>
      </c>
    </row>
    <row r="102" spans="1:14" ht="14.25" customHeight="1" x14ac:dyDescent="0.25">
      <c r="A102" s="2" t="s">
        <v>106</v>
      </c>
      <c r="B102" s="2" t="s">
        <v>5</v>
      </c>
      <c r="C102" t="s">
        <v>208</v>
      </c>
      <c r="L102" s="3" t="s">
        <v>105</v>
      </c>
      <c r="M102" s="3" t="str">
        <f t="shared" si="3"/>
        <v>Other eurasia</v>
      </c>
      <c r="N102">
        <v>0</v>
      </c>
    </row>
    <row r="103" spans="1:14" ht="14.25" customHeight="1" x14ac:dyDescent="0.25">
      <c r="A103" s="2" t="s">
        <v>107</v>
      </c>
      <c r="B103" s="2" t="s">
        <v>5</v>
      </c>
      <c r="C103" t="s">
        <v>208</v>
      </c>
      <c r="L103" s="3" t="s">
        <v>106</v>
      </c>
      <c r="M103" s="3" t="str">
        <f t="shared" si="3"/>
        <v>Sub-saharan africa</v>
      </c>
      <c r="N103">
        <v>0</v>
      </c>
    </row>
    <row r="104" spans="1:14" ht="14.25" customHeight="1" x14ac:dyDescent="0.25">
      <c r="A104" s="2" t="s">
        <v>108</v>
      </c>
      <c r="B104" s="2" t="s">
        <v>1</v>
      </c>
      <c r="C104" t="s">
        <v>206</v>
      </c>
      <c r="L104" s="3" t="s">
        <v>107</v>
      </c>
      <c r="M104" s="3" t="str">
        <f t="shared" si="3"/>
        <v>Sub-saharan africa</v>
      </c>
      <c r="N104">
        <v>0</v>
      </c>
    </row>
    <row r="105" spans="1:14" ht="14.25" customHeight="1" x14ac:dyDescent="0.25">
      <c r="A105" s="2" t="s">
        <v>109</v>
      </c>
      <c r="B105" s="2" t="s">
        <v>1</v>
      </c>
      <c r="C105" t="s">
        <v>205</v>
      </c>
      <c r="L105" s="3" t="s">
        <v>108</v>
      </c>
      <c r="M105" s="3" t="str">
        <f t="shared" si="3"/>
        <v>Country specific</v>
      </c>
      <c r="N105">
        <v>149.5729</v>
      </c>
    </row>
    <row r="106" spans="1:14" ht="14.25" customHeight="1" x14ac:dyDescent="0.25">
      <c r="A106" s="2" t="s">
        <v>110</v>
      </c>
      <c r="B106" s="2" t="s">
        <v>5</v>
      </c>
      <c r="C106" t="s">
        <v>208</v>
      </c>
      <c r="L106" s="3" t="s">
        <v>109</v>
      </c>
      <c r="M106" s="3" t="str">
        <f t="shared" si="3"/>
        <v>Other Asia pacific</v>
      </c>
      <c r="N106">
        <v>0</v>
      </c>
    </row>
    <row r="107" spans="1:14" ht="14.25" customHeight="1" x14ac:dyDescent="0.25">
      <c r="A107" s="2" t="s">
        <v>111</v>
      </c>
      <c r="B107" s="2" t="s">
        <v>3</v>
      </c>
      <c r="C107" t="s">
        <v>203</v>
      </c>
      <c r="L107" s="3" t="s">
        <v>110</v>
      </c>
      <c r="M107" s="3" t="str">
        <f t="shared" si="3"/>
        <v>Sub-saharan africa</v>
      </c>
      <c r="N107">
        <v>0</v>
      </c>
    </row>
    <row r="108" spans="1:14" ht="14.25" customHeight="1" x14ac:dyDescent="0.25">
      <c r="A108" s="2" t="s">
        <v>112</v>
      </c>
      <c r="B108" s="2" t="s">
        <v>13</v>
      </c>
      <c r="C108" t="s">
        <v>209</v>
      </c>
      <c r="L108" s="3" t="s">
        <v>111</v>
      </c>
      <c r="M108" s="3" t="str">
        <f t="shared" si="3"/>
        <v>Other eurasia</v>
      </c>
      <c r="N108">
        <v>0</v>
      </c>
    </row>
    <row r="109" spans="1:14" ht="14.25" customHeight="1" x14ac:dyDescent="0.25">
      <c r="A109" s="2" t="s">
        <v>113</v>
      </c>
      <c r="B109" s="2" t="s">
        <v>5</v>
      </c>
      <c r="C109" t="s">
        <v>208</v>
      </c>
      <c r="L109" s="3" t="s">
        <v>112</v>
      </c>
      <c r="M109" s="3" t="str">
        <f t="shared" si="3"/>
        <v>Oceania</v>
      </c>
      <c r="N109">
        <v>0</v>
      </c>
    </row>
    <row r="110" spans="1:14" ht="14.25" customHeight="1" x14ac:dyDescent="0.25">
      <c r="A110" s="2" t="s">
        <v>114</v>
      </c>
      <c r="B110" s="2" t="s">
        <v>5</v>
      </c>
      <c r="C110" t="s">
        <v>208</v>
      </c>
      <c r="L110" s="3" t="s">
        <v>113</v>
      </c>
      <c r="M110" s="3" t="str">
        <f t="shared" si="3"/>
        <v>Sub-saharan africa</v>
      </c>
      <c r="N110">
        <v>0</v>
      </c>
    </row>
    <row r="111" spans="1:14" ht="14.25" customHeight="1" x14ac:dyDescent="0.25">
      <c r="A111" s="2" t="s">
        <v>115</v>
      </c>
      <c r="B111" s="2" t="s">
        <v>9</v>
      </c>
      <c r="C111" t="s">
        <v>206</v>
      </c>
      <c r="L111" s="3" t="s">
        <v>114</v>
      </c>
      <c r="M111" s="3" t="str">
        <f t="shared" si="3"/>
        <v>Sub-saharan africa</v>
      </c>
      <c r="N111">
        <v>0</v>
      </c>
    </row>
    <row r="112" spans="1:14" ht="14.25" customHeight="1" x14ac:dyDescent="0.25">
      <c r="A112" s="2" t="s">
        <v>116</v>
      </c>
      <c r="B112" s="2" t="s">
        <v>13</v>
      </c>
      <c r="C112" t="s">
        <v>209</v>
      </c>
      <c r="L112" s="3" t="s">
        <v>115</v>
      </c>
      <c r="M112" s="3" t="str">
        <f t="shared" si="3"/>
        <v>Country specific</v>
      </c>
      <c r="N112">
        <v>690.5</v>
      </c>
    </row>
    <row r="113" spans="1:14" ht="14.25" customHeight="1" x14ac:dyDescent="0.25">
      <c r="A113" s="2" t="s">
        <v>117</v>
      </c>
      <c r="B113" s="2" t="s">
        <v>3</v>
      </c>
      <c r="C113" t="s">
        <v>203</v>
      </c>
      <c r="L113" s="3" t="s">
        <v>116</v>
      </c>
      <c r="M113" s="3" t="str">
        <f t="shared" si="3"/>
        <v>Oceania</v>
      </c>
      <c r="N113">
        <v>0</v>
      </c>
    </row>
    <row r="114" spans="1:14" ht="14.25" customHeight="1" x14ac:dyDescent="0.25">
      <c r="A114" s="2" t="s">
        <v>118</v>
      </c>
      <c r="B114" s="2" t="s">
        <v>3</v>
      </c>
      <c r="C114" t="s">
        <v>203</v>
      </c>
      <c r="L114" s="3" t="s">
        <v>117</v>
      </c>
      <c r="M114" s="3" t="str">
        <f t="shared" si="3"/>
        <v>Other eurasia</v>
      </c>
      <c r="N114">
        <v>0</v>
      </c>
    </row>
    <row r="115" spans="1:14" ht="14.25" customHeight="1" x14ac:dyDescent="0.25">
      <c r="A115" s="2" t="s">
        <v>119</v>
      </c>
      <c r="B115" s="2" t="s">
        <v>1</v>
      </c>
      <c r="C115" t="s">
        <v>205</v>
      </c>
      <c r="L115" s="3" t="s">
        <v>118</v>
      </c>
      <c r="M115" s="3" t="str">
        <f t="shared" si="3"/>
        <v>Other eurasia</v>
      </c>
      <c r="N115">
        <v>0</v>
      </c>
    </row>
    <row r="116" spans="1:14" ht="14.25" customHeight="1" x14ac:dyDescent="0.25">
      <c r="A116" s="2" t="s">
        <v>120</v>
      </c>
      <c r="B116" s="2" t="s">
        <v>3</v>
      </c>
      <c r="C116" t="s">
        <v>203</v>
      </c>
      <c r="L116" s="3" t="s">
        <v>119</v>
      </c>
      <c r="M116" s="3" t="str">
        <f t="shared" si="3"/>
        <v>Other Asia pacific</v>
      </c>
      <c r="N116">
        <v>0</v>
      </c>
    </row>
    <row r="117" spans="1:14" ht="14.25" customHeight="1" x14ac:dyDescent="0.25">
      <c r="A117" s="2" t="s">
        <v>121</v>
      </c>
      <c r="B117" s="2" t="s">
        <v>5</v>
      </c>
      <c r="C117" t="s">
        <v>204</v>
      </c>
      <c r="L117" s="3" t="s">
        <v>120</v>
      </c>
      <c r="M117" s="3" t="str">
        <f t="shared" si="3"/>
        <v>Other eurasia</v>
      </c>
      <c r="N117">
        <v>0</v>
      </c>
    </row>
    <row r="118" spans="1:14" ht="14.25" customHeight="1" x14ac:dyDescent="0.25">
      <c r="A118" s="2" t="s">
        <v>122</v>
      </c>
      <c r="B118" s="2" t="s">
        <v>5</v>
      </c>
      <c r="C118" t="s">
        <v>208</v>
      </c>
      <c r="L118" s="3" t="s">
        <v>121</v>
      </c>
      <c r="M118" s="3" t="str">
        <f t="shared" si="3"/>
        <v>Middle east</v>
      </c>
      <c r="N118">
        <v>0.63</v>
      </c>
    </row>
    <row r="119" spans="1:14" ht="14.25" customHeight="1" x14ac:dyDescent="0.25">
      <c r="A119" s="2" t="s">
        <v>123</v>
      </c>
      <c r="B119" s="2" t="s">
        <v>1</v>
      </c>
      <c r="C119" t="s">
        <v>205</v>
      </c>
      <c r="L119" s="3" t="s">
        <v>122</v>
      </c>
      <c r="M119" s="3" t="str">
        <f t="shared" si="3"/>
        <v>Sub-saharan africa</v>
      </c>
      <c r="N119">
        <v>115.85</v>
      </c>
    </row>
    <row r="120" spans="1:14" ht="14.25" customHeight="1" x14ac:dyDescent="0.25">
      <c r="A120" s="2" t="s">
        <v>124</v>
      </c>
      <c r="B120" s="2" t="s">
        <v>5</v>
      </c>
      <c r="C120" t="s">
        <v>208</v>
      </c>
      <c r="L120" s="3" t="s">
        <v>123</v>
      </c>
      <c r="M120" s="3" t="str">
        <f t="shared" si="3"/>
        <v>Other Asia pacific</v>
      </c>
      <c r="N120">
        <v>0</v>
      </c>
    </row>
    <row r="121" spans="1:14" ht="14.25" customHeight="1" x14ac:dyDescent="0.25">
      <c r="A121" s="2" t="s">
        <v>125</v>
      </c>
      <c r="B121" s="2" t="s">
        <v>13</v>
      </c>
      <c r="C121" t="s">
        <v>209</v>
      </c>
      <c r="L121" s="3" t="s">
        <v>124</v>
      </c>
      <c r="M121" s="3" t="str">
        <f t="shared" si="3"/>
        <v>Sub-saharan africa</v>
      </c>
      <c r="N121">
        <v>0</v>
      </c>
    </row>
    <row r="122" spans="1:14" ht="14.25" customHeight="1" x14ac:dyDescent="0.25">
      <c r="A122" s="2" t="s">
        <v>126</v>
      </c>
      <c r="B122" s="2" t="s">
        <v>1</v>
      </c>
      <c r="C122" t="s">
        <v>205</v>
      </c>
      <c r="L122" s="3" t="s">
        <v>125</v>
      </c>
      <c r="M122" s="3" t="str">
        <f t="shared" si="3"/>
        <v>Oceania</v>
      </c>
      <c r="N122">
        <v>0</v>
      </c>
    </row>
    <row r="123" spans="1:14" ht="14.25" customHeight="1" x14ac:dyDescent="0.25">
      <c r="A123" s="2" t="s">
        <v>127</v>
      </c>
      <c r="B123" s="2" t="s">
        <v>3</v>
      </c>
      <c r="C123" t="s">
        <v>206</v>
      </c>
      <c r="L123" s="3" t="s">
        <v>126</v>
      </c>
      <c r="M123" s="3" t="str">
        <f t="shared" si="3"/>
        <v>Other Asia pacific</v>
      </c>
      <c r="N123">
        <v>0</v>
      </c>
    </row>
    <row r="124" spans="1:14" ht="14.25" customHeight="1" x14ac:dyDescent="0.25">
      <c r="A124" s="2" t="s">
        <v>128</v>
      </c>
      <c r="B124" s="2" t="s">
        <v>13</v>
      </c>
      <c r="C124" t="s">
        <v>206</v>
      </c>
      <c r="L124" s="3" t="s">
        <v>127</v>
      </c>
      <c r="M124" s="3" t="str">
        <f t="shared" si="3"/>
        <v>Country specific</v>
      </c>
      <c r="N124">
        <v>3.21</v>
      </c>
    </row>
    <row r="125" spans="1:14" ht="14.25" customHeight="1" x14ac:dyDescent="0.25">
      <c r="A125" s="2" t="s">
        <v>129</v>
      </c>
      <c r="B125" s="2" t="s">
        <v>9</v>
      </c>
      <c r="C125" t="s">
        <v>210</v>
      </c>
      <c r="L125" s="3" t="s">
        <v>128</v>
      </c>
      <c r="M125" s="3" t="str">
        <f t="shared" si="3"/>
        <v>Country specific</v>
      </c>
      <c r="N125">
        <v>0</v>
      </c>
    </row>
    <row r="126" spans="1:14" ht="14.25" customHeight="1" x14ac:dyDescent="0.25">
      <c r="A126" s="2" t="s">
        <v>130</v>
      </c>
      <c r="B126" s="2" t="s">
        <v>5</v>
      </c>
      <c r="C126" t="s">
        <v>208</v>
      </c>
      <c r="L126" s="3" t="s">
        <v>129</v>
      </c>
      <c r="M126" s="3" t="str">
        <f t="shared" si="3"/>
        <v>Other latin america</v>
      </c>
      <c r="N126">
        <v>0</v>
      </c>
    </row>
    <row r="127" spans="1:14" ht="14.25" customHeight="1" x14ac:dyDescent="0.25">
      <c r="A127" s="2" t="s">
        <v>131</v>
      </c>
      <c r="B127" s="2" t="s">
        <v>5</v>
      </c>
      <c r="C127" t="s">
        <v>208</v>
      </c>
      <c r="L127" s="3" t="s">
        <v>130</v>
      </c>
      <c r="M127" s="3" t="str">
        <f t="shared" si="3"/>
        <v>Sub-saharan africa</v>
      </c>
      <c r="N127">
        <v>0</v>
      </c>
    </row>
    <row r="128" spans="1:14" ht="14.25" customHeight="1" x14ac:dyDescent="0.25">
      <c r="A128" s="2" t="s">
        <v>132</v>
      </c>
      <c r="B128" s="2" t="s">
        <v>1</v>
      </c>
      <c r="C128" t="s">
        <v>205</v>
      </c>
      <c r="L128" s="3" t="s">
        <v>131</v>
      </c>
      <c r="M128" s="3" t="str">
        <f t="shared" si="3"/>
        <v>Sub-saharan africa</v>
      </c>
      <c r="N128">
        <v>107.18</v>
      </c>
    </row>
    <row r="129" spans="1:14" ht="14.25" customHeight="1" x14ac:dyDescent="0.25">
      <c r="A129" s="2" t="s">
        <v>133</v>
      </c>
      <c r="B129" s="2" t="s">
        <v>3</v>
      </c>
      <c r="C129" t="s">
        <v>203</v>
      </c>
      <c r="L129" s="3" t="s">
        <v>132</v>
      </c>
      <c r="M129" s="3" t="str">
        <f t="shared" si="3"/>
        <v>Other Asia pacific</v>
      </c>
      <c r="N129">
        <v>0</v>
      </c>
    </row>
    <row r="130" spans="1:14" ht="14.25" customHeight="1" x14ac:dyDescent="0.25">
      <c r="A130" s="2" t="s">
        <v>134</v>
      </c>
      <c r="B130" s="2" t="s">
        <v>3</v>
      </c>
      <c r="C130" t="s">
        <v>206</v>
      </c>
      <c r="L130" s="3" t="s">
        <v>133</v>
      </c>
      <c r="M130" s="3" t="str">
        <f t="shared" si="3"/>
        <v>Other eurasia</v>
      </c>
      <c r="N130">
        <v>0</v>
      </c>
    </row>
    <row r="131" spans="1:14" ht="14.25" customHeight="1" x14ac:dyDescent="0.25">
      <c r="A131" s="2" t="s">
        <v>135</v>
      </c>
      <c r="B131" s="2" t="s">
        <v>1</v>
      </c>
      <c r="C131" t="s">
        <v>204</v>
      </c>
      <c r="L131" s="3" t="s">
        <v>134</v>
      </c>
      <c r="M131" s="3" t="str">
        <f t="shared" ref="M131:M194" si="4">VLOOKUP(L131,$A$2:$C$195,3,FALSE)</f>
        <v>Country specific</v>
      </c>
      <c r="N131">
        <v>104.40813</v>
      </c>
    </row>
    <row r="132" spans="1:14" ht="14.25" customHeight="1" x14ac:dyDescent="0.25">
      <c r="A132" s="2" t="s">
        <v>136</v>
      </c>
      <c r="B132" s="2" t="s">
        <v>1</v>
      </c>
      <c r="C132" t="s">
        <v>206</v>
      </c>
      <c r="L132" s="3" t="s">
        <v>135</v>
      </c>
      <c r="M132" s="3" t="str">
        <f t="shared" si="4"/>
        <v>Middle east</v>
      </c>
      <c r="N132">
        <v>169</v>
      </c>
    </row>
    <row r="133" spans="1:14" ht="14.25" customHeight="1" x14ac:dyDescent="0.25">
      <c r="A133" s="2" t="s">
        <v>137</v>
      </c>
      <c r="B133" s="2" t="s">
        <v>13</v>
      </c>
      <c r="C133" t="s">
        <v>209</v>
      </c>
      <c r="L133" s="3" t="s">
        <v>136</v>
      </c>
      <c r="M133" s="3" t="str">
        <f t="shared" si="4"/>
        <v>Country specific</v>
      </c>
      <c r="N133">
        <v>31.701730000000001</v>
      </c>
    </row>
    <row r="134" spans="1:14" ht="14.25" customHeight="1" x14ac:dyDescent="0.25">
      <c r="A134" s="2" t="s">
        <v>138</v>
      </c>
      <c r="B134" s="2" t="s">
        <v>9</v>
      </c>
      <c r="C134" t="s">
        <v>210</v>
      </c>
      <c r="L134" s="3" t="s">
        <v>137</v>
      </c>
      <c r="M134" s="3" t="str">
        <f t="shared" si="4"/>
        <v>Oceania</v>
      </c>
      <c r="N134">
        <v>0</v>
      </c>
    </row>
    <row r="135" spans="1:14" ht="14.25" customHeight="1" x14ac:dyDescent="0.25">
      <c r="A135" s="2" t="s">
        <v>139</v>
      </c>
      <c r="B135" s="2" t="s">
        <v>13</v>
      </c>
      <c r="C135" t="s">
        <v>205</v>
      </c>
      <c r="L135" s="3" t="s">
        <v>138</v>
      </c>
      <c r="M135" s="3" t="str">
        <f t="shared" si="4"/>
        <v>Other latin america</v>
      </c>
      <c r="N135">
        <v>0</v>
      </c>
    </row>
    <row r="136" spans="1:14" ht="14.25" customHeight="1" x14ac:dyDescent="0.25">
      <c r="A136" s="2" t="s">
        <v>140</v>
      </c>
      <c r="B136" s="2" t="s">
        <v>11</v>
      </c>
      <c r="C136" t="s">
        <v>210</v>
      </c>
      <c r="L136" s="3" t="s">
        <v>139</v>
      </c>
      <c r="M136" s="3" t="str">
        <f t="shared" si="4"/>
        <v>Other Asia pacific</v>
      </c>
      <c r="N136">
        <v>0</v>
      </c>
    </row>
    <row r="137" spans="1:14" ht="14.25" customHeight="1" x14ac:dyDescent="0.25">
      <c r="A137" s="2" t="s">
        <v>141</v>
      </c>
      <c r="B137" s="2" t="s">
        <v>11</v>
      </c>
      <c r="C137" t="s">
        <v>210</v>
      </c>
      <c r="L137" s="3" t="s">
        <v>140</v>
      </c>
      <c r="M137" s="3" t="str">
        <f t="shared" si="4"/>
        <v>Other latin america</v>
      </c>
      <c r="N137">
        <v>0</v>
      </c>
    </row>
    <row r="138" spans="1:14" ht="14.25" customHeight="1" x14ac:dyDescent="0.25">
      <c r="A138" s="2" t="s">
        <v>142</v>
      </c>
      <c r="B138" s="2" t="s">
        <v>1</v>
      </c>
      <c r="C138" t="s">
        <v>205</v>
      </c>
      <c r="L138" s="3" t="s">
        <v>141</v>
      </c>
      <c r="M138" s="3" t="str">
        <f t="shared" si="4"/>
        <v>Other latin america</v>
      </c>
      <c r="N138">
        <v>3.5369999999999999E-2</v>
      </c>
    </row>
    <row r="139" spans="1:14" ht="14.25" customHeight="1" x14ac:dyDescent="0.25">
      <c r="A139" s="2" t="s">
        <v>143</v>
      </c>
      <c r="B139" s="2" t="s">
        <v>3</v>
      </c>
      <c r="C139" t="s">
        <v>206</v>
      </c>
      <c r="L139" s="3" t="s">
        <v>142</v>
      </c>
      <c r="M139" s="3" t="str">
        <f t="shared" si="4"/>
        <v>Other Asia pacific</v>
      </c>
      <c r="N139">
        <v>22.7</v>
      </c>
    </row>
    <row r="140" spans="1:14" ht="14.25" customHeight="1" x14ac:dyDescent="0.25">
      <c r="A140" s="2" t="s">
        <v>144</v>
      </c>
      <c r="B140" s="2" t="s">
        <v>3</v>
      </c>
      <c r="C140" t="s">
        <v>206</v>
      </c>
      <c r="L140" s="3" t="s">
        <v>143</v>
      </c>
      <c r="M140" s="3" t="str">
        <f t="shared" si="4"/>
        <v>Country specific</v>
      </c>
      <c r="N140">
        <v>2.94</v>
      </c>
    </row>
    <row r="141" spans="1:14" ht="14.25" customHeight="1" x14ac:dyDescent="0.25">
      <c r="A141" s="2" t="s">
        <v>145</v>
      </c>
      <c r="B141" s="2" t="s">
        <v>1</v>
      </c>
      <c r="C141" t="s">
        <v>204</v>
      </c>
      <c r="L141" s="3" t="s">
        <v>144</v>
      </c>
      <c r="M141" s="3" t="str">
        <f t="shared" si="4"/>
        <v>Country specific</v>
      </c>
      <c r="N141">
        <v>0</v>
      </c>
    </row>
    <row r="142" spans="1:14" ht="14.25" customHeight="1" x14ac:dyDescent="0.25">
      <c r="A142" s="2" t="s">
        <v>146</v>
      </c>
      <c r="B142" s="2" t="s">
        <v>3</v>
      </c>
      <c r="C142" t="s">
        <v>203</v>
      </c>
      <c r="L142" s="3" t="s">
        <v>145</v>
      </c>
      <c r="M142" s="3" t="str">
        <f t="shared" si="4"/>
        <v>Middle east</v>
      </c>
      <c r="N142">
        <v>0.22500000000000001</v>
      </c>
    </row>
    <row r="143" spans="1:14" ht="14.25" customHeight="1" x14ac:dyDescent="0.25">
      <c r="A143" s="2" t="s">
        <v>147</v>
      </c>
      <c r="B143" s="2" t="s">
        <v>3</v>
      </c>
      <c r="C143" t="s">
        <v>206</v>
      </c>
      <c r="L143" s="3" t="s">
        <v>146</v>
      </c>
      <c r="M143" s="3" t="str">
        <f t="shared" si="4"/>
        <v>Other eurasia</v>
      </c>
      <c r="N143">
        <v>18.425000000000001</v>
      </c>
    </row>
    <row r="144" spans="1:14" ht="14.25" customHeight="1" x14ac:dyDescent="0.25">
      <c r="A144" s="2" t="s">
        <v>148</v>
      </c>
      <c r="B144" s="2" t="s">
        <v>5</v>
      </c>
      <c r="C144" t="s">
        <v>208</v>
      </c>
      <c r="L144" s="3" t="s">
        <v>147</v>
      </c>
      <c r="M144" s="3" t="str">
        <f t="shared" si="4"/>
        <v>Country specific</v>
      </c>
      <c r="N144">
        <v>6187.5</v>
      </c>
    </row>
    <row r="145" spans="1:14" ht="14.25" customHeight="1" x14ac:dyDescent="0.25">
      <c r="A145" s="2" t="s">
        <v>149</v>
      </c>
      <c r="B145" s="2" t="s">
        <v>9</v>
      </c>
      <c r="C145" t="s">
        <v>210</v>
      </c>
      <c r="L145" s="3" t="s">
        <v>148</v>
      </c>
      <c r="M145" s="3" t="str">
        <f t="shared" si="4"/>
        <v>Sub-saharan africa</v>
      </c>
      <c r="N145">
        <v>0</v>
      </c>
    </row>
    <row r="146" spans="1:14" ht="14.25" customHeight="1" x14ac:dyDescent="0.25">
      <c r="A146" s="2" t="s">
        <v>150</v>
      </c>
      <c r="B146" s="2" t="s">
        <v>9</v>
      </c>
      <c r="C146" t="s">
        <v>210</v>
      </c>
      <c r="L146" s="3" t="s">
        <v>149</v>
      </c>
      <c r="M146" s="3" t="str">
        <f t="shared" si="4"/>
        <v>Other latin america</v>
      </c>
      <c r="N146">
        <v>0</v>
      </c>
    </row>
    <row r="147" spans="1:14" ht="14.25" customHeight="1" x14ac:dyDescent="0.25">
      <c r="A147" s="2" t="s">
        <v>151</v>
      </c>
      <c r="B147" s="2" t="s">
        <v>13</v>
      </c>
      <c r="C147" t="s">
        <v>209</v>
      </c>
      <c r="L147" s="3" t="s">
        <v>150</v>
      </c>
      <c r="M147" s="3" t="str">
        <f t="shared" si="4"/>
        <v>Other latin america</v>
      </c>
      <c r="N147">
        <v>0</v>
      </c>
    </row>
    <row r="148" spans="1:14" ht="14.25" customHeight="1" x14ac:dyDescent="0.25">
      <c r="A148" s="2" t="s">
        <v>152</v>
      </c>
      <c r="B148" s="2" t="s">
        <v>3</v>
      </c>
      <c r="C148" t="s">
        <v>203</v>
      </c>
      <c r="L148" s="3" t="s">
        <v>151</v>
      </c>
      <c r="M148" s="3" t="str">
        <f t="shared" si="4"/>
        <v>Oceania</v>
      </c>
      <c r="N148">
        <v>0</v>
      </c>
    </row>
    <row r="149" spans="1:14" ht="14.25" customHeight="1" x14ac:dyDescent="0.25">
      <c r="A149" s="2" t="s">
        <v>153</v>
      </c>
      <c r="B149" s="2" t="s">
        <v>5</v>
      </c>
      <c r="C149" t="s">
        <v>208</v>
      </c>
      <c r="L149" s="3" t="s">
        <v>152</v>
      </c>
      <c r="M149" s="3" t="str">
        <f t="shared" si="4"/>
        <v>Other eurasia</v>
      </c>
      <c r="N149">
        <v>0</v>
      </c>
    </row>
    <row r="150" spans="1:14" ht="14.25" customHeight="1" x14ac:dyDescent="0.25">
      <c r="A150" s="2" t="s">
        <v>154</v>
      </c>
      <c r="B150" s="2" t="s">
        <v>1</v>
      </c>
      <c r="C150" t="s">
        <v>206</v>
      </c>
      <c r="L150" s="3" t="s">
        <v>153</v>
      </c>
      <c r="M150" s="3" t="str">
        <f t="shared" si="4"/>
        <v>Sub-saharan africa</v>
      </c>
      <c r="N150">
        <v>0</v>
      </c>
    </row>
    <row r="151" spans="1:14" ht="14.25" customHeight="1" x14ac:dyDescent="0.25">
      <c r="A151" s="2" t="s">
        <v>155</v>
      </c>
      <c r="B151" s="2" t="s">
        <v>5</v>
      </c>
      <c r="C151" t="s">
        <v>208</v>
      </c>
      <c r="L151" s="3" t="s">
        <v>154</v>
      </c>
      <c r="M151" s="3" t="str">
        <f t="shared" si="4"/>
        <v>Country specific</v>
      </c>
      <c r="N151">
        <v>446</v>
      </c>
    </row>
    <row r="152" spans="1:14" ht="14.25" customHeight="1" x14ac:dyDescent="0.25">
      <c r="A152" s="2" t="s">
        <v>156</v>
      </c>
      <c r="B152" s="2" t="s">
        <v>3</v>
      </c>
      <c r="C152" t="s">
        <v>203</v>
      </c>
      <c r="L152" s="3" t="s">
        <v>155</v>
      </c>
      <c r="M152" s="3" t="str">
        <f t="shared" si="4"/>
        <v>Sub-saharan africa</v>
      </c>
      <c r="N152">
        <v>0</v>
      </c>
    </row>
    <row r="153" spans="1:14" ht="14.25" customHeight="1" x14ac:dyDescent="0.25">
      <c r="A153" s="2" t="s">
        <v>157</v>
      </c>
      <c r="B153" s="2" t="s">
        <v>5</v>
      </c>
      <c r="C153" t="s">
        <v>208</v>
      </c>
      <c r="L153" s="3" t="s">
        <v>156</v>
      </c>
      <c r="M153" s="3" t="str">
        <f t="shared" si="4"/>
        <v>Other eurasia</v>
      </c>
      <c r="N153">
        <v>0</v>
      </c>
    </row>
    <row r="154" spans="1:14" ht="14.25" customHeight="1" x14ac:dyDescent="0.25">
      <c r="A154" s="2" t="s">
        <v>158</v>
      </c>
      <c r="B154" s="2" t="s">
        <v>5</v>
      </c>
      <c r="C154" t="s">
        <v>208</v>
      </c>
      <c r="L154" s="3" t="s">
        <v>157</v>
      </c>
      <c r="M154" s="3" t="str">
        <f t="shared" si="4"/>
        <v>Sub-saharan africa</v>
      </c>
      <c r="N154">
        <v>0</v>
      </c>
    </row>
    <row r="155" spans="1:14" ht="14.25" customHeight="1" x14ac:dyDescent="0.25">
      <c r="A155" s="2" t="s">
        <v>159</v>
      </c>
      <c r="B155" s="2" t="s">
        <v>1</v>
      </c>
      <c r="C155" t="s">
        <v>205</v>
      </c>
      <c r="L155" s="3" t="s">
        <v>158</v>
      </c>
      <c r="M155" s="3" t="str">
        <f t="shared" si="4"/>
        <v>Sub-saharan africa</v>
      </c>
      <c r="N155">
        <v>0</v>
      </c>
    </row>
    <row r="156" spans="1:14" ht="14.25" customHeight="1" x14ac:dyDescent="0.25">
      <c r="A156" s="2" t="s">
        <v>160</v>
      </c>
      <c r="B156" s="2" t="s">
        <v>3</v>
      </c>
      <c r="C156" t="s">
        <v>203</v>
      </c>
      <c r="L156" s="3" t="s">
        <v>159</v>
      </c>
      <c r="M156" s="3" t="str">
        <f t="shared" si="4"/>
        <v>Other Asia pacific</v>
      </c>
      <c r="N156">
        <v>0</v>
      </c>
    </row>
    <row r="157" spans="1:14" ht="14.25" customHeight="1" x14ac:dyDescent="0.25">
      <c r="A157" s="2" t="s">
        <v>161</v>
      </c>
      <c r="B157" s="2" t="s">
        <v>3</v>
      </c>
      <c r="C157" t="s">
        <v>203</v>
      </c>
      <c r="L157" s="3" t="s">
        <v>160</v>
      </c>
      <c r="M157" s="3" t="str">
        <f t="shared" si="4"/>
        <v>Other eurasia</v>
      </c>
      <c r="N157">
        <v>11.318</v>
      </c>
    </row>
    <row r="158" spans="1:14" ht="14.25" customHeight="1" x14ac:dyDescent="0.25">
      <c r="A158" s="2" t="s">
        <v>162</v>
      </c>
      <c r="B158" s="2" t="s">
        <v>13</v>
      </c>
      <c r="C158" t="s">
        <v>209</v>
      </c>
      <c r="L158" s="3" t="s">
        <v>161</v>
      </c>
      <c r="M158" s="3" t="str">
        <f t="shared" si="4"/>
        <v>Other eurasia</v>
      </c>
      <c r="N158">
        <v>0</v>
      </c>
    </row>
    <row r="159" spans="1:14" ht="14.25" customHeight="1" x14ac:dyDescent="0.25">
      <c r="A159" s="2" t="s">
        <v>163</v>
      </c>
      <c r="B159" s="2" t="s">
        <v>5</v>
      </c>
      <c r="C159" t="s">
        <v>208</v>
      </c>
      <c r="L159" s="3" t="s">
        <v>162</v>
      </c>
      <c r="M159" s="3" t="str">
        <f t="shared" si="4"/>
        <v>Oceania</v>
      </c>
      <c r="N159">
        <v>0</v>
      </c>
    </row>
    <row r="160" spans="1:14" ht="14.25" customHeight="1" x14ac:dyDescent="0.25">
      <c r="A160" s="2" t="s">
        <v>164</v>
      </c>
      <c r="B160" s="2" t="s">
        <v>5</v>
      </c>
      <c r="C160" t="s">
        <v>206</v>
      </c>
      <c r="L160" s="3" t="s">
        <v>163</v>
      </c>
      <c r="M160" s="3" t="str">
        <f t="shared" si="4"/>
        <v>Sub-saharan africa</v>
      </c>
      <c r="N160">
        <v>0</v>
      </c>
    </row>
    <row r="161" spans="1:14" ht="14.25" customHeight="1" x14ac:dyDescent="0.25">
      <c r="A161" s="2" t="s">
        <v>165</v>
      </c>
      <c r="B161" s="2" t="s">
        <v>1</v>
      </c>
      <c r="C161" t="s">
        <v>206</v>
      </c>
      <c r="L161" s="3" t="s">
        <v>164</v>
      </c>
      <c r="M161" s="3" t="str">
        <f t="shared" si="4"/>
        <v>Country specific</v>
      </c>
      <c r="N161">
        <v>342.92928999999998</v>
      </c>
    </row>
    <row r="162" spans="1:14" ht="14.25" customHeight="1" x14ac:dyDescent="0.25">
      <c r="A162" s="2" t="s">
        <v>166</v>
      </c>
      <c r="B162" s="2" t="s">
        <v>5</v>
      </c>
      <c r="C162" t="s">
        <v>208</v>
      </c>
      <c r="L162" s="3" t="s">
        <v>165</v>
      </c>
      <c r="M162" s="3" t="str">
        <f t="shared" si="4"/>
        <v>Country specific</v>
      </c>
      <c r="N162">
        <v>16.5</v>
      </c>
    </row>
    <row r="163" spans="1:14" ht="14.25" customHeight="1" x14ac:dyDescent="0.25">
      <c r="A163" s="2" t="s">
        <v>167</v>
      </c>
      <c r="B163" s="2" t="s">
        <v>3</v>
      </c>
      <c r="C163" t="s">
        <v>206</v>
      </c>
      <c r="L163" s="3" t="s">
        <v>166</v>
      </c>
      <c r="M163" s="3" t="str">
        <f t="shared" si="4"/>
        <v>Sub-saharan africa</v>
      </c>
      <c r="N163">
        <v>0</v>
      </c>
    </row>
    <row r="164" spans="1:14" ht="14.25" customHeight="1" x14ac:dyDescent="0.25">
      <c r="A164" s="2" t="s">
        <v>168</v>
      </c>
      <c r="B164" s="2" t="s">
        <v>1</v>
      </c>
      <c r="C164" t="s">
        <v>205</v>
      </c>
      <c r="L164" s="3" t="s">
        <v>167</v>
      </c>
      <c r="M164" s="3" t="str">
        <f t="shared" si="4"/>
        <v>Country specific</v>
      </c>
      <c r="N164">
        <v>20.770600000000002</v>
      </c>
    </row>
    <row r="165" spans="1:14" ht="14.25" customHeight="1" x14ac:dyDescent="0.25">
      <c r="A165" s="2" t="s">
        <v>169</v>
      </c>
      <c r="B165" s="2" t="s">
        <v>9</v>
      </c>
      <c r="C165" t="s">
        <v>210</v>
      </c>
      <c r="L165" s="3" t="s">
        <v>168</v>
      </c>
      <c r="M165" s="3" t="str">
        <f t="shared" si="4"/>
        <v>Other Asia pacific</v>
      </c>
      <c r="N165">
        <v>6</v>
      </c>
    </row>
    <row r="166" spans="1:14" ht="14.25" customHeight="1" x14ac:dyDescent="0.25">
      <c r="A166" s="2" t="s">
        <v>170</v>
      </c>
      <c r="B166" s="2" t="s">
        <v>1</v>
      </c>
      <c r="C166" t="s">
        <v>204</v>
      </c>
      <c r="L166" s="3" t="s">
        <v>169</v>
      </c>
      <c r="M166" s="3" t="str">
        <f t="shared" si="4"/>
        <v>Other latin america</v>
      </c>
      <c r="N166">
        <v>0</v>
      </c>
    </row>
    <row r="167" spans="1:14" ht="14.25" customHeight="1" x14ac:dyDescent="0.25">
      <c r="A167" s="2" t="s">
        <v>171</v>
      </c>
      <c r="B167" s="2" t="s">
        <v>5</v>
      </c>
      <c r="C167" t="s">
        <v>204</v>
      </c>
      <c r="L167" s="3" t="s">
        <v>170</v>
      </c>
      <c r="M167" s="3" t="str">
        <f t="shared" si="4"/>
        <v>Middle east</v>
      </c>
      <c r="N167">
        <v>0</v>
      </c>
    </row>
    <row r="168" spans="1:14" ht="14.25" customHeight="1" x14ac:dyDescent="0.25">
      <c r="A168" s="2" t="s">
        <v>172</v>
      </c>
      <c r="B168" s="2" t="s">
        <v>11</v>
      </c>
      <c r="C168" t="s">
        <v>210</v>
      </c>
      <c r="L168" s="3" t="s">
        <v>171</v>
      </c>
      <c r="M168" s="3" t="str">
        <f t="shared" si="4"/>
        <v>Middle east</v>
      </c>
      <c r="N168">
        <v>0</v>
      </c>
    </row>
    <row r="169" spans="1:14" ht="14.25" customHeight="1" x14ac:dyDescent="0.25">
      <c r="A169" s="2" t="s">
        <v>173</v>
      </c>
      <c r="B169" s="2" t="s">
        <v>3</v>
      </c>
      <c r="C169" t="s">
        <v>206</v>
      </c>
      <c r="L169" s="3" t="s">
        <v>172</v>
      </c>
      <c r="M169" s="3" t="str">
        <f t="shared" si="4"/>
        <v>Other latin america</v>
      </c>
      <c r="N169">
        <v>0</v>
      </c>
    </row>
    <row r="170" spans="1:14" ht="14.25" customHeight="1" x14ac:dyDescent="0.25">
      <c r="A170" s="2" t="s">
        <v>174</v>
      </c>
      <c r="B170" s="2" t="s">
        <v>3</v>
      </c>
      <c r="C170" t="s">
        <v>206</v>
      </c>
      <c r="L170" s="3" t="s">
        <v>173</v>
      </c>
      <c r="M170" s="3" t="str">
        <f t="shared" si="4"/>
        <v>Country specific</v>
      </c>
      <c r="N170">
        <v>14.9</v>
      </c>
    </row>
    <row r="171" spans="1:14" ht="14.25" customHeight="1" x14ac:dyDescent="0.25">
      <c r="A171" s="2" t="s">
        <v>175</v>
      </c>
      <c r="B171" s="2" t="s">
        <v>1</v>
      </c>
      <c r="C171" t="s">
        <v>204</v>
      </c>
      <c r="L171" s="3" t="s">
        <v>174</v>
      </c>
      <c r="M171" s="3" t="str">
        <f t="shared" si="4"/>
        <v>Country specific</v>
      </c>
      <c r="N171">
        <v>0</v>
      </c>
    </row>
    <row r="172" spans="1:14" ht="14.25" customHeight="1" x14ac:dyDescent="0.25">
      <c r="A172" s="2" t="s">
        <v>176</v>
      </c>
      <c r="B172" s="2" t="s">
        <v>1</v>
      </c>
      <c r="C172" t="s">
        <v>203</v>
      </c>
      <c r="L172" s="3" t="s">
        <v>175</v>
      </c>
      <c r="M172" s="3" t="str">
        <f t="shared" si="4"/>
        <v>Middle east</v>
      </c>
      <c r="N172">
        <v>0</v>
      </c>
    </row>
    <row r="173" spans="1:14" ht="14.25" customHeight="1" x14ac:dyDescent="0.25">
      <c r="A173" s="2" t="s">
        <v>177</v>
      </c>
      <c r="B173" s="2" t="s">
        <v>5</v>
      </c>
      <c r="C173" t="s">
        <v>208</v>
      </c>
      <c r="L173" s="3" t="s">
        <v>176</v>
      </c>
      <c r="M173" s="3" t="str">
        <f t="shared" si="4"/>
        <v>Other eurasia</v>
      </c>
      <c r="N173">
        <v>0</v>
      </c>
    </row>
    <row r="174" spans="1:14" ht="14.25" customHeight="1" x14ac:dyDescent="0.25">
      <c r="A174" s="2" t="s">
        <v>178</v>
      </c>
      <c r="B174" s="2" t="s">
        <v>1</v>
      </c>
      <c r="C174" t="s">
        <v>205</v>
      </c>
      <c r="L174" s="3" t="s">
        <v>177</v>
      </c>
      <c r="M174" s="3" t="str">
        <f t="shared" si="4"/>
        <v>Sub-saharan africa</v>
      </c>
      <c r="N174">
        <v>0</v>
      </c>
    </row>
    <row r="175" spans="1:14" ht="14.25" customHeight="1" x14ac:dyDescent="0.25">
      <c r="A175" s="2" t="s">
        <v>179</v>
      </c>
      <c r="B175" s="2" t="s">
        <v>1</v>
      </c>
      <c r="C175" t="s">
        <v>205</v>
      </c>
      <c r="L175" s="3" t="s">
        <v>178</v>
      </c>
      <c r="M175" s="3" t="str">
        <f t="shared" si="4"/>
        <v>Other Asia pacific</v>
      </c>
      <c r="N175">
        <v>10.470980000000001</v>
      </c>
    </row>
    <row r="176" spans="1:14" ht="14.25" customHeight="1" x14ac:dyDescent="0.25">
      <c r="A176" s="2" t="s">
        <v>180</v>
      </c>
      <c r="B176" s="2" t="s">
        <v>5</v>
      </c>
      <c r="C176" t="s">
        <v>208</v>
      </c>
      <c r="L176" s="3" t="s">
        <v>179</v>
      </c>
      <c r="M176" s="3" t="str">
        <f t="shared" si="4"/>
        <v>Other Asia pacific</v>
      </c>
      <c r="N176">
        <v>0.2</v>
      </c>
    </row>
    <row r="177" spans="1:14" ht="14.25" customHeight="1" x14ac:dyDescent="0.25">
      <c r="A177" s="2" t="s">
        <v>181</v>
      </c>
      <c r="B177" s="2" t="s">
        <v>13</v>
      </c>
      <c r="C177" t="s">
        <v>209</v>
      </c>
      <c r="L177" s="3" t="s">
        <v>180</v>
      </c>
      <c r="M177" s="3" t="str">
        <f t="shared" si="4"/>
        <v>Sub-saharan africa</v>
      </c>
      <c r="N177">
        <v>0</v>
      </c>
    </row>
    <row r="178" spans="1:14" ht="14.25" customHeight="1" x14ac:dyDescent="0.25">
      <c r="A178" s="2" t="s">
        <v>182</v>
      </c>
      <c r="B178" s="2" t="s">
        <v>9</v>
      </c>
      <c r="C178" t="s">
        <v>210</v>
      </c>
      <c r="L178" s="3" t="s">
        <v>181</v>
      </c>
      <c r="M178" s="3" t="str">
        <f t="shared" si="4"/>
        <v>Oceania</v>
      </c>
      <c r="N178">
        <v>0</v>
      </c>
    </row>
    <row r="179" spans="1:14" ht="14.25" customHeight="1" x14ac:dyDescent="0.25">
      <c r="A179" s="2" t="s">
        <v>183</v>
      </c>
      <c r="B179" s="2" t="s">
        <v>5</v>
      </c>
      <c r="C179" t="s">
        <v>204</v>
      </c>
      <c r="L179" s="3" t="s">
        <v>182</v>
      </c>
      <c r="M179" s="3" t="str">
        <f t="shared" si="4"/>
        <v>Other latin america</v>
      </c>
      <c r="N179">
        <v>0</v>
      </c>
    </row>
    <row r="180" spans="1:14" ht="14.25" customHeight="1" x14ac:dyDescent="0.25">
      <c r="A180" s="2" t="s">
        <v>184</v>
      </c>
      <c r="B180" s="2" t="s">
        <v>1</v>
      </c>
      <c r="C180" t="s">
        <v>203</v>
      </c>
      <c r="L180" s="3" t="s">
        <v>183</v>
      </c>
      <c r="M180" s="3" t="str">
        <f t="shared" si="4"/>
        <v>Middle east</v>
      </c>
      <c r="N180">
        <v>0</v>
      </c>
    </row>
    <row r="181" spans="1:14" ht="14.25" customHeight="1" x14ac:dyDescent="0.25">
      <c r="A181" s="2" t="s">
        <v>185</v>
      </c>
      <c r="B181" s="2" t="s">
        <v>1</v>
      </c>
      <c r="C181" t="s">
        <v>203</v>
      </c>
      <c r="L181" s="3" t="s">
        <v>184</v>
      </c>
      <c r="M181" s="3" t="str">
        <f t="shared" si="4"/>
        <v>Other eurasia</v>
      </c>
      <c r="N181">
        <v>0</v>
      </c>
    </row>
    <row r="182" spans="1:14" ht="14.25" customHeight="1" x14ac:dyDescent="0.25">
      <c r="A182" s="2" t="s">
        <v>186</v>
      </c>
      <c r="B182" s="2" t="s">
        <v>13</v>
      </c>
      <c r="C182" t="s">
        <v>209</v>
      </c>
      <c r="L182" s="3" t="s">
        <v>185</v>
      </c>
      <c r="M182" s="3" t="str">
        <f t="shared" si="4"/>
        <v>Other eurasia</v>
      </c>
      <c r="N182">
        <v>0</v>
      </c>
    </row>
    <row r="183" spans="1:14" ht="14.25" customHeight="1" x14ac:dyDescent="0.25">
      <c r="A183" s="2" t="s">
        <v>187</v>
      </c>
      <c r="B183" s="2" t="s">
        <v>5</v>
      </c>
      <c r="C183" t="s">
        <v>208</v>
      </c>
      <c r="L183" s="3" t="s">
        <v>186</v>
      </c>
      <c r="M183" s="3" t="str">
        <f t="shared" si="4"/>
        <v>Oceania</v>
      </c>
      <c r="N183">
        <v>0</v>
      </c>
    </row>
    <row r="184" spans="1:14" ht="14.25" customHeight="1" x14ac:dyDescent="0.25">
      <c r="A184" s="2" t="s">
        <v>188</v>
      </c>
      <c r="B184" s="2" t="s">
        <v>3</v>
      </c>
      <c r="C184" t="s">
        <v>203</v>
      </c>
      <c r="L184" s="3" t="s">
        <v>187</v>
      </c>
      <c r="M184" s="3" t="str">
        <f t="shared" si="4"/>
        <v>Sub-saharan africa</v>
      </c>
      <c r="N184">
        <v>0</v>
      </c>
    </row>
    <row r="185" spans="1:14" ht="14.25" customHeight="1" x14ac:dyDescent="0.25">
      <c r="A185" s="2" t="s">
        <v>189</v>
      </c>
      <c r="B185" s="2" t="s">
        <v>1</v>
      </c>
      <c r="C185" t="s">
        <v>204</v>
      </c>
      <c r="L185" s="3" t="s">
        <v>188</v>
      </c>
      <c r="M185" s="3" t="str">
        <f t="shared" si="4"/>
        <v>Other eurasia</v>
      </c>
      <c r="N185">
        <v>400</v>
      </c>
    </row>
    <row r="186" spans="1:14" ht="14.25" customHeight="1" x14ac:dyDescent="0.25">
      <c r="A186" s="2" t="s">
        <v>190</v>
      </c>
      <c r="B186" s="2" t="s">
        <v>3</v>
      </c>
      <c r="C186" t="s">
        <v>206</v>
      </c>
      <c r="L186" s="3" t="s">
        <v>189</v>
      </c>
      <c r="M186" s="3" t="str">
        <f t="shared" si="4"/>
        <v>Middle east</v>
      </c>
      <c r="N186">
        <v>25</v>
      </c>
    </row>
    <row r="187" spans="1:14" ht="14.25" customHeight="1" x14ac:dyDescent="0.25">
      <c r="A187" s="2" t="s">
        <v>191</v>
      </c>
      <c r="B187" s="2" t="s">
        <v>9</v>
      </c>
      <c r="C187" t="s">
        <v>206</v>
      </c>
      <c r="L187" s="3" t="s">
        <v>190</v>
      </c>
      <c r="M187" s="3" t="str">
        <f t="shared" si="4"/>
        <v>Country specific</v>
      </c>
      <c r="N187">
        <v>81.344399999999993</v>
      </c>
    </row>
    <row r="188" spans="1:14" ht="14.25" customHeight="1" x14ac:dyDescent="0.25">
      <c r="A188" s="2" t="s">
        <v>192</v>
      </c>
      <c r="B188" s="2" t="s">
        <v>11</v>
      </c>
      <c r="C188" t="s">
        <v>210</v>
      </c>
      <c r="L188" s="3" t="s">
        <v>191</v>
      </c>
      <c r="M188" s="3" t="str">
        <f t="shared" si="4"/>
        <v>Country specific</v>
      </c>
      <c r="N188">
        <v>3050</v>
      </c>
    </row>
    <row r="189" spans="1:14" ht="14.25" customHeight="1" x14ac:dyDescent="0.25">
      <c r="A189" s="2" t="s">
        <v>193</v>
      </c>
      <c r="B189" s="2" t="s">
        <v>1</v>
      </c>
      <c r="C189" t="s">
        <v>203</v>
      </c>
      <c r="L189" s="3" t="s">
        <v>192</v>
      </c>
      <c r="M189" s="3" t="str">
        <f t="shared" si="4"/>
        <v>Other latin america</v>
      </c>
      <c r="N189">
        <v>0</v>
      </c>
    </row>
    <row r="190" spans="1:14" ht="14.25" customHeight="1" x14ac:dyDescent="0.25">
      <c r="A190" s="2" t="s">
        <v>194</v>
      </c>
      <c r="B190" s="2" t="s">
        <v>13</v>
      </c>
      <c r="C190" t="s">
        <v>209</v>
      </c>
      <c r="L190" s="3" t="s">
        <v>193</v>
      </c>
      <c r="M190" s="3" t="str">
        <f t="shared" si="4"/>
        <v>Other eurasia</v>
      </c>
      <c r="N190">
        <v>0</v>
      </c>
    </row>
    <row r="191" spans="1:14" ht="14.25" customHeight="1" x14ac:dyDescent="0.25">
      <c r="A191" s="2" t="s">
        <v>195</v>
      </c>
      <c r="B191" s="2" t="s">
        <v>11</v>
      </c>
      <c r="C191" t="s">
        <v>210</v>
      </c>
      <c r="L191" s="3" t="s">
        <v>194</v>
      </c>
      <c r="M191" s="3" t="str">
        <f t="shared" si="4"/>
        <v>Oceania</v>
      </c>
      <c r="N191">
        <v>0</v>
      </c>
    </row>
    <row r="192" spans="1:14" ht="14.25" customHeight="1" x14ac:dyDescent="0.25">
      <c r="A192" s="2" t="s">
        <v>196</v>
      </c>
      <c r="B192" s="2" t="s">
        <v>1</v>
      </c>
      <c r="C192" t="s">
        <v>205</v>
      </c>
      <c r="L192" s="3" t="s">
        <v>195</v>
      </c>
      <c r="M192" s="3" t="str">
        <f t="shared" si="4"/>
        <v>Other latin america</v>
      </c>
      <c r="N192">
        <v>0</v>
      </c>
    </row>
    <row r="193" spans="1:14" ht="14.25" customHeight="1" x14ac:dyDescent="0.25">
      <c r="A193" s="2" t="s">
        <v>197</v>
      </c>
      <c r="B193" s="2" t="s">
        <v>1</v>
      </c>
      <c r="C193" t="s">
        <v>204</v>
      </c>
      <c r="L193" s="3" t="s">
        <v>196</v>
      </c>
      <c r="M193" s="3" t="str">
        <f t="shared" si="4"/>
        <v>Other Asia pacific</v>
      </c>
      <c r="N193">
        <v>21.738230000000001</v>
      </c>
    </row>
    <row r="194" spans="1:14" ht="14.25" customHeight="1" x14ac:dyDescent="0.25">
      <c r="A194" s="2" t="s">
        <v>198</v>
      </c>
      <c r="B194" s="2" t="s">
        <v>5</v>
      </c>
      <c r="C194" t="s">
        <v>208</v>
      </c>
      <c r="L194" s="3" t="s">
        <v>197</v>
      </c>
      <c r="M194" s="3" t="str">
        <f t="shared" si="4"/>
        <v>Middle east</v>
      </c>
      <c r="N194">
        <v>5.4695000000000001E-2</v>
      </c>
    </row>
    <row r="195" spans="1:14" ht="14.25" customHeight="1" x14ac:dyDescent="0.25">
      <c r="A195" s="2" t="s">
        <v>199</v>
      </c>
      <c r="B195" s="2" t="s">
        <v>5</v>
      </c>
      <c r="C195" t="s">
        <v>208</v>
      </c>
      <c r="L195" s="3" t="s">
        <v>198</v>
      </c>
      <c r="M195" s="3" t="str">
        <f t="shared" ref="M195:M196" si="5">VLOOKUP(L195,$A$2:$C$195,3,FALSE)</f>
        <v>Sub-saharan africa</v>
      </c>
      <c r="N195">
        <v>0</v>
      </c>
    </row>
    <row r="196" spans="1:14" ht="14.25" customHeight="1" x14ac:dyDescent="0.25">
      <c r="L196" s="3" t="s">
        <v>199</v>
      </c>
      <c r="M196" s="3" t="str">
        <f t="shared" si="5"/>
        <v>Sub-saharan africa</v>
      </c>
      <c r="N196">
        <v>0</v>
      </c>
    </row>
  </sheetData>
  <autoFilter ref="A1:C195" xr:uid="{6FF9B72F-CD1E-406D-B320-B6355EABBF62}"/>
  <dataValidations count="1">
    <dataValidation type="list" allowBlank="1" showInputMessage="1" showErrorMessage="1" sqref="C2:E195" xr:uid="{A49D2ABD-5077-4336-8B29-D470E36D7AAB}">
      <formula1>$G$2:$G$11</formula1>
    </dataValidation>
  </dataValidation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C96C0E-1334-4B78-9F65-06442B7B98DB}">
  <dimension ref="A1:DU240"/>
  <sheetViews>
    <sheetView topLeftCell="B199" workbookViewId="0">
      <selection activeCell="B199" sqref="B199"/>
    </sheetView>
  </sheetViews>
  <sheetFormatPr defaultRowHeight="15" x14ac:dyDescent="0.25"/>
  <cols>
    <col min="1" max="2" width="20.140625" customWidth="1"/>
    <col min="3" max="31" width="11.5703125" bestFit="1" customWidth="1"/>
    <col min="32" max="73" width="12.5703125" bestFit="1" customWidth="1"/>
  </cols>
  <sheetData>
    <row r="1" spans="1:73" x14ac:dyDescent="0.25">
      <c r="A1" t="s">
        <v>200</v>
      </c>
      <c r="C1">
        <f>[1]cost_table!B1</f>
        <v>2030</v>
      </c>
      <c r="D1">
        <f>[1]cost_table!C1</f>
        <v>2031</v>
      </c>
      <c r="E1">
        <f>[1]cost_table!D1</f>
        <v>2032</v>
      </c>
      <c r="F1">
        <f>[1]cost_table!E1</f>
        <v>2033</v>
      </c>
      <c r="G1">
        <f>[1]cost_table!F1</f>
        <v>2034</v>
      </c>
      <c r="H1">
        <f>[1]cost_table!G1</f>
        <v>2035</v>
      </c>
      <c r="I1">
        <f>[1]cost_table!H1</f>
        <v>2036</v>
      </c>
      <c r="J1">
        <f>[1]cost_table!I1</f>
        <v>2037</v>
      </c>
      <c r="K1">
        <f>[1]cost_table!J1</f>
        <v>2038</v>
      </c>
      <c r="L1">
        <f>[1]cost_table!K1</f>
        <v>2039</v>
      </c>
      <c r="M1">
        <f>[1]cost_table!L1</f>
        <v>2040</v>
      </c>
      <c r="N1">
        <f>[1]cost_table!M1</f>
        <v>2041</v>
      </c>
      <c r="O1">
        <f>[1]cost_table!N1</f>
        <v>2042</v>
      </c>
      <c r="P1">
        <f>[1]cost_table!O1</f>
        <v>2043</v>
      </c>
      <c r="Q1">
        <f>[1]cost_table!P1</f>
        <v>2044</v>
      </c>
      <c r="R1">
        <f>[1]cost_table!Q1</f>
        <v>2045</v>
      </c>
      <c r="S1">
        <f>[1]cost_table!R1</f>
        <v>2046</v>
      </c>
      <c r="T1">
        <f>[1]cost_table!S1</f>
        <v>2047</v>
      </c>
      <c r="U1">
        <f>[1]cost_table!T1</f>
        <v>2048</v>
      </c>
      <c r="V1">
        <f>[1]cost_table!U1</f>
        <v>2049</v>
      </c>
      <c r="W1">
        <f>[1]cost_table!V1</f>
        <v>2050</v>
      </c>
      <c r="X1">
        <f>[1]cost_table!W1</f>
        <v>2051</v>
      </c>
      <c r="Y1">
        <f>[1]cost_table!X1</f>
        <v>2052</v>
      </c>
      <c r="Z1">
        <f>[1]cost_table!Y1</f>
        <v>2053</v>
      </c>
      <c r="AA1">
        <f>[1]cost_table!Z1</f>
        <v>2054</v>
      </c>
      <c r="AB1">
        <f>[1]cost_table!AA1</f>
        <v>2055</v>
      </c>
      <c r="AC1">
        <f>[1]cost_table!AB1</f>
        <v>2056</v>
      </c>
      <c r="AD1">
        <f>[1]cost_table!AC1</f>
        <v>2057</v>
      </c>
      <c r="AE1">
        <f>[1]cost_table!AD1</f>
        <v>2058</v>
      </c>
      <c r="AF1">
        <f>[1]cost_table!AE1</f>
        <v>2059</v>
      </c>
      <c r="AG1">
        <f>[1]cost_table!AF1</f>
        <v>2060</v>
      </c>
      <c r="AH1">
        <f>[1]cost_table!AG1</f>
        <v>2061</v>
      </c>
      <c r="AI1">
        <f>[1]cost_table!AH1</f>
        <v>2062</v>
      </c>
      <c r="AJ1">
        <f>[1]cost_table!AI1</f>
        <v>2063</v>
      </c>
      <c r="AK1">
        <f>[1]cost_table!AJ1</f>
        <v>2064</v>
      </c>
      <c r="AL1">
        <f>[1]cost_table!AK1</f>
        <v>2065</v>
      </c>
      <c r="AM1">
        <f>[1]cost_table!AL1</f>
        <v>2066</v>
      </c>
      <c r="AN1">
        <f>[1]cost_table!AM1</f>
        <v>2067</v>
      </c>
      <c r="AO1">
        <f>[1]cost_table!AN1</f>
        <v>2068</v>
      </c>
      <c r="AP1">
        <f>[1]cost_table!AO1</f>
        <v>2069</v>
      </c>
      <c r="AQ1">
        <f>[1]cost_table!AP1</f>
        <v>2070</v>
      </c>
      <c r="AR1">
        <f>[1]cost_table!AQ1</f>
        <v>2071</v>
      </c>
      <c r="AS1">
        <f>[1]cost_table!AR1</f>
        <v>2072</v>
      </c>
      <c r="AT1">
        <f>[1]cost_table!AS1</f>
        <v>2073</v>
      </c>
      <c r="AU1">
        <f>[1]cost_table!AT1</f>
        <v>2074</v>
      </c>
      <c r="AV1">
        <f>[1]cost_table!AU1</f>
        <v>2075</v>
      </c>
      <c r="AW1">
        <f>[1]cost_table!AV1</f>
        <v>2076</v>
      </c>
      <c r="AX1">
        <f>[1]cost_table!AW1</f>
        <v>2077</v>
      </c>
      <c r="AY1">
        <f>[1]cost_table!AX1</f>
        <v>2078</v>
      </c>
      <c r="AZ1">
        <f>[1]cost_table!AY1</f>
        <v>2079</v>
      </c>
      <c r="BA1">
        <f>[1]cost_table!AZ1</f>
        <v>2080</v>
      </c>
      <c r="BB1">
        <f>[1]cost_table!BA1</f>
        <v>2081</v>
      </c>
      <c r="BC1">
        <f>[1]cost_table!BB1</f>
        <v>2082</v>
      </c>
      <c r="BD1">
        <f>[1]cost_table!BC1</f>
        <v>2083</v>
      </c>
      <c r="BE1">
        <f>[1]cost_table!BD1</f>
        <v>2084</v>
      </c>
      <c r="BF1">
        <f>[1]cost_table!BE1</f>
        <v>2085</v>
      </c>
      <c r="BG1">
        <f>[1]cost_table!BF1</f>
        <v>2086</v>
      </c>
      <c r="BH1">
        <f>[1]cost_table!BG1</f>
        <v>2087</v>
      </c>
      <c r="BI1">
        <f>[1]cost_table!BH1</f>
        <v>2088</v>
      </c>
      <c r="BJ1">
        <f>[1]cost_table!BI1</f>
        <v>2089</v>
      </c>
      <c r="BK1">
        <f>[1]cost_table!BJ1</f>
        <v>2090</v>
      </c>
      <c r="BL1">
        <f>[1]cost_table!BK1</f>
        <v>2091</v>
      </c>
      <c r="BM1">
        <f>[1]cost_table!BL1</f>
        <v>2092</v>
      </c>
      <c r="BN1">
        <f>[1]cost_table!BM1</f>
        <v>2093</v>
      </c>
      <c r="BO1">
        <f>[1]cost_table!BN1</f>
        <v>2094</v>
      </c>
      <c r="BP1">
        <f>[1]cost_table!BO1</f>
        <v>2095</v>
      </c>
      <c r="BQ1">
        <f>[1]cost_table!BP1</f>
        <v>2096</v>
      </c>
      <c r="BR1">
        <f>[1]cost_table!BQ1</f>
        <v>2097</v>
      </c>
      <c r="BS1">
        <f>[1]cost_table!BR1</f>
        <v>2098</v>
      </c>
      <c r="BT1">
        <f>[1]cost_table!BS1</f>
        <v>2099</v>
      </c>
      <c r="BU1">
        <f>[1]cost_table!BT1</f>
        <v>2100</v>
      </c>
    </row>
    <row r="2" spans="1:73" x14ac:dyDescent="0.25">
      <c r="A2" s="3" t="s">
        <v>0</v>
      </c>
      <c r="B2" s="3" t="str">
        <f>VLOOKUP(A2,'storage capacity'!$A$2:$C$195,3,FALSE)</f>
        <v>Middle east</v>
      </c>
      <c r="C2" s="4">
        <v>17362.933333333334</v>
      </c>
      <c r="D2" s="4">
        <v>17362.933333333334</v>
      </c>
      <c r="E2" s="4">
        <v>17362.933333333334</v>
      </c>
      <c r="F2" s="4">
        <v>17362.933333333334</v>
      </c>
      <c r="G2" s="4">
        <v>17362.933333333334</v>
      </c>
      <c r="H2" s="4">
        <v>17362.933333333334</v>
      </c>
      <c r="I2" s="4">
        <v>17362.933333333334</v>
      </c>
      <c r="J2" s="4">
        <v>17362.933333333334</v>
      </c>
      <c r="K2" s="4">
        <v>17362.933333333334</v>
      </c>
      <c r="L2" s="4">
        <v>17362.933333333334</v>
      </c>
      <c r="M2" s="4">
        <v>17362.933333333334</v>
      </c>
      <c r="N2" s="4">
        <v>17362.933333333334</v>
      </c>
      <c r="O2" s="4">
        <v>17362.933333333334</v>
      </c>
      <c r="P2" s="4">
        <v>17362.933333333334</v>
      </c>
      <c r="Q2" s="4">
        <v>17362.933333333334</v>
      </c>
      <c r="R2" s="4">
        <v>17362.933333333334</v>
      </c>
      <c r="S2" s="4">
        <v>17362.933333333334</v>
      </c>
      <c r="T2" s="4">
        <v>17362.933333333334</v>
      </c>
      <c r="U2" s="4">
        <v>17362.933333333334</v>
      </c>
      <c r="V2" s="4">
        <v>17362.933333333334</v>
      </c>
      <c r="W2" s="4">
        <v>17362.933333333334</v>
      </c>
      <c r="X2" s="4">
        <v>17362.933333333334</v>
      </c>
      <c r="Y2" s="4">
        <v>17362.933333333334</v>
      </c>
      <c r="Z2" s="4">
        <v>17362.933333333334</v>
      </c>
      <c r="AA2" s="4">
        <v>17362.933333333334</v>
      </c>
      <c r="AB2" s="4">
        <v>17362.933333333334</v>
      </c>
      <c r="AC2" s="4">
        <v>17362.933333333334</v>
      </c>
      <c r="AD2" s="4">
        <v>17362.933333333334</v>
      </c>
      <c r="AE2" s="4">
        <v>17362.933333333334</v>
      </c>
      <c r="AF2" s="4">
        <v>17362.933333333334</v>
      </c>
      <c r="AG2" s="4">
        <v>17362.933333333334</v>
      </c>
      <c r="AH2" s="4">
        <v>17362.933333333334</v>
      </c>
      <c r="AI2" s="4">
        <v>17362.933333333334</v>
      </c>
      <c r="AJ2" s="4">
        <v>17362.933333333334</v>
      </c>
      <c r="AK2" s="4">
        <v>17362.933333333334</v>
      </c>
      <c r="AL2" s="4">
        <v>17362.933333333334</v>
      </c>
      <c r="AM2" s="4">
        <v>17362.933333333334</v>
      </c>
      <c r="AN2" s="4">
        <v>17362.933333333334</v>
      </c>
      <c r="AO2" s="4">
        <v>17362.933333333334</v>
      </c>
      <c r="AP2" s="4">
        <v>17362.933333333334</v>
      </c>
      <c r="AQ2" s="4">
        <v>17362.933333333334</v>
      </c>
      <c r="AR2" s="4">
        <v>17362.933333333334</v>
      </c>
      <c r="AS2" s="4">
        <v>17362.933333333334</v>
      </c>
      <c r="AT2" s="4">
        <v>17362.933333333334</v>
      </c>
      <c r="AU2" s="4">
        <v>17362.933333333334</v>
      </c>
      <c r="AV2" s="4">
        <v>17362.933333333334</v>
      </c>
      <c r="AW2" s="4">
        <v>17362.933333333334</v>
      </c>
      <c r="AX2" s="4">
        <v>17362.933333333334</v>
      </c>
      <c r="AY2" s="4">
        <v>17362.933333333334</v>
      </c>
      <c r="AZ2" s="4">
        <v>17362.933333333334</v>
      </c>
      <c r="BA2" s="4">
        <v>17362.933333333334</v>
      </c>
      <c r="BB2" s="4">
        <v>17362.933333333334</v>
      </c>
      <c r="BC2" s="4">
        <v>17362.933333333334</v>
      </c>
      <c r="BD2" s="4">
        <v>17362.933333333334</v>
      </c>
      <c r="BE2" s="4">
        <v>17362.933333333334</v>
      </c>
      <c r="BF2" s="4">
        <v>17362.933333333334</v>
      </c>
      <c r="BG2" s="4">
        <v>17362.933333333334</v>
      </c>
      <c r="BH2" s="4">
        <v>17362.933333333334</v>
      </c>
      <c r="BI2" s="4">
        <v>17362.933333333334</v>
      </c>
      <c r="BJ2" s="4">
        <v>17362.933333333334</v>
      </c>
      <c r="BK2" s="4">
        <v>17362.933333333334</v>
      </c>
      <c r="BL2" s="4">
        <v>17362.933333333334</v>
      </c>
      <c r="BM2" s="4">
        <v>17362.933333333334</v>
      </c>
      <c r="BN2" s="4">
        <v>17362.933333333334</v>
      </c>
      <c r="BO2" s="4">
        <v>17362.933333333334</v>
      </c>
      <c r="BP2" s="4">
        <v>17362.933333333334</v>
      </c>
      <c r="BQ2" s="4">
        <v>17362.933333333334</v>
      </c>
      <c r="BR2" s="4">
        <v>17362.933333333334</v>
      </c>
      <c r="BS2" s="4">
        <v>17362.933333333334</v>
      </c>
      <c r="BT2" s="4">
        <v>17362.933333333334</v>
      </c>
      <c r="BU2" s="4">
        <v>17362.933333333334</v>
      </c>
    </row>
    <row r="3" spans="1:73" x14ac:dyDescent="0.25">
      <c r="A3" s="3" t="s">
        <v>2</v>
      </c>
      <c r="B3" s="3" t="str">
        <f>VLOOKUP(A3,'storage capacity'!$A$2:$C$195,3,FALSE)</f>
        <v>Other eurasia</v>
      </c>
      <c r="C3" s="4">
        <v>39005.533333333209</v>
      </c>
      <c r="D3" s="4">
        <v>41656.872908084035</v>
      </c>
      <c r="E3" s="4">
        <v>44460.117504437534</v>
      </c>
      <c r="F3" s="4">
        <v>47422.083914598297</v>
      </c>
      <c r="G3" s="4">
        <v>50549.785802575476</v>
      </c>
      <c r="H3" s="4">
        <v>53850.43395984589</v>
      </c>
      <c r="I3" s="4">
        <v>57331.436291860409</v>
      </c>
      <c r="J3" s="4">
        <v>61000.397528880982</v>
      </c>
      <c r="K3" s="4">
        <v>64865.118655150829</v>
      </c>
      <c r="L3" s="4">
        <v>68933.596050938533</v>
      </c>
      <c r="M3" s="4">
        <v>73214.020342556163</v>
      </c>
      <c r="N3" s="4">
        <v>77714.774956030713</v>
      </c>
      <c r="O3" s="4">
        <v>82444.434370704737</v>
      </c>
      <c r="P3" s="4">
        <v>87411.762069655146</v>
      </c>
      <c r="Q3" s="4">
        <v>92625.708184445626</v>
      </c>
      <c r="R3" s="4">
        <v>98095.406832367124</v>
      </c>
      <c r="S3" s="4">
        <v>103830.1731449698</v>
      </c>
      <c r="T3" s="4">
        <v>109839.49998734683</v>
      </c>
      <c r="U3" s="4">
        <v>116133.05436829338</v>
      </c>
      <c r="V3" s="4">
        <v>122720.67354213072</v>
      </c>
      <c r="W3" s="4">
        <v>129612.3608036548</v>
      </c>
      <c r="X3" s="4">
        <v>136818.28097833632</v>
      </c>
      <c r="Y3" s="4">
        <v>144348.75561056632</v>
      </c>
      <c r="Z3" s="4">
        <v>152214.25785340287</v>
      </c>
      <c r="AA3" s="4">
        <v>160425.40706392998</v>
      </c>
      <c r="AB3" s="4">
        <v>168992.96310898746</v>
      </c>
      <c r="AC3" s="4">
        <v>177927.82038666797</v>
      </c>
      <c r="AD3" s="4">
        <v>187241.00156960156</v>
      </c>
      <c r="AE3" s="4">
        <v>196943.65107666029</v>
      </c>
      <c r="AF3" s="4">
        <v>207047.02828031042</v>
      </c>
      <c r="AG3" s="4">
        <v>217562.50045741844</v>
      </c>
      <c r="AH3" s="4">
        <v>228501.53549187587</v>
      </c>
      <c r="AI3" s="4">
        <v>239875.69433794753</v>
      </c>
      <c r="AJ3" s="4">
        <v>251696.62325376421</v>
      </c>
      <c r="AK3" s="4">
        <v>263976.04581487499</v>
      </c>
      <c r="AL3" s="4">
        <v>276725.75471824332</v>
      </c>
      <c r="AM3" s="4">
        <v>289957.60338751547</v>
      </c>
      <c r="AN3" s="4">
        <v>303683.49739080598</v>
      </c>
      <c r="AO3" s="4">
        <v>317915.38568263431</v>
      </c>
      <c r="AP3" s="4">
        <v>332665.25168200914</v>
      </c>
      <c r="AQ3" s="4">
        <v>347945.10419898567</v>
      </c>
      <c r="AR3" s="4">
        <v>363766.96822232549</v>
      </c>
      <c r="AS3" s="4">
        <v>380142.87558115902</v>
      </c>
      <c r="AT3" s="4">
        <v>397084.85549378989</v>
      </c>
      <c r="AU3" s="4">
        <v>414604.92501699197</v>
      </c>
      <c r="AV3" s="4">
        <v>432715.07940932573</v>
      </c>
      <c r="AW3" s="4">
        <v>451427.28242214804</v>
      </c>
      <c r="AX3" s="4">
        <v>470753.45653210348</v>
      </c>
      <c r="AY3" s="4">
        <v>490705.47312896932</v>
      </c>
      <c r="AZ3" s="4">
        <v>511295.14267277787</v>
      </c>
      <c r="BA3" s="4">
        <v>532534.20483416098</v>
      </c>
      <c r="BB3" s="4">
        <v>554434.31863185123</v>
      </c>
      <c r="BC3" s="4">
        <v>577007.05258123577</v>
      </c>
      <c r="BD3" s="4">
        <v>600263.8748677877</v>
      </c>
      <c r="BE3" s="4">
        <v>624216.1435591015</v>
      </c>
      <c r="BF3" s="4">
        <v>648875.09686913318</v>
      </c>
      <c r="BG3" s="4">
        <v>674251.84348808869</v>
      </c>
      <c r="BH3" s="4">
        <v>700357.35299122438</v>
      </c>
      <c r="BI3" s="4">
        <v>727202.44633961516</v>
      </c>
      <c r="BJ3" s="4">
        <v>754797.78648571274</v>
      </c>
      <c r="BK3" s="4">
        <v>783153.86909626098</v>
      </c>
      <c r="BL3" s="4">
        <v>812281.01340485329</v>
      </c>
      <c r="BM3" s="4">
        <v>842189.35320611903</v>
      </c>
      <c r="BN3" s="4">
        <v>872888.82800320035</v>
      </c>
      <c r="BO3" s="4">
        <v>904389.17431983911</v>
      </c>
      <c r="BP3" s="4">
        <v>936699.91718803567</v>
      </c>
      <c r="BQ3" s="4">
        <v>969830.36182186101</v>
      </c>
      <c r="BR3" s="4">
        <v>1003789.5854876095</v>
      </c>
      <c r="BS3" s="4">
        <v>1038586.4295800737</v>
      </c>
      <c r="BT3" s="4">
        <v>1074229.4919142984</v>
      </c>
      <c r="BU3" s="4">
        <v>1110727.1192417366</v>
      </c>
    </row>
    <row r="4" spans="1:73" x14ac:dyDescent="0.25">
      <c r="A4" s="3" t="s">
        <v>4</v>
      </c>
      <c r="B4" s="3" t="str">
        <f>VLOOKUP(A4,'storage capacity'!$A$2:$C$195,3,FALSE)</f>
        <v>Middle east</v>
      </c>
      <c r="C4" s="4">
        <v>396513.13333333284</v>
      </c>
      <c r="D4" s="4">
        <v>428620.81099981925</v>
      </c>
      <c r="E4" s="4">
        <v>462981.3340366928</v>
      </c>
      <c r="F4" s="4">
        <v>499725.22883063636</v>
      </c>
      <c r="G4" s="4">
        <v>538988.65347714978</v>
      </c>
      <c r="H4" s="4">
        <v>580913.52292258479</v>
      </c>
      <c r="I4" s="4">
        <v>625647.63043300027</v>
      </c>
      <c r="J4" s="4">
        <v>673344.76500888914</v>
      </c>
      <c r="K4" s="4">
        <v>724164.82436381432</v>
      </c>
      <c r="L4" s="4">
        <v>778273.9230851325</v>
      </c>
      <c r="M4" s="4">
        <v>835844.49559630395</v>
      </c>
      <c r="N4" s="4">
        <v>897055.39354278625</v>
      </c>
      <c r="O4" s="4">
        <v>962091.97722722229</v>
      </c>
      <c r="P4" s="4">
        <v>1031146.2007245336</v>
      </c>
      <c r="Q4" s="4">
        <v>1104416.6903136536</v>
      </c>
      <c r="R4" s="4">
        <v>1182108.8158699416</v>
      </c>
      <c r="S4" s="4">
        <v>1264434.7548708301</v>
      </c>
      <c r="T4" s="4">
        <v>1351613.5486769301</v>
      </c>
      <c r="U4" s="4">
        <v>1443871.1507616637</v>
      </c>
      <c r="V4" s="4">
        <v>1541440.466574457</v>
      </c>
      <c r="W4" s="4">
        <v>1644561.3847355971</v>
      </c>
      <c r="X4" s="4">
        <v>1753480.7992749959</v>
      </c>
      <c r="Y4" s="4">
        <v>1868452.622642281</v>
      </c>
      <c r="Z4" s="4">
        <v>1989737.7892317842</v>
      </c>
      <c r="AA4" s="4">
        <v>2117604.2491831118</v>
      </c>
      <c r="AB4" s="4">
        <v>2252326.9522359702</v>
      </c>
      <c r="AC4" s="4">
        <v>2394187.8214367568</v>
      </c>
      <c r="AD4" s="4">
        <v>2543475.7165140519</v>
      </c>
      <c r="AE4" s="4">
        <v>2700486.386760476</v>
      </c>
      <c r="AF4" s="4">
        <v>2865522.4132793956</v>
      </c>
      <c r="AG4" s="4">
        <v>3038893.1404765393</v>
      </c>
      <c r="AH4" s="4">
        <v>3220914.5966987298</v>
      </c>
      <c r="AI4" s="4">
        <v>3411909.4039445058</v>
      </c>
      <c r="AJ4" s="4">
        <v>3612206.6765943933</v>
      </c>
      <c r="AK4" s="4">
        <v>3822141.9091318646</v>
      </c>
      <c r="AL4" s="4">
        <v>4042056.8528495668</v>
      </c>
      <c r="AM4" s="4">
        <v>4272299.3815590953</v>
      </c>
      <c r="AN4" s="4">
        <v>4513223.3463463904</v>
      </c>
      <c r="AO4" s="4">
        <v>4765188.4194386685</v>
      </c>
      <c r="AP4" s="4">
        <v>5028559.9272725498</v>
      </c>
      <c r="AQ4" s="4">
        <v>5303708.6728767073</v>
      </c>
      <c r="AR4" s="4">
        <v>5591010.7477058331</v>
      </c>
      <c r="AS4" s="4">
        <v>5890847.3330858527</v>
      </c>
      <c r="AT4" s="4">
        <v>6203604.4914532378</v>
      </c>
      <c r="AU4" s="4">
        <v>6529672.947593662</v>
      </c>
      <c r="AV4" s="4">
        <v>6869447.8601072654</v>
      </c>
      <c r="AW4" s="4">
        <v>7223328.5833492195</v>
      </c>
      <c r="AX4" s="4">
        <v>7591718.4201151505</v>
      </c>
      <c r="AY4" s="4">
        <v>7975024.365361209</v>
      </c>
      <c r="AZ4" s="4">
        <v>8373656.8412680244</v>
      </c>
      <c r="BA4" s="4">
        <v>8788029.4239765853</v>
      </c>
      <c r="BB4" s="4">
        <v>9218558.5623419881</v>
      </c>
      <c r="BC4" s="4">
        <v>9665663.2890680842</v>
      </c>
      <c r="BD4" s="4">
        <v>10129764.92460225</v>
      </c>
      <c r="BE4" s="4">
        <v>10611286.774184743</v>
      </c>
      <c r="BF4" s="4">
        <v>11110653.818461416</v>
      </c>
      <c r="BG4" s="4">
        <v>11628292.398081779</v>
      </c>
      <c r="BH4" s="4">
        <v>12164629.892716724</v>
      </c>
      <c r="BI4" s="4">
        <v>12720094.394941345</v>
      </c>
      <c r="BJ4" s="4">
        <v>13295114.379438443</v>
      </c>
      <c r="BK4" s="4">
        <v>13890118.367987322</v>
      </c>
      <c r="BL4" s="4">
        <v>14505534.590710362</v>
      </c>
      <c r="BM4" s="4">
        <v>15141790.644056728</v>
      </c>
      <c r="BN4" s="4">
        <v>15799313.146008138</v>
      </c>
      <c r="BO4" s="4">
        <v>16478527.388996307</v>
      </c>
      <c r="BP4" s="4">
        <v>17179856.991024971</v>
      </c>
      <c r="BQ4" s="4">
        <v>17903723.545491837</v>
      </c>
      <c r="BR4" s="4">
        <v>18650546.270206906</v>
      </c>
      <c r="BS4" s="4">
        <v>19420741.656103775</v>
      </c>
      <c r="BT4" s="4">
        <v>20214723.116139568</v>
      </c>
      <c r="BU4" s="4">
        <v>21032900.634877022</v>
      </c>
    </row>
    <row r="5" spans="1:73" x14ac:dyDescent="0.25">
      <c r="A5" s="3" t="s">
        <v>6</v>
      </c>
      <c r="B5" s="3" t="str">
        <f>VLOOKUP(A5,'storage capacity'!$A$2:$C$195,3,FALSE)</f>
        <v>Other eurasia</v>
      </c>
      <c r="C5" s="4">
        <v>4920.0666666666511</v>
      </c>
      <c r="D5" s="4">
        <v>5094.822927735353</v>
      </c>
      <c r="E5" s="4">
        <v>5273.9767366813467</v>
      </c>
      <c r="F5" s="4">
        <v>5457.5757554755319</v>
      </c>
      <c r="G5" s="4">
        <v>5645.6663648375015</v>
      </c>
      <c r="H5" s="4">
        <v>5838.2936238350057</v>
      </c>
      <c r="I5" s="4">
        <v>6035.5012307060815</v>
      </c>
      <c r="J5" s="4">
        <v>6237.3314849475946</v>
      </c>
      <c r="K5" s="4">
        <v>6443.8252507115712</v>
      </c>
      <c r="L5" s="4">
        <v>6655.0219215481311</v>
      </c>
      <c r="M5" s="4">
        <v>6870.9593865313545</v>
      </c>
      <c r="N5" s="4">
        <v>7091.6739978018259</v>
      </c>
      <c r="O5" s="4">
        <v>7317.2005395570368</v>
      </c>
      <c r="P5" s="4">
        <v>7547.5721985182217</v>
      </c>
      <c r="Q5" s="4">
        <v>7782.8205358996038</v>
      </c>
      <c r="R5" s="4">
        <v>8022.9754609034126</v>
      </c>
      <c r="S5" s="4">
        <v>8268.0652057614407</v>
      </c>
      <c r="T5" s="4">
        <v>8518.1163023412882</v>
      </c>
      <c r="U5" s="4">
        <v>8773.1535603328903</v>
      </c>
      <c r="V5" s="4">
        <v>9033.2000470283183</v>
      </c>
      <c r="W5" s="4">
        <v>9298.2770687053417</v>
      </c>
      <c r="X5" s="4">
        <v>9568.4041536227087</v>
      </c>
      <c r="Y5" s="4">
        <v>9843.5990366326114</v>
      </c>
      <c r="Z5" s="4">
        <v>10123.877645413399</v>
      </c>
      <c r="AA5" s="4">
        <v>10409.254088323158</v>
      </c>
      <c r="AB5" s="4">
        <v>10699.740643872472</v>
      </c>
      <c r="AC5" s="4">
        <v>10995.347751812335</v>
      </c>
      <c r="AD5" s="4">
        <v>11296.08400583098</v>
      </c>
      <c r="AE5" s="4">
        <v>11601.956147851159</v>
      </c>
      <c r="AF5" s="4">
        <v>11912.969063917315</v>
      </c>
      <c r="AG5" s="4">
        <v>12229.125781659992</v>
      </c>
      <c r="AH5" s="4">
        <v>12550.427469322847</v>
      </c>
      <c r="AI5" s="4">
        <v>12876.873436335707</v>
      </c>
      <c r="AJ5" s="4">
        <v>13208.461135415175</v>
      </c>
      <c r="AK5" s="4">
        <v>13545.186166172645</v>
      </c>
      <c r="AL5" s="4">
        <v>13887.04228020769</v>
      </c>
      <c r="AM5" s="4">
        <v>14234.021387663297</v>
      </c>
      <c r="AN5" s="4">
        <v>14586.11356521778</v>
      </c>
      <c r="AO5" s="4">
        <v>14943.307065486702</v>
      </c>
      <c r="AP5" s="4">
        <v>15305.588327806796</v>
      </c>
      <c r="AQ5" s="4">
        <v>15672.94199037247</v>
      </c>
      <c r="AR5" s="4">
        <v>16045.350903694265</v>
      </c>
      <c r="AS5" s="4">
        <v>16422.796145347453</v>
      </c>
      <c r="AT5" s="4">
        <v>16805.257035977884</v>
      </c>
      <c r="AU5" s="4">
        <v>17192.711156531132</v>
      </c>
      <c r="AV5" s="4">
        <v>17585.134366670107</v>
      </c>
      <c r="AW5" s="4">
        <v>17982.500824345381</v>
      </c>
      <c r="AX5" s="4">
        <v>18384.783006481772</v>
      </c>
      <c r="AY5" s="4">
        <v>18791.951730743931</v>
      </c>
      <c r="AZ5" s="4">
        <v>19203.976178343146</v>
      </c>
      <c r="BA5" s="4">
        <v>19620.823917846908</v>
      </c>
      <c r="BB5" s="4">
        <v>20042.460929952435</v>
      </c>
      <c r="BC5" s="4">
        <v>20468.851633184811</v>
      </c>
      <c r="BD5" s="4">
        <v>20899.958910480174</v>
      </c>
      <c r="BE5" s="4">
        <v>21335.744136614008</v>
      </c>
      <c r="BF5" s="4">
        <v>21776.167206434453</v>
      </c>
      <c r="BG5" s="4">
        <v>22221.186563860443</v>
      </c>
      <c r="BH5" s="4">
        <v>22670.759231604316</v>
      </c>
      <c r="BI5" s="4">
        <v>23124.840841578571</v>
      </c>
      <c r="BJ5" s="4">
        <v>23583.38566594656</v>
      </c>
      <c r="BK5" s="4">
        <v>24046.346648776886</v>
      </c>
      <c r="BL5" s="4">
        <v>24513.675438261536</v>
      </c>
      <c r="BM5" s="4">
        <v>24985.322419457971</v>
      </c>
      <c r="BN5" s="4">
        <v>25461.236747515613</v>
      </c>
      <c r="BO5" s="4">
        <v>25941.366381347594</v>
      </c>
      <c r="BP5" s="4">
        <v>26425.65811770887</v>
      </c>
      <c r="BQ5" s="4">
        <v>26914.057625642323</v>
      </c>
      <c r="BR5" s="4">
        <v>27406.509481254841</v>
      </c>
      <c r="BS5" s="4">
        <v>27902.957202785943</v>
      </c>
      <c r="BT5" s="4">
        <v>28403.34328593198</v>
      </c>
      <c r="BU5" s="4">
        <v>28907.60923938956</v>
      </c>
    </row>
    <row r="6" spans="1:73" x14ac:dyDescent="0.25">
      <c r="A6" s="3" t="s">
        <v>7</v>
      </c>
      <c r="B6" s="3" t="str">
        <f>VLOOKUP(A6,'storage capacity'!$A$2:$C$195,3,FALSE)</f>
        <v>Sub-saharan africa</v>
      </c>
      <c r="C6" s="4">
        <v>157107.06666666456</v>
      </c>
      <c r="D6" s="4">
        <v>165344.92060402571</v>
      </c>
      <c r="E6" s="4">
        <v>173928.02549407748</v>
      </c>
      <c r="F6" s="4">
        <v>182866.39539304326</v>
      </c>
      <c r="G6" s="4">
        <v>192170.14161033998</v>
      </c>
      <c r="H6" s="4">
        <v>201849.46624513328</v>
      </c>
      <c r="I6" s="4">
        <v>211914.655508286</v>
      </c>
      <c r="J6" s="4">
        <v>222376.0728380153</v>
      </c>
      <c r="K6" s="4">
        <v>233244.15181801608</v>
      </c>
      <c r="L6" s="4">
        <v>244529.38890723165</v>
      </c>
      <c r="M6" s="4">
        <v>256242.33599085108</v>
      </c>
      <c r="N6" s="4">
        <v>268393.59276248876</v>
      </c>
      <c r="O6" s="4">
        <v>280993.79894785321</v>
      </c>
      <c r="P6" s="4">
        <v>294053.62638053764</v>
      </c>
      <c r="Q6" s="4">
        <v>307583.7709408651</v>
      </c>
      <c r="R6" s="4">
        <v>321594.94436899474</v>
      </c>
      <c r="S6" s="4">
        <v>336097.86596374196</v>
      </c>
      <c r="T6" s="4">
        <v>351103.25417878415</v>
      </c>
      <c r="U6" s="4">
        <v>366621.8181281155</v>
      </c>
      <c r="V6" s="4">
        <v>382664.24901277694</v>
      </c>
      <c r="W6" s="4">
        <v>399241.21148102375</v>
      </c>
      <c r="X6" s="4">
        <v>416363.33493419894</v>
      </c>
      <c r="Y6" s="4">
        <v>434041.20479066123</v>
      </c>
      <c r="Z6" s="4">
        <v>452285.35372016666</v>
      </c>
      <c r="AA6" s="4">
        <v>471106.2528611265</v>
      </c>
      <c r="AB6" s="4">
        <v>490514.30303316034</v>
      </c>
      <c r="AC6" s="4">
        <v>510519.8259573325</v>
      </c>
      <c r="AD6" s="4">
        <v>531133.05549640243</v>
      </c>
      <c r="AE6" s="4">
        <v>552364.12892733596</v>
      </c>
      <c r="AF6" s="4">
        <v>574223.0782582158</v>
      </c>
      <c r="AG6" s="4">
        <v>596719.8216015551</v>
      </c>
      <c r="AH6" s="4">
        <v>619864.15461586264</v>
      </c>
      <c r="AI6" s="4">
        <v>643665.74202712299</v>
      </c>
      <c r="AJ6" s="4">
        <v>668134.10924165661</v>
      </c>
      <c r="AK6" s="4">
        <v>693278.63406159554</v>
      </c>
      <c r="AL6" s="4">
        <v>719108.53851396672</v>
      </c>
      <c r="AM6" s="4">
        <v>745632.88080411055</v>
      </c>
      <c r="AN6" s="4">
        <v>772860.54740387469</v>
      </c>
      <c r="AO6" s="4">
        <v>800800.24528472591</v>
      </c>
      <c r="AP6" s="4">
        <v>829460.49430560123</v>
      </c>
      <c r="AQ6" s="4">
        <v>858849.61976498633</v>
      </c>
      <c r="AR6" s="4">
        <v>888975.74512636079</v>
      </c>
      <c r="AS6" s="4">
        <v>919846.78492578934</v>
      </c>
      <c r="AT6" s="4">
        <v>951470.43787006207</v>
      </c>
      <c r="AU6" s="4">
        <v>983854.180133402</v>
      </c>
      <c r="AV6" s="4">
        <v>1017005.2588603649</v>
      </c>
      <c r="AW6" s="4">
        <v>1050930.6858821493</v>
      </c>
      <c r="AX6" s="4">
        <v>1085637.2316531248</v>
      </c>
      <c r="AY6" s="4">
        <v>1121131.4194139692</v>
      </c>
      <c r="AZ6" s="4">
        <v>1157419.5195873759</v>
      </c>
      <c r="BA6" s="4">
        <v>1194507.5444118727</v>
      </c>
      <c r="BB6" s="4">
        <v>1232401.2428188515</v>
      </c>
      <c r="BC6" s="4">
        <v>1271106.0955574829</v>
      </c>
      <c r="BD6" s="4">
        <v>1310627.3105717483</v>
      </c>
      <c r="BE6" s="4">
        <v>1350969.8186333885</v>
      </c>
      <c r="BF6" s="4">
        <v>1392138.2692341316</v>
      </c>
      <c r="BG6" s="4">
        <v>1434137.0267401293</v>
      </c>
      <c r="BH6" s="4">
        <v>1476970.1668111018</v>
      </c>
      <c r="BI6" s="4">
        <v>1520641.4730862586</v>
      </c>
      <c r="BJ6" s="4">
        <v>1565154.4341386436</v>
      </c>
      <c r="BK6" s="4">
        <v>1610512.2406991324</v>
      </c>
      <c r="BL6" s="4">
        <v>1656717.7831508976</v>
      </c>
      <c r="BM6" s="4">
        <v>1703773.6492947496</v>
      </c>
      <c r="BN6" s="4">
        <v>1751682.1223853652</v>
      </c>
      <c r="BO6" s="4">
        <v>1800445.1794380236</v>
      </c>
      <c r="BP6" s="4">
        <v>1850064.489805083</v>
      </c>
      <c r="BQ6" s="4">
        <v>1900541.4140210669</v>
      </c>
      <c r="BR6" s="4">
        <v>1951877.0029148562</v>
      </c>
      <c r="BS6" s="4">
        <v>2004071.9969871347</v>
      </c>
      <c r="BT6" s="4">
        <v>2057126.8260508943</v>
      </c>
      <c r="BU6" s="4">
        <v>2111041.6091324687</v>
      </c>
    </row>
    <row r="7" spans="1:73" x14ac:dyDescent="0.25">
      <c r="A7" s="3" t="s">
        <v>8</v>
      </c>
      <c r="B7" s="3" t="str">
        <f>VLOOKUP(A7,'storage capacity'!$A$2:$C$195,3,FALSE)</f>
        <v>Other latin america</v>
      </c>
      <c r="C7" s="4">
        <v>3193.0666666667094</v>
      </c>
      <c r="D7" s="4">
        <v>3393.0512739965548</v>
      </c>
      <c r="E7" s="4">
        <v>3603.4359970674022</v>
      </c>
      <c r="F7" s="4">
        <v>3824.6312413759465</v>
      </c>
      <c r="G7" s="4">
        <v>4057.0567208598586</v>
      </c>
      <c r="H7" s="4">
        <v>4301.1413557401193</v>
      </c>
      <c r="I7" s="4">
        <v>4557.3231554340846</v>
      </c>
      <c r="J7" s="4">
        <v>4826.0490864537915</v>
      </c>
      <c r="K7" s="4">
        <v>5107.7749252357389</v>
      </c>
      <c r="L7" s="4">
        <v>5402.9650958804859</v>
      </c>
      <c r="M7" s="4">
        <v>5712.0924928127797</v>
      </c>
      <c r="N7" s="4">
        <v>6035.6382884054938</v>
      </c>
      <c r="O7" s="4">
        <v>6374.0917256432876</v>
      </c>
      <c r="P7" s="4">
        <v>6727.9498959345119</v>
      </c>
      <c r="Q7" s="4">
        <v>7097.7175022123592</v>
      </c>
      <c r="R7" s="4">
        <v>7483.9066074985321</v>
      </c>
      <c r="S7" s="4">
        <v>7887.0363691346238</v>
      </c>
      <c r="T7" s="4">
        <v>8307.63275891794</v>
      </c>
      <c r="U7" s="4">
        <v>8746.2282694094902</v>
      </c>
      <c r="V7" s="4">
        <v>9203.3616067123003</v>
      </c>
      <c r="W7" s="4">
        <v>9679.5773700478894</v>
      </c>
      <c r="X7" s="4">
        <v>10175.425718487717</v>
      </c>
      <c r="Y7" s="4">
        <v>10691.462025224499</v>
      </c>
      <c r="Z7" s="4">
        <v>11228.246519795408</v>
      </c>
      <c r="AA7" s="4">
        <v>11786.343918695367</v>
      </c>
      <c r="AB7" s="4">
        <v>12366.323044843663</v>
      </c>
      <c r="AC7" s="4">
        <v>12968.75643639107</v>
      </c>
      <c r="AD7" s="4">
        <v>13594.21994537737</v>
      </c>
      <c r="AE7" s="4">
        <v>14243.292326770637</v>
      </c>
      <c r="AF7" s="4">
        <v>14916.554818439792</v>
      </c>
      <c r="AG7" s="4">
        <v>15614.590712630745</v>
      </c>
      <c r="AH7" s="4">
        <v>16337.984919533841</v>
      </c>
      <c r="AI7" s="4">
        <v>17087.323523546278</v>
      </c>
      <c r="AJ7" s="4">
        <v>17863.193332847724</v>
      </c>
      <c r="AK7" s="4">
        <v>18666.181422920305</v>
      </c>
      <c r="AL7" s="4">
        <v>19496.874674655723</v>
      </c>
      <c r="AM7" s="4">
        <v>20355.859307702191</v>
      </c>
      <c r="AN7" s="4">
        <v>21243.720409712379</v>
      </c>
      <c r="AO7" s="4">
        <v>22161.041462160436</v>
      </c>
      <c r="AP7" s="4">
        <v>23108.403863401545</v>
      </c>
      <c r="AQ7" s="4">
        <v>24086.386449651338</v>
      </c>
      <c r="AR7" s="4">
        <v>25095.565014564767</v>
      </c>
      <c r="AS7" s="4">
        <v>26136.511828094874</v>
      </c>
      <c r="AT7" s="4">
        <v>27209.795155311167</v>
      </c>
      <c r="AU7" s="4">
        <v>28315.978775855219</v>
      </c>
      <c r="AV7" s="4">
        <v>29455.621504707444</v>
      </c>
      <c r="AW7" s="4">
        <v>30629.276714933978</v>
      </c>
      <c r="AX7" s="4">
        <v>31837.491863076259</v>
      </c>
      <c r="AY7" s="4">
        <v>33080.808017838062</v>
      </c>
      <c r="AZ7" s="4">
        <v>34359.759392715809</v>
      </c>
      <c r="BA7" s="4">
        <v>35674.872883207499</v>
      </c>
      <c r="BB7" s="4">
        <v>37026.6676092243</v>
      </c>
      <c r="BC7" s="4">
        <v>38415.654463315936</v>
      </c>
      <c r="BD7" s="4">
        <v>39842.335665307321</v>
      </c>
      <c r="BE7" s="4">
        <v>41307.204323929065</v>
      </c>
      <c r="BF7" s="4">
        <v>42810.74400600839</v>
      </c>
      <c r="BG7" s="4">
        <v>44353.428313770521</v>
      </c>
      <c r="BH7" s="4">
        <v>45935.720470782515</v>
      </c>
      <c r="BI7" s="4">
        <v>47558.072917053229</v>
      </c>
      <c r="BJ7" s="4">
        <v>49220.926913783675</v>
      </c>
      <c r="BK7" s="4">
        <v>50924.712158242008</v>
      </c>
      <c r="BL7" s="4">
        <v>52669.846409216698</v>
      </c>
      <c r="BM7" s="4">
        <v>54456.735123480146</v>
      </c>
      <c r="BN7" s="4">
        <v>56285.771103673258</v>
      </c>
      <c r="BO7" s="4">
        <v>58157.334157999168</v>
      </c>
      <c r="BP7" s="4">
        <v>60071.790772091517</v>
      </c>
      <c r="BQ7" s="4">
        <v>62029.493793399997</v>
      </c>
      <c r="BR7" s="4">
        <v>64030.782128412175</v>
      </c>
      <c r="BS7" s="4">
        <v>66075.980453007287</v>
      </c>
      <c r="BT7" s="4">
        <v>68165.398936213984</v>
      </c>
      <c r="BU7" s="4">
        <v>70299.332977620128</v>
      </c>
    </row>
    <row r="8" spans="1:73" x14ac:dyDescent="0.25">
      <c r="A8" s="3" t="s">
        <v>10</v>
      </c>
      <c r="B8" s="3" t="str">
        <f>VLOOKUP(A8,'storage capacity'!$A$2:$C$195,3,FALSE)</f>
        <v>Country specific</v>
      </c>
      <c r="C8" s="4">
        <v>741024.39999999851</v>
      </c>
      <c r="D8" s="4">
        <v>769131.40033631469</v>
      </c>
      <c r="E8" s="4">
        <v>798012.76613566605</v>
      </c>
      <c r="F8" s="4">
        <v>827678.98651780898</v>
      </c>
      <c r="G8" s="4">
        <v>858140.36154721095</v>
      </c>
      <c r="H8" s="4">
        <v>889406.99323496595</v>
      </c>
      <c r="I8" s="4">
        <v>921488.77670867892</v>
      </c>
      <c r="J8" s="4">
        <v>954395.3915614523</v>
      </c>
      <c r="K8" s="4">
        <v>988136.2933907212</v>
      </c>
      <c r="L8" s="4">
        <v>1022720.7055372843</v>
      </c>
      <c r="M8" s="4">
        <v>1058157.6110344573</v>
      </c>
      <c r="N8" s="4">
        <v>1094455.7447768527</v>
      </c>
      <c r="O8" s="4">
        <v>1131623.5859178372</v>
      </c>
      <c r="P8" s="4">
        <v>1169669.3505042777</v>
      </c>
      <c r="Q8" s="4">
        <v>1208600.9843567086</v>
      </c>
      <c r="R8" s="4">
        <v>1248426.1562025924</v>
      </c>
      <c r="S8" s="4">
        <v>1289152.2510698631</v>
      </c>
      <c r="T8" s="4">
        <v>1330786.3639474513</v>
      </c>
      <c r="U8" s="4">
        <v>1373335.2937190097</v>
      </c>
      <c r="V8" s="4">
        <v>1416805.5373755523</v>
      </c>
      <c r="W8" s="4">
        <v>1461203.2845122344</v>
      </c>
      <c r="X8" s="4">
        <v>1506534.4121139955</v>
      </c>
      <c r="Y8" s="4">
        <v>1552804.4796342948</v>
      </c>
      <c r="Z8" s="4">
        <v>1600018.724370667</v>
      </c>
      <c r="AA8" s="4">
        <v>1648182.057140338</v>
      </c>
      <c r="AB8" s="4">
        <v>1697299.0582586415</v>
      </c>
      <c r="AC8" s="4">
        <v>1747373.973822494</v>
      </c>
      <c r="AD8" s="4">
        <v>1798410.7123007039</v>
      </c>
      <c r="AE8" s="4">
        <v>1850412.841432411</v>
      </c>
      <c r="AF8" s="4">
        <v>1903383.5854344838</v>
      </c>
      <c r="AG8" s="4">
        <v>1957325.8225182428</v>
      </c>
      <c r="AH8" s="4">
        <v>2012242.082715421</v>
      </c>
      <c r="AI8" s="4">
        <v>2068134.5460128295</v>
      </c>
      <c r="AJ8" s="4">
        <v>2125005.0407947628</v>
      </c>
      <c r="AK8" s="4">
        <v>2182855.042591753</v>
      </c>
      <c r="AL8" s="4">
        <v>2241685.673133872</v>
      </c>
      <c r="AM8" s="4">
        <v>2301497.6997063761</v>
      </c>
      <c r="AN8" s="4">
        <v>2362291.5348051037</v>
      </c>
      <c r="AO8" s="4">
        <v>2424067.236088655</v>
      </c>
      <c r="AP8" s="4">
        <v>2486824.5066240244</v>
      </c>
      <c r="AQ8" s="4">
        <v>2550562.69542201</v>
      </c>
      <c r="AR8" s="4">
        <v>2615280.7982583754</v>
      </c>
      <c r="AS8" s="4">
        <v>2680977.4587764405</v>
      </c>
      <c r="AT8" s="4">
        <v>2747650.9698664476</v>
      </c>
      <c r="AU8" s="4">
        <v>2815299.2753167748</v>
      </c>
      <c r="AV8" s="4">
        <v>2883919.9717317824</v>
      </c>
      <c r="AW8" s="4">
        <v>2953510.3107108194</v>
      </c>
      <c r="AX8" s="4">
        <v>3024067.2012826661</v>
      </c>
      <c r="AY8" s="4">
        <v>3095587.2125894637</v>
      </c>
      <c r="AZ8" s="4">
        <v>3168066.5768139604</v>
      </c>
      <c r="BA8" s="4">
        <v>3241501.1923436951</v>
      </c>
      <c r="BB8" s="4">
        <v>3315886.6271655671</v>
      </c>
      <c r="BC8" s="4">
        <v>3391218.1224840591</v>
      </c>
      <c r="BD8" s="4">
        <v>3467490.5965562207</v>
      </c>
      <c r="BE8" s="4">
        <v>3544698.6487363903</v>
      </c>
      <c r="BF8" s="4">
        <v>3622836.5637234878</v>
      </c>
      <c r="BG8" s="4">
        <v>3701898.3160036127</v>
      </c>
      <c r="BH8" s="4">
        <v>3781877.5744805746</v>
      </c>
      <c r="BI8" s="4">
        <v>3862767.7072868962</v>
      </c>
      <c r="BJ8" s="4">
        <v>3944561.7867677668</v>
      </c>
      <c r="BK8" s="4">
        <v>4027252.594630348</v>
      </c>
      <c r="BL8" s="4">
        <v>4110832.6272508139</v>
      </c>
      <c r="BM8" s="4">
        <v>4195294.1011314439</v>
      </c>
      <c r="BN8" s="4">
        <v>4280628.958500091</v>
      </c>
      <c r="BO8" s="4">
        <v>4366828.8730443334</v>
      </c>
      <c r="BP8" s="4">
        <v>4453885.2557726009</v>
      </c>
      <c r="BQ8" s="4">
        <v>4541789.2609946271</v>
      </c>
      <c r="BR8" s="4">
        <v>4630531.7924135458</v>
      </c>
      <c r="BS8" s="4">
        <v>4720103.5093220323</v>
      </c>
      <c r="BT8" s="4">
        <v>4810494.8328949185</v>
      </c>
      <c r="BU8" s="4">
        <v>4901695.9525707606</v>
      </c>
    </row>
    <row r="9" spans="1:73" x14ac:dyDescent="0.25">
      <c r="A9" s="3" t="s">
        <v>12</v>
      </c>
      <c r="B9" s="3" t="str">
        <f>VLOOKUP(A9,'storage capacity'!$A$2:$C$195,3,FALSE)</f>
        <v>Other eurasia</v>
      </c>
      <c r="C9" s="4">
        <v>36339.333333333023</v>
      </c>
      <c r="D9" s="4">
        <v>38810.573743823312</v>
      </c>
      <c r="E9" s="4">
        <v>41423.476813265508</v>
      </c>
      <c r="F9" s="4">
        <v>44184.404160604165</v>
      </c>
      <c r="G9" s="4">
        <v>47099.901356061018</v>
      </c>
      <c r="H9" s="4">
        <v>50176.698171350065</v>
      </c>
      <c r="I9" s="4">
        <v>53421.708578666105</v>
      </c>
      <c r="J9" s="4">
        <v>56842.030492339254</v>
      </c>
      <c r="K9" s="4">
        <v>60444.945247528936</v>
      </c>
      <c r="L9" s="4">
        <v>64237.916810832277</v>
      </c>
      <c r="M9" s="4">
        <v>68228.590718204214</v>
      </c>
      <c r="N9" s="4">
        <v>72424.792736126488</v>
      </c>
      <c r="O9" s="4">
        <v>76834.527242520038</v>
      </c>
      <c r="P9" s="4">
        <v>81465.97532446697</v>
      </c>
      <c r="Q9" s="4">
        <v>86327.492590393784</v>
      </c>
      <c r="R9" s="4">
        <v>91427.606694963513</v>
      </c>
      <c r="S9" s="4">
        <v>96775.014575531168</v>
      </c>
      <c r="T9" s="4">
        <v>102378.5793996297</v>
      </c>
      <c r="U9" s="4">
        <v>108247.32722357367</v>
      </c>
      <c r="V9" s="4">
        <v>114390.44336289042</v>
      </c>
      <c r="W9" s="4">
        <v>120817.2684759137</v>
      </c>
      <c r="X9" s="4">
        <v>127537.29436249904</v>
      </c>
      <c r="Y9" s="4">
        <v>134560.1594804436</v>
      </c>
      <c r="Z9" s="4">
        <v>141895.64418281117</v>
      </c>
      <c r="AA9" s="4">
        <v>149553.66567997661</v>
      </c>
      <c r="AB9" s="4">
        <v>157544.27273080905</v>
      </c>
      <c r="AC9" s="4">
        <v>165877.64006800915</v>
      </c>
      <c r="AD9" s="4">
        <v>174564.06256320034</v>
      </c>
      <c r="AE9" s="4">
        <v>183613.9491379458</v>
      </c>
      <c r="AF9" s="4">
        <v>193037.81642742016</v>
      </c>
      <c r="AG9" s="4">
        <v>202846.28220400595</v>
      </c>
      <c r="AH9" s="4">
        <v>213050.05856860851</v>
      </c>
      <c r="AI9" s="4">
        <v>223659.94491798751</v>
      </c>
      <c r="AJ9" s="4">
        <v>234686.82069688709</v>
      </c>
      <c r="AK9" s="4">
        <v>246141.63794420959</v>
      </c>
      <c r="AL9" s="4">
        <v>258035.41364291671</v>
      </c>
      <c r="AM9" s="4">
        <v>270379.2218837585</v>
      </c>
      <c r="AN9" s="4">
        <v>283184.18585332111</v>
      </c>
      <c r="AO9" s="4">
        <v>296461.46965724829</v>
      </c>
      <c r="AP9" s="4">
        <v>310222.26998983248</v>
      </c>
      <c r="AQ9" s="4">
        <v>324477.80766147899</v>
      </c>
      <c r="AR9" s="4">
        <v>339239.31899583375</v>
      </c>
      <c r="AS9" s="4">
        <v>354518.04710861674</v>
      </c>
      <c r="AT9" s="4">
        <v>370325.2330804313</v>
      </c>
      <c r="AU9" s="4">
        <v>386672.10703601537</v>
      </c>
      <c r="AV9" s="4">
        <v>403569.87914256839</v>
      </c>
      <c r="AW9" s="4">
        <v>421029.73053992627</v>
      </c>
      <c r="AX9" s="4">
        <v>439062.80421546398</v>
      </c>
      <c r="AY9" s="4">
        <v>457680.19583668641</v>
      </c>
      <c r="AZ9" s="4">
        <v>476892.94455451687</v>
      </c>
      <c r="BA9" s="4">
        <v>496712.0237903127</v>
      </c>
      <c r="BB9" s="4">
        <v>517148.33201963245</v>
      </c>
      <c r="BC9" s="4">
        <v>538212.68356573954</v>
      </c>
      <c r="BD9" s="4">
        <v>559915.79941576673</v>
      </c>
      <c r="BE9" s="4">
        <v>582268.2980723721</v>
      </c>
      <c r="BF9" s="4">
        <v>605280.68645360158</v>
      </c>
      <c r="BG9" s="4">
        <v>628963.35085352766</v>
      </c>
      <c r="BH9" s="4">
        <v>653326.54797606845</v>
      </c>
      <c r="BI9" s="4">
        <v>678380.39605419349</v>
      </c>
      <c r="BJ9" s="4">
        <v>704134.86606651149</v>
      </c>
      <c r="BK9" s="4">
        <v>730599.77306299238</v>
      </c>
      <c r="BL9" s="4">
        <v>757784.76761131862</v>
      </c>
      <c r="BM9" s="4">
        <v>785699.32737507694</v>
      </c>
      <c r="BN9" s="4">
        <v>814352.74883470417</v>
      </c>
      <c r="BO9" s="4">
        <v>843754.13916177931</v>
      </c>
      <c r="BP9" s="4">
        <v>873912.40825692052</v>
      </c>
      <c r="BQ9" s="4">
        <v>904836.26096119068</v>
      </c>
      <c r="BR9" s="4">
        <v>936534.18945055036</v>
      </c>
      <c r="BS9" s="4">
        <v>969014.46582251391</v>
      </c>
      <c r="BT9" s="4">
        <v>1002285.1348837714</v>
      </c>
      <c r="BU9" s="4">
        <v>1036354.0071471349</v>
      </c>
    </row>
    <row r="10" spans="1:73" x14ac:dyDescent="0.25">
      <c r="A10" s="3" t="s">
        <v>13</v>
      </c>
      <c r="B10" s="3" t="str">
        <f>VLOOKUP(A10,'storage capacity'!$A$2:$C$195,3,FALSE)</f>
        <v>Country specific</v>
      </c>
      <c r="C10" s="4">
        <v>2295761.2000000179</v>
      </c>
      <c r="D10" s="4">
        <v>2395576.6699286238</v>
      </c>
      <c r="E10" s="4">
        <v>2498690.3800777192</v>
      </c>
      <c r="F10" s="4">
        <v>2605166.9318197388</v>
      </c>
      <c r="G10" s="4">
        <v>2715070.624524489</v>
      </c>
      <c r="H10" s="4">
        <v>2828465.4020741913</v>
      </c>
      <c r="I10" s="4">
        <v>2945414.7993224086</v>
      </c>
      <c r="J10" s="4">
        <v>3065981.888572427</v>
      </c>
      <c r="K10" s="4">
        <v>3190229.2261503651</v>
      </c>
      <c r="L10" s="4">
        <v>3318218.799147842</v>
      </c>
      <c r="M10" s="4">
        <v>3450011.9724084162</v>
      </c>
      <c r="N10" s="4">
        <v>3585669.4358312539</v>
      </c>
      <c r="O10" s="4">
        <v>3725251.15206458</v>
      </c>
      <c r="P10" s="4">
        <v>3868816.3046604036</v>
      </c>
      <c r="Q10" s="4">
        <v>4016423.2467608303</v>
      </c>
      <c r="R10" s="4">
        <v>4168129.4503849382</v>
      </c>
      <c r="S10" s="4">
        <v>4323991.4563837536</v>
      </c>
      <c r="T10" s="4">
        <v>4484064.8251292845</v>
      </c>
      <c r="U10" s="4">
        <v>4648404.0880018706</v>
      </c>
      <c r="V10" s="4">
        <v>4817062.6997383274</v>
      </c>
      <c r="W10" s="4">
        <v>4990092.9917014381</v>
      </c>
      <c r="X10" s="4">
        <v>5167546.1261293618</v>
      </c>
      <c r="Y10" s="4">
        <v>5349472.0514214206</v>
      </c>
      <c r="Z10" s="4">
        <v>5535919.4585145684</v>
      </c>
      <c r="AA10" s="4">
        <v>5726935.7384025743</v>
      </c>
      <c r="AB10" s="4">
        <v>5922566.9408476427</v>
      </c>
      <c r="AC10" s="4">
        <v>6122857.7343318025</v>
      </c>
      <c r="AD10" s="4">
        <v>6327851.3672929481</v>
      </c>
      <c r="AE10" s="4">
        <v>6537589.6306879399</v>
      </c>
      <c r="AF10" s="4">
        <v>6752112.8219226003</v>
      </c>
      <c r="AG10" s="4">
        <v>6971459.7101859218</v>
      </c>
      <c r="AH10" s="4">
        <v>7195667.5032231398</v>
      </c>
      <c r="AI10" s="4">
        <v>7424771.815579758</v>
      </c>
      <c r="AJ10" s="4">
        <v>7658806.6383459214</v>
      </c>
      <c r="AK10" s="4">
        <v>7897804.3104279144</v>
      </c>
      <c r="AL10" s="4">
        <v>8141795.4913708847</v>
      </c>
      <c r="AM10" s="4">
        <v>8390809.1357542593</v>
      </c>
      <c r="AN10" s="4">
        <v>8644872.4691786394</v>
      </c>
      <c r="AO10" s="4">
        <v>8904010.9658603724</v>
      </c>
      <c r="AP10" s="4">
        <v>9168248.3278473262</v>
      </c>
      <c r="AQ10" s="4">
        <v>9437606.4658668712</v>
      </c>
      <c r="AR10" s="4">
        <v>9712105.4818144422</v>
      </c>
      <c r="AS10" s="4">
        <v>9991763.6528885718</v>
      </c>
      <c r="AT10" s="4">
        <v>10276597.417375781</v>
      </c>
      <c r="AU10" s="4">
        <v>10566621.362086261</v>
      </c>
      <c r="AV10" s="4">
        <v>10861848.211438904</v>
      </c>
      <c r="AW10" s="4">
        <v>11162288.818191832</v>
      </c>
      <c r="AX10" s="4">
        <v>11467952.155812372</v>
      </c>
      <c r="AY10" s="4">
        <v>11778845.312478086</v>
      </c>
      <c r="AZ10" s="4">
        <v>12094973.486698387</v>
      </c>
      <c r="BA10" s="4">
        <v>12416339.984544059</v>
      </c>
      <c r="BB10" s="4">
        <v>12742946.218470041</v>
      </c>
      <c r="BC10" s="4">
        <v>13074791.707714815</v>
      </c>
      <c r="BD10" s="4">
        <v>13411874.080257831</v>
      </c>
      <c r="BE10" s="4">
        <v>13754189.076314585</v>
      </c>
      <c r="BF10" s="4">
        <v>14101730.553347202</v>
      </c>
      <c r="BG10" s="4">
        <v>14454490.492566684</v>
      </c>
      <c r="BH10" s="4">
        <v>14812459.006901411</v>
      </c>
      <c r="BI10" s="4">
        <v>15175624.350404913</v>
      </c>
      <c r="BJ10" s="4">
        <v>15543972.929074522</v>
      </c>
      <c r="BK10" s="4">
        <v>15917489.313051119</v>
      </c>
      <c r="BL10" s="4">
        <v>16296156.250168942</v>
      </c>
      <c r="BM10" s="4">
        <v>16679954.680823172</v>
      </c>
      <c r="BN10" s="4">
        <v>17068863.754121918</v>
      </c>
      <c r="BO10" s="4">
        <v>17462860.845288176</v>
      </c>
      <c r="BP10" s="4">
        <v>17861921.574276358</v>
      </c>
      <c r="BQ10" s="4">
        <v>18266019.825567119</v>
      </c>
      <c r="BR10" s="4">
        <v>18675127.769103397</v>
      </c>
      <c r="BS10" s="4">
        <v>19089215.882329855</v>
      </c>
      <c r="BT10" s="4">
        <v>19508252.973297257</v>
      </c>
      <c r="BU10" s="4">
        <v>19932206.204792749</v>
      </c>
    </row>
    <row r="11" spans="1:73" x14ac:dyDescent="0.25">
      <c r="A11" s="3" t="s">
        <v>14</v>
      </c>
      <c r="B11" s="3" t="str">
        <f>VLOOKUP(A11,'storage capacity'!$A$2:$C$195,3,FALSE)</f>
        <v>Other eurasia</v>
      </c>
      <c r="C11" s="4">
        <v>671762.73333333433</v>
      </c>
      <c r="D11" s="4">
        <v>699333.44211584143</v>
      </c>
      <c r="E11" s="4">
        <v>727748.69431803213</v>
      </c>
      <c r="F11" s="4">
        <v>757022.81425720442</v>
      </c>
      <c r="G11" s="4">
        <v>787169.98602946289</v>
      </c>
      <c r="H11" s="4">
        <v>818204.24134186143</v>
      </c>
      <c r="I11" s="4">
        <v>850139.44743000984</v>
      </c>
      <c r="J11" s="4">
        <v>882989.29507769318</v>
      </c>
      <c r="K11" s="4">
        <v>916767.28675478604</v>
      </c>
      <c r="L11" s="4">
        <v>951486.72488944477</v>
      </c>
      <c r="M11" s="4">
        <v>987160.70029023639</v>
      </c>
      <c r="N11" s="4">
        <v>1023802.0807335054</v>
      </c>
      <c r="O11" s="4">
        <v>1061423.4997308988</v>
      </c>
      <c r="P11" s="4">
        <v>1100037.3454915576</v>
      </c>
      <c r="Q11" s="4">
        <v>1139655.7500930568</v>
      </c>
      <c r="R11" s="4">
        <v>1180290.5788747116</v>
      </c>
      <c r="S11" s="4">
        <v>1221953.4200664009</v>
      </c>
      <c r="T11" s="4">
        <v>1264655.5746655518</v>
      </c>
      <c r="U11" s="4">
        <v>1308408.0465744243</v>
      </c>
      <c r="V11" s="4">
        <v>1353221.5330092956</v>
      </c>
      <c r="W11" s="4">
        <v>1399106.4151926034</v>
      </c>
      <c r="X11" s="4">
        <v>1446072.7493385407</v>
      </c>
      <c r="Y11" s="4">
        <v>1494130.2579420335</v>
      </c>
      <c r="Z11" s="4">
        <v>1543288.3213804367</v>
      </c>
      <c r="AA11" s="4">
        <v>1593555.9698367061</v>
      </c>
      <c r="AB11" s="4">
        <v>1644941.8755521942</v>
      </c>
      <c r="AC11" s="4">
        <v>1697454.3454166276</v>
      </c>
      <c r="AD11" s="4">
        <v>1751101.3139021974</v>
      </c>
      <c r="AE11" s="4">
        <v>1805890.3363481029</v>
      </c>
      <c r="AF11" s="4">
        <v>1861828.5826012611</v>
      </c>
      <c r="AG11" s="4">
        <v>1918922.83101829</v>
      </c>
      <c r="AH11" s="4">
        <v>1977179.4628332625</v>
      </c>
      <c r="AI11" s="4">
        <v>2036604.4568951169</v>
      </c>
      <c r="AJ11" s="4">
        <v>2097203.3847780074</v>
      </c>
      <c r="AK11" s="4">
        <v>2158981.4062672807</v>
      </c>
      <c r="AL11" s="4">
        <v>2221943.2652231711</v>
      </c>
      <c r="AM11" s="4">
        <v>2286093.2858237172</v>
      </c>
      <c r="AN11" s="4">
        <v>2351435.3691878375</v>
      </c>
      <c r="AO11" s="4">
        <v>2417972.9903789242</v>
      </c>
      <c r="AP11" s="4">
        <v>2485709.1957887639</v>
      </c>
      <c r="AQ11" s="4">
        <v>2554646.6009010533</v>
      </c>
      <c r="AR11" s="4">
        <v>2624787.3884332306</v>
      </c>
      <c r="AS11" s="4">
        <v>2696133.3068548446</v>
      </c>
      <c r="AT11" s="4">
        <v>2768685.6692801639</v>
      </c>
      <c r="AU11" s="4">
        <v>2842445.3527322384</v>
      </c>
      <c r="AV11" s="4">
        <v>2917412.7977751573</v>
      </c>
      <c r="AW11" s="4">
        <v>2993588.0085107801</v>
      </c>
      <c r="AX11" s="4">
        <v>3070970.552935781</v>
      </c>
      <c r="AY11" s="4">
        <v>3149559.5636544116</v>
      </c>
      <c r="AZ11" s="4">
        <v>3229353.7389419847</v>
      </c>
      <c r="BA11" s="4">
        <v>3310351.3441536832</v>
      </c>
      <c r="BB11" s="4">
        <v>3392550.2134729312</v>
      </c>
      <c r="BC11" s="4">
        <v>3475947.7519932017</v>
      </c>
      <c r="BD11" s="4">
        <v>3560540.9381267983</v>
      </c>
      <c r="BE11" s="4">
        <v>3646326.3263338306</v>
      </c>
      <c r="BF11" s="4">
        <v>3733300.0501643019</v>
      </c>
      <c r="BG11" s="4">
        <v>3821457.8256059433</v>
      </c>
      <c r="BH11" s="4">
        <v>3910794.9547301615</v>
      </c>
      <c r="BI11" s="4">
        <v>4001306.3296282301</v>
      </c>
      <c r="BJ11" s="4">
        <v>4092986.4366296227</v>
      </c>
      <c r="BK11" s="4">
        <v>4185829.3607941694</v>
      </c>
      <c r="BL11" s="4">
        <v>4279828.7906695502</v>
      </c>
      <c r="BM11" s="4">
        <v>4374978.023305431</v>
      </c>
      <c r="BN11" s="4">
        <v>4471269.9695154382</v>
      </c>
      <c r="BO11" s="4">
        <v>4568697.1593779847</v>
      </c>
      <c r="BP11" s="4">
        <v>4667251.7479668818</v>
      </c>
      <c r="BQ11" s="4">
        <v>4766925.5213025315</v>
      </c>
      <c r="BR11" s="4">
        <v>4867709.9025144419</v>
      </c>
      <c r="BS11" s="4">
        <v>4969595.958205713</v>
      </c>
      <c r="BT11" s="4">
        <v>5072574.4050100967</v>
      </c>
      <c r="BU11" s="4">
        <v>5176635.6163322031</v>
      </c>
    </row>
    <row r="12" spans="1:73" x14ac:dyDescent="0.25">
      <c r="A12" s="3" t="s">
        <v>15</v>
      </c>
      <c r="B12" s="3" t="str">
        <f>VLOOKUP(A12,'storage capacity'!$A$2:$C$195,3,FALSE)</f>
        <v>Other eurasia</v>
      </c>
      <c r="C12" s="4">
        <v>99479.599999997765</v>
      </c>
      <c r="D12" s="4">
        <v>103023.26139820664</v>
      </c>
      <c r="E12" s="4">
        <v>106656.45613349981</v>
      </c>
      <c r="F12" s="4">
        <v>110380.16506052902</v>
      </c>
      <c r="G12" s="4">
        <v>114195.34310688653</v>
      </c>
      <c r="H12" s="4">
        <v>118102.91844092376</v>
      </c>
      <c r="I12" s="4">
        <v>122103.79166427534</v>
      </c>
      <c r="J12" s="4">
        <v>126198.8350299973</v>
      </c>
      <c r="K12" s="4">
        <v>130388.8916871781</v>
      </c>
      <c r="L12" s="4">
        <v>134674.77495283075</v>
      </c>
      <c r="M12" s="4">
        <v>139057.2676118224</v>
      </c>
      <c r="N12" s="4">
        <v>143537.12124554615</v>
      </c>
      <c r="O12" s="4">
        <v>148115.05558998688</v>
      </c>
      <c r="P12" s="4">
        <v>152791.7579237801</v>
      </c>
      <c r="Q12" s="4">
        <v>157567.88248680977</v>
      </c>
      <c r="R12" s="4">
        <v>162444.04992983764</v>
      </c>
      <c r="S12" s="4">
        <v>167420.84679560308</v>
      </c>
      <c r="T12" s="4">
        <v>172498.82503178023</v>
      </c>
      <c r="U12" s="4">
        <v>177678.50153612526</v>
      </c>
      <c r="V12" s="4">
        <v>182960.35773409472</v>
      </c>
      <c r="W12" s="4">
        <v>188344.83918916387</v>
      </c>
      <c r="X12" s="4">
        <v>193832.35524602176</v>
      </c>
      <c r="Y12" s="4">
        <v>199423.27870677036</v>
      </c>
      <c r="Z12" s="4">
        <v>205117.94554020313</v>
      </c>
      <c r="AA12" s="4">
        <v>210916.65462419088</v>
      </c>
      <c r="AB12" s="4">
        <v>216819.66752115331</v>
      </c>
      <c r="AC12" s="4">
        <v>222827.2082865483</v>
      </c>
      <c r="AD12" s="4">
        <v>228939.46331026332</v>
      </c>
      <c r="AE12" s="4">
        <v>235156.58119075044</v>
      </c>
      <c r="AF12" s="4">
        <v>241478.67264170034</v>
      </c>
      <c r="AG12" s="4">
        <v>247905.81043100974</v>
      </c>
      <c r="AH12" s="4">
        <v>254438.02935175438</v>
      </c>
      <c r="AI12" s="4">
        <v>261075.32622484048</v>
      </c>
      <c r="AJ12" s="4">
        <v>267817.65993296914</v>
      </c>
      <c r="AK12" s="4">
        <v>274664.95148551004</v>
      </c>
      <c r="AL12" s="4">
        <v>281617.08411384735</v>
      </c>
      <c r="AM12" s="4">
        <v>288673.90339672432</v>
      </c>
      <c r="AN12" s="4">
        <v>295835.2174150832</v>
      </c>
      <c r="AO12" s="4">
        <v>303100.79693586333</v>
      </c>
      <c r="AP12" s="4">
        <v>310470.37562419393</v>
      </c>
      <c r="AQ12" s="4">
        <v>317943.6502833885</v>
      </c>
      <c r="AR12" s="4">
        <v>325520.28112212225</v>
      </c>
      <c r="AS12" s="4">
        <v>333199.89204814954</v>
      </c>
      <c r="AT12" s="4">
        <v>340982.07098789577</v>
      </c>
      <c r="AU12" s="4">
        <v>348866.37023123621</v>
      </c>
      <c r="AV12" s="4">
        <v>356852.30680075544</v>
      </c>
      <c r="AW12" s="4">
        <v>364939.36284476292</v>
      </c>
      <c r="AX12" s="4">
        <v>373126.98605332308</v>
      </c>
      <c r="AY12" s="4">
        <v>381414.59009654413</v>
      </c>
      <c r="AZ12" s="4">
        <v>389801.55508435698</v>
      </c>
      <c r="BA12" s="4">
        <v>398287.22804700211</v>
      </c>
      <c r="BB12" s="4">
        <v>406870.92343543423</v>
      </c>
      <c r="BC12" s="4">
        <v>415551.92364084389</v>
      </c>
      <c r="BD12" s="4">
        <v>424329.47953248885</v>
      </c>
      <c r="BE12" s="4">
        <v>433202.8110130218</v>
      </c>
      <c r="BF12" s="4">
        <v>442171.10759049695</v>
      </c>
      <c r="BG12" s="4">
        <v>451233.52896623366</v>
      </c>
      <c r="BH12" s="4">
        <v>460389.20563771453</v>
      </c>
      <c r="BI12" s="4">
        <v>469637.23951569456</v>
      </c>
      <c r="BJ12" s="4">
        <v>478976.70455469831</v>
      </c>
      <c r="BK12" s="4">
        <v>488406.64739608363</v>
      </c>
      <c r="BL12" s="4">
        <v>497926.0880228543</v>
      </c>
      <c r="BM12" s="4">
        <v>507534.02042540757</v>
      </c>
      <c r="BN12" s="4">
        <v>517229.41327740724</v>
      </c>
      <c r="BO12" s="4">
        <v>527011.21062098071</v>
      </c>
      <c r="BP12" s="4">
        <v>536878.33256044344</v>
      </c>
      <c r="BQ12" s="4">
        <v>546829.67596376385</v>
      </c>
      <c r="BR12" s="4">
        <v>556864.11517099128</v>
      </c>
      <c r="BS12" s="4">
        <v>566980.50270887744</v>
      </c>
      <c r="BT12" s="4">
        <v>577177.67001093389</v>
      </c>
      <c r="BU12" s="4">
        <v>587454.42814217997</v>
      </c>
    </row>
    <row r="13" spans="1:73" x14ac:dyDescent="0.25">
      <c r="A13" s="3" t="s">
        <v>16</v>
      </c>
      <c r="B13" s="3" t="str">
        <f>VLOOKUP(A13,'storage capacity'!$A$2:$C$195,3,FALSE)</f>
        <v>Other latin america</v>
      </c>
      <c r="C13" s="4">
        <v>18922.866666666698</v>
      </c>
      <c r="D13" s="4">
        <v>19774.0236539781</v>
      </c>
      <c r="E13" s="4">
        <v>20654.571549276254</v>
      </c>
      <c r="F13" s="4">
        <v>21565.133123694017</v>
      </c>
      <c r="G13" s="4">
        <v>22506.329977260521</v>
      </c>
      <c r="H13" s="4">
        <v>23478.782035406479</v>
      </c>
      <c r="I13" s="4">
        <v>24483.107042495521</v>
      </c>
      <c r="J13" s="4">
        <v>25519.920053100839</v>
      </c>
      <c r="K13" s="4">
        <v>26589.832921748981</v>
      </c>
      <c r="L13" s="4">
        <v>27693.453791853521</v>
      </c>
      <c r="M13" s="4">
        <v>28831.386584560794</v>
      </c>
      <c r="N13" s="4">
        <v>30004.230488227618</v>
      </c>
      <c r="O13" s="4">
        <v>31212.579449247231</v>
      </c>
      <c r="P13" s="4">
        <v>32457.021664934367</v>
      </c>
      <c r="Q13" s="4">
        <v>33738.139079173823</v>
      </c>
      <c r="R13" s="4">
        <v>35056.506881528534</v>
      </c>
      <c r="S13" s="4">
        <v>36412.693010493815</v>
      </c>
      <c r="T13" s="4">
        <v>37807.257661573516</v>
      </c>
      <c r="U13" s="4">
        <v>39240.752800841532</v>
      </c>
      <c r="V13" s="4">
        <v>40713.721684639022</v>
      </c>
      <c r="W13" s="4">
        <v>42226.698386042692</v>
      </c>
      <c r="X13" s="4">
        <v>43780.207328724115</v>
      </c>
      <c r="Y13" s="4">
        <v>45374.76282880317</v>
      </c>
      <c r="Z13" s="4">
        <v>47010.868645280665</v>
      </c>
      <c r="AA13" s="4">
        <v>48689.01753961682</v>
      </c>
      <c r="AB13" s="4">
        <v>50409.690845002282</v>
      </c>
      <c r="AC13" s="4">
        <v>52173.358045848174</v>
      </c>
      <c r="AD13" s="4">
        <v>53980.476368000083</v>
      </c>
      <c r="AE13" s="4">
        <v>55831.490380159405</v>
      </c>
      <c r="AF13" s="4">
        <v>57726.831606972475</v>
      </c>
      <c r="AG13" s="4">
        <v>59666.918154225081</v>
      </c>
      <c r="AH13" s="4">
        <v>61652.15434655617</v>
      </c>
      <c r="AI13" s="4">
        <v>63682.930378080528</v>
      </c>
      <c r="AJ13" s="4">
        <v>65759.621976285838</v>
      </c>
      <c r="AK13" s="4">
        <v>67882.590079544665</v>
      </c>
      <c r="AL13" s="4">
        <v>70052.180528557015</v>
      </c>
      <c r="AM13" s="4">
        <v>72268.723772013996</v>
      </c>
      <c r="AN13" s="4">
        <v>74532.534586747555</v>
      </c>
      <c r="AO13" s="4">
        <v>76843.911812606326</v>
      </c>
      <c r="AP13" s="4">
        <v>79203.1381022719</v>
      </c>
      <c r="AQ13" s="4">
        <v>81610.479686204591</v>
      </c>
      <c r="AR13" s="4">
        <v>84066.186152882845</v>
      </c>
      <c r="AS13" s="4">
        <v>86570.490244475077</v>
      </c>
      <c r="AT13" s="4">
        <v>89123.607668057884</v>
      </c>
      <c r="AU13" s="4">
        <v>91725.736922470343</v>
      </c>
      <c r="AV13" s="4">
        <v>94377.059140869562</v>
      </c>
      <c r="AW13" s="4">
        <v>97077.737949028655</v>
      </c>
      <c r="AX13" s="4">
        <v>99827.919339395114</v>
      </c>
      <c r="AY13" s="4">
        <v>102627.73156090418</v>
      </c>
      <c r="AZ13" s="4">
        <v>105477.28502451938</v>
      </c>
      <c r="BA13" s="4">
        <v>108376.67222445003</v>
      </c>
      <c r="BB13" s="4">
        <v>111325.96767497424</v>
      </c>
      <c r="BC13" s="4">
        <v>114325.22786277493</v>
      </c>
      <c r="BD13" s="4">
        <v>117374.49121467547</v>
      </c>
      <c r="BE13" s="4">
        <v>120473.77808064256</v>
      </c>
      <c r="BF13" s="4">
        <v>123623.09073190425</v>
      </c>
      <c r="BG13" s="4">
        <v>126822.41337401276</v>
      </c>
      <c r="BH13" s="4">
        <v>130071.71217466405</v>
      </c>
      <c r="BI13" s="4">
        <v>133370.9353060688</v>
      </c>
      <c r="BJ13" s="4">
        <v>136720.01300165348</v>
      </c>
      <c r="BK13" s="4">
        <v>140118.85762685438</v>
      </c>
      <c r="BL13" s="4">
        <v>143567.36376375242</v>
      </c>
      <c r="BM13" s="4">
        <v>147065.40830928306</v>
      </c>
      <c r="BN13" s="4">
        <v>150612.85058674149</v>
      </c>
      <c r="BO13" s="4">
        <v>154209.53247029189</v>
      </c>
      <c r="BP13" s="4">
        <v>157855.27852217591</v>
      </c>
      <c r="BQ13" s="4">
        <v>161549.89614230665</v>
      </c>
      <c r="BR13" s="4">
        <v>165293.17572992251</v>
      </c>
      <c r="BS13" s="4">
        <v>169084.8908569667</v>
      </c>
      <c r="BT13" s="4">
        <v>172924.7984528488</v>
      </c>
      <c r="BU13" s="4">
        <v>176812.63900023757</v>
      </c>
    </row>
    <row r="14" spans="1:73" x14ac:dyDescent="0.25">
      <c r="A14" s="3" t="s">
        <v>17</v>
      </c>
      <c r="B14" s="3" t="str">
        <f>VLOOKUP(A14,'storage capacity'!$A$2:$C$195,3,FALSE)</f>
        <v>Middle east</v>
      </c>
      <c r="C14" s="4">
        <v>61331.399999999441</v>
      </c>
      <c r="D14" s="4">
        <v>63498.318294518307</v>
      </c>
      <c r="E14" s="4">
        <v>65719.361853082737</v>
      </c>
      <c r="F14" s="4">
        <v>67995.105739611186</v>
      </c>
      <c r="G14" s="4">
        <v>70326.109075907007</v>
      </c>
      <c r="H14" s="4">
        <v>72712.914555073308</v>
      </c>
      <c r="I14" s="4">
        <v>75156.047970176456</v>
      </c>
      <c r="J14" s="4">
        <v>77656.017758678368</v>
      </c>
      <c r="K14" s="4">
        <v>80213.314563127293</v>
      </c>
      <c r="L14" s="4">
        <v>82828.410808566463</v>
      </c>
      <c r="M14" s="4">
        <v>85501.760297088113</v>
      </c>
      <c r="N14" s="4">
        <v>88233.797819929707</v>
      </c>
      <c r="O14" s="4">
        <v>91024.938787476858</v>
      </c>
      <c r="P14" s="4">
        <v>93875.578877505977</v>
      </c>
      <c r="Q14" s="4">
        <v>96786.09370196778</v>
      </c>
      <c r="R14" s="4">
        <v>99756.838492580588</v>
      </c>
      <c r="S14" s="4">
        <v>102788.14780547081</v>
      </c>
      <c r="T14" s="4">
        <v>105880.33524506603</v>
      </c>
      <c r="U14" s="4">
        <v>109033.69320741489</v>
      </c>
      <c r="V14" s="4">
        <v>112248.49264307658</v>
      </c>
      <c r="W14" s="4">
        <v>115524.98283969144</v>
      </c>
      <c r="X14" s="4">
        <v>118863.39122431466</v>
      </c>
      <c r="Y14" s="4">
        <v>122263.92318556375</v>
      </c>
      <c r="Z14" s="4">
        <v>125726.76191560169</v>
      </c>
      <c r="AA14" s="4">
        <v>129252.06827194853</v>
      </c>
      <c r="AB14" s="4">
        <v>132839.98065908524</v>
      </c>
      <c r="AC14" s="4">
        <v>136490.6149297865</v>
      </c>
      <c r="AD14" s="4">
        <v>140204.06430609155</v>
      </c>
      <c r="AE14" s="4">
        <v>143980.39931979566</v>
      </c>
      <c r="AF14" s="4">
        <v>147819.66777231992</v>
      </c>
      <c r="AG14" s="4">
        <v>151721.89471379103</v>
      </c>
      <c r="AH14" s="4">
        <v>155687.08244113973</v>
      </c>
      <c r="AI14" s="4">
        <v>159715.21051500275</v>
      </c>
      <c r="AJ14" s="4">
        <v>163806.23579519091</v>
      </c>
      <c r="AK14" s="4">
        <v>167960.09249446477</v>
      </c>
      <c r="AL14" s="4">
        <v>172176.69225033856</v>
      </c>
      <c r="AM14" s="4">
        <v>176455.92421461316</v>
      </c>
      <c r="AN14" s="4">
        <v>180797.65516032118</v>
      </c>
      <c r="AO14" s="4">
        <v>185201.72960574832</v>
      </c>
      <c r="AP14" s="4">
        <v>189667.96995517926</v>
      </c>
      <c r="AQ14" s="4">
        <v>194196.17665600026</v>
      </c>
      <c r="AR14" s="4">
        <v>198786.12837177582</v>
      </c>
      <c r="AS14" s="4">
        <v>203437.58217090284</v>
      </c>
      <c r="AT14" s="4">
        <v>208150.27373043285</v>
      </c>
      <c r="AU14" s="4">
        <v>212923.91755464135</v>
      </c>
      <c r="AV14" s="4">
        <v>217758.20720791153</v>
      </c>
      <c r="AW14" s="4">
        <v>222652.81556149034</v>
      </c>
      <c r="AX14" s="4">
        <v>227607.39505366553</v>
      </c>
      <c r="AY14" s="4">
        <v>232621.57796290424</v>
      </c>
      <c r="AZ14" s="4">
        <v>237694.97669348613</v>
      </c>
      <c r="BA14" s="4">
        <v>242827.18407315834</v>
      </c>
      <c r="BB14" s="4">
        <v>248017.77366233346</v>
      </c>
      <c r="BC14" s="4">
        <v>253266.30007434791</v>
      </c>
      <c r="BD14" s="4">
        <v>258572.29930629377</v>
      </c>
      <c r="BE14" s="4">
        <v>263935.28907993407</v>
      </c>
      <c r="BF14" s="4">
        <v>269354.76919221075</v>
      </c>
      <c r="BG14" s="4">
        <v>274830.22187485121</v>
      </c>
      <c r="BH14" s="4">
        <v>280361.11216258135</v>
      </c>
      <c r="BI14" s="4">
        <v>285946.8882694504</v>
      </c>
      <c r="BJ14" s="4">
        <v>291586.98197277676</v>
      </c>
      <c r="BK14" s="4">
        <v>297280.80900422332</v>
      </c>
      <c r="BL14" s="4">
        <v>303027.76944751438</v>
      </c>
      <c r="BM14" s="4">
        <v>308827.24814230885</v>
      </c>
      <c r="BN14" s="4">
        <v>314678.61509374826</v>
      </c>
      <c r="BO14" s="4">
        <v>320581.22588720208</v>
      </c>
      <c r="BP14" s="4">
        <v>326534.42210773763</v>
      </c>
      <c r="BQ14" s="4">
        <v>332537.53176384704</v>
      </c>
      <c r="BR14" s="4">
        <v>338589.86971497058</v>
      </c>
      <c r="BS14" s="4">
        <v>344690.73810235976</v>
      </c>
      <c r="BT14" s="4">
        <v>350839.42678283306</v>
      </c>
      <c r="BU14" s="4">
        <v>357035.21376498259</v>
      </c>
    </row>
    <row r="15" spans="1:73" x14ac:dyDescent="0.25">
      <c r="A15" s="3" t="s">
        <v>18</v>
      </c>
      <c r="B15" s="3" t="str">
        <f>VLOOKUP(A15,'storage capacity'!$A$2:$C$195,3,FALSE)</f>
        <v>Other Asia pacific</v>
      </c>
      <c r="C15" s="4">
        <v>703874.86666665971</v>
      </c>
      <c r="D15" s="4">
        <v>734946.31116679474</v>
      </c>
      <c r="E15" s="4">
        <v>767064.92507594079</v>
      </c>
      <c r="F15" s="4">
        <v>800251.96361120755</v>
      </c>
      <c r="G15" s="4">
        <v>834528.60952112474</v>
      </c>
      <c r="H15" s="4">
        <v>869915.95565890556</v>
      </c>
      <c r="I15" s="4">
        <v>906434.98749992461</v>
      </c>
      <c r="J15" s="4">
        <v>944106.56562817981</v>
      </c>
      <c r="K15" s="4">
        <v>982951.40821649507</v>
      </c>
      <c r="L15" s="4">
        <v>1022990.0735251508</v>
      </c>
      <c r="M15" s="4">
        <v>1064242.9424435094</v>
      </c>
      <c r="N15" s="4">
        <v>1106730.2010990281</v>
      </c>
      <c r="O15" s="4">
        <v>1150471.8235578306</v>
      </c>
      <c r="P15" s="4">
        <v>1195487.5546407339</v>
      </c>
      <c r="Q15" s="4">
        <v>1241796.892878308</v>
      </c>
      <c r="R15" s="4">
        <v>1289419.0736281797</v>
      </c>
      <c r="S15" s="4">
        <v>1338373.0523773793</v>
      </c>
      <c r="T15" s="4">
        <v>1388677.4882520747</v>
      </c>
      <c r="U15" s="4">
        <v>1440350.7277565452</v>
      </c>
      <c r="V15" s="4">
        <v>1493410.788762711</v>
      </c>
      <c r="W15" s="4">
        <v>1547875.3447709649</v>
      </c>
      <c r="X15" s="4">
        <v>1603761.7094624443</v>
      </c>
      <c r="Y15" s="4">
        <v>1661086.8215622469</v>
      </c>
      <c r="Z15" s="4">
        <v>1719867.2300324196</v>
      </c>
      <c r="AA15" s="4">
        <v>1780119.0796128553</v>
      </c>
      <c r="AB15" s="4">
        <v>1841858.0967275049</v>
      </c>
      <c r="AC15" s="4">
        <v>1905099.5757725656</v>
      </c>
      <c r="AD15" s="4">
        <v>1969858.3658025346</v>
      </c>
      <c r="AE15" s="4">
        <v>2036148.8576292272</v>
      </c>
      <c r="AF15" s="4">
        <v>2103984.9713480491</v>
      </c>
      <c r="AG15" s="4">
        <v>2173380.1443049945</v>
      </c>
      <c r="AH15" s="4">
        <v>2244347.3195170006</v>
      </c>
      <c r="AI15" s="4">
        <v>2316898.9345574402</v>
      </c>
      <c r="AJ15" s="4">
        <v>2391046.9109176919</v>
      </c>
      <c r="AK15" s="4">
        <v>2466802.6438548448</v>
      </c>
      <c r="AL15" s="4">
        <v>2544176.9927347503</v>
      </c>
      <c r="AM15" s="4">
        <v>2623180.271878744</v>
      </c>
      <c r="AN15" s="4">
        <v>2703822.2419215105</v>
      </c>
      <c r="AO15" s="4">
        <v>2786112.1016866798</v>
      </c>
      <c r="AP15" s="4">
        <v>2870058.4805858913</v>
      </c>
      <c r="AQ15" s="4">
        <v>2955669.4315461987</v>
      </c>
      <c r="AR15" s="4">
        <v>3042952.4244698314</v>
      </c>
      <c r="AS15" s="4">
        <v>3131914.3402294968</v>
      </c>
      <c r="AT15" s="4">
        <v>3222561.4652015623</v>
      </c>
      <c r="AU15" s="4">
        <v>3314899.4863386392</v>
      </c>
      <c r="AV15" s="4">
        <v>3408933.4867822896</v>
      </c>
      <c r="AW15" s="4">
        <v>3504667.9420157704</v>
      </c>
      <c r="AX15" s="4">
        <v>3602106.7165559637</v>
      </c>
      <c r="AY15" s="4">
        <v>3701253.061182871</v>
      </c>
      <c r="AZ15" s="4">
        <v>3802109.6107043219</v>
      </c>
      <c r="BA15" s="4">
        <v>3904678.3822528096</v>
      </c>
      <c r="BB15" s="4">
        <v>4008960.7741106707</v>
      </c>
      <c r="BC15" s="4">
        <v>4114957.5650591552</v>
      </c>
      <c r="BD15" s="4">
        <v>4222668.9142462518</v>
      </c>
      <c r="BE15" s="4">
        <v>4332094.3615675205</v>
      </c>
      <c r="BF15" s="4">
        <v>4443232.8285535639</v>
      </c>
      <c r="BG15" s="4">
        <v>4556082.6197571727</v>
      </c>
      <c r="BH15" s="4">
        <v>4670641.4246326378</v>
      </c>
      <c r="BI15" s="4">
        <v>4786906.3198991576</v>
      </c>
      <c r="BJ15" s="4">
        <v>4904873.7723797802</v>
      </c>
      <c r="BK15" s="4">
        <v>5024539.6423068251</v>
      </c>
      <c r="BL15" s="4">
        <v>5145899.1870842557</v>
      </c>
      <c r="BM15" s="4">
        <v>5268947.0654970724</v>
      </c>
      <c r="BN15" s="4">
        <v>5393677.3423573431</v>
      </c>
      <c r="BO15" s="4">
        <v>5520083.4935761532</v>
      </c>
      <c r="BP15" s="4">
        <v>5648158.4116503643</v>
      </c>
      <c r="BQ15" s="4">
        <v>5777894.411552771</v>
      </c>
      <c r="BR15" s="4">
        <v>5909283.237013909</v>
      </c>
      <c r="BS15" s="4">
        <v>6042316.0671835411</v>
      </c>
      <c r="BT15" s="4">
        <v>6176983.5236595366</v>
      </c>
      <c r="BU15" s="4">
        <v>6313275.6778716827</v>
      </c>
    </row>
    <row r="16" spans="1:73" x14ac:dyDescent="0.25">
      <c r="A16" s="3" t="s">
        <v>19</v>
      </c>
      <c r="B16" s="3" t="str">
        <f>VLOOKUP(A16,'storage capacity'!$A$2:$C$195,3,FALSE)</f>
        <v>Other latin america</v>
      </c>
      <c r="C16" s="4">
        <v>9868.6666666667443</v>
      </c>
      <c r="D16" s="4">
        <v>10565.721641952006</v>
      </c>
      <c r="E16" s="4">
        <v>11304.54890159077</v>
      </c>
      <c r="F16" s="4">
        <v>12087.135087158966</v>
      </c>
      <c r="G16" s="4">
        <v>12915.530167263963</v>
      </c>
      <c r="H16" s="4">
        <v>13791.847835152599</v>
      </c>
      <c r="I16" s="4">
        <v>14718.265827794927</v>
      </c>
      <c r="J16" s="4">
        <v>15697.026163746601</v>
      </c>
      <c r="K16" s="4">
        <v>16730.435297228389</v>
      </c>
      <c r="L16" s="4">
        <v>17820.864186006114</v>
      </c>
      <c r="M16" s="4">
        <v>18970.748270808042</v>
      </c>
      <c r="N16" s="4">
        <v>20182.587364178744</v>
      </c>
      <c r="O16" s="4">
        <v>21458.94544683845</v>
      </c>
      <c r="P16" s="4">
        <v>22802.450369794347</v>
      </c>
      <c r="Q16" s="4">
        <v>24215.793460634439</v>
      </c>
      <c r="R16" s="4">
        <v>25701.72903262516</v>
      </c>
      <c r="S16" s="4">
        <v>27263.073795430271</v>
      </c>
      <c r="T16" s="4">
        <v>28902.706166469841</v>
      </c>
      <c r="U16" s="4">
        <v>30623.565482143957</v>
      </c>
      <c r="V16" s="4">
        <v>32428.651108355574</v>
      </c>
      <c r="W16" s="4">
        <v>34321.021449979678</v>
      </c>
      <c r="X16" s="4">
        <v>36303.792859141293</v>
      </c>
      <c r="Y16" s="4">
        <v>38380.1384423821</v>
      </c>
      <c r="Z16" s="4">
        <v>40553.286767013844</v>
      </c>
      <c r="AA16" s="4">
        <v>42826.520467175331</v>
      </c>
      <c r="AB16" s="4">
        <v>45203.174750328755</v>
      </c>
      <c r="AC16" s="4">
        <v>47686.635805148639</v>
      </c>
      <c r="AD16" s="4">
        <v>50280.339111973095</v>
      </c>
      <c r="AE16" s="4">
        <v>52987.767657201061</v>
      </c>
      <c r="AF16" s="4">
        <v>55812.450053230546</v>
      </c>
      <c r="AG16" s="4">
        <v>58757.95856574057</v>
      </c>
      <c r="AH16" s="4">
        <v>61827.907050323374</v>
      </c>
      <c r="AI16" s="4">
        <v>65025.948800672573</v>
      </c>
      <c r="AJ16" s="4">
        <v>68355.774310726571</v>
      </c>
      <c r="AK16" s="4">
        <v>71821.108953355055</v>
      </c>
      <c r="AL16" s="4">
        <v>75425.710578357946</v>
      </c>
      <c r="AM16" s="4">
        <v>79173.367032721231</v>
      </c>
      <c r="AN16" s="4">
        <v>83067.893606242142</v>
      </c>
      <c r="AO16" s="4">
        <v>87113.130405796124</v>
      </c>
      <c r="AP16" s="4">
        <v>91312.939661670127</v>
      </c>
      <c r="AQ16" s="4">
        <v>95671.202969530364</v>
      </c>
      <c r="AR16" s="4">
        <v>100191.81847172757</v>
      </c>
      <c r="AS16" s="4">
        <v>104878.69798176846</v>
      </c>
      <c r="AT16" s="4">
        <v>109735.76405589837</v>
      </c>
      <c r="AU16" s="4">
        <v>114766.94701584709</v>
      </c>
      <c r="AV16" s="4">
        <v>119976.18192688636</v>
      </c>
      <c r="AW16" s="4">
        <v>125367.40553543484</v>
      </c>
      <c r="AX16" s="4">
        <v>130944.55317052313</v>
      </c>
      <c r="AY16" s="4">
        <v>136711.5556134978</v>
      </c>
      <c r="AZ16" s="4">
        <v>142672.33594039999</v>
      </c>
      <c r="BA16" s="4">
        <v>148830.80634149988</v>
      </c>
      <c r="BB16" s="4">
        <v>155190.86492250438</v>
      </c>
      <c r="BC16" s="4">
        <v>161756.39249198025</v>
      </c>
      <c r="BD16" s="4">
        <v>168531.2493395507</v>
      </c>
      <c r="BE16" s="4">
        <v>175519.27200942772</v>
      </c>
      <c r="BF16" s="4">
        <v>182724.27007383833</v>
      </c>
      <c r="BG16" s="4">
        <v>190150.02291088755</v>
      </c>
      <c r="BH16" s="4">
        <v>197800.27649137613</v>
      </c>
      <c r="BI16" s="4">
        <v>205678.7401790579</v>
      </c>
      <c r="BJ16" s="4">
        <v>213789.08354877759</v>
      </c>
      <c r="BK16" s="4">
        <v>222134.933226878</v>
      </c>
      <c r="BL16" s="4">
        <v>230719.86975820459</v>
      </c>
      <c r="BM16" s="4">
        <v>239547.42450396559</v>
      </c>
      <c r="BN16" s="4">
        <v>248621.07657462871</v>
      </c>
      <c r="BO16" s="4">
        <v>257944.24980195001</v>
      </c>
      <c r="BP16" s="4">
        <v>267520.30975413765</v>
      </c>
      <c r="BQ16" s="4">
        <v>277352.56079805264</v>
      </c>
      <c r="BR16" s="4">
        <v>287444.2432122436</v>
      </c>
      <c r="BS16" s="4">
        <v>297798.53035449795</v>
      </c>
      <c r="BT16" s="4">
        <v>308418.52588747325</v>
      </c>
      <c r="BU16" s="4">
        <v>319307.26106584916</v>
      </c>
    </row>
    <row r="17" spans="1:73" x14ac:dyDescent="0.25">
      <c r="A17" s="3" t="s">
        <v>20</v>
      </c>
      <c r="B17" s="3" t="str">
        <f>VLOOKUP(A17,'storage capacity'!$A$2:$C$195,3,FALSE)</f>
        <v>Other eurasia</v>
      </c>
      <c r="C17" s="4">
        <v>93094.533333333209</v>
      </c>
      <c r="D17" s="4">
        <v>97831.069240747893</v>
      </c>
      <c r="E17" s="4">
        <v>102758.81904699908</v>
      </c>
      <c r="F17" s="4">
        <v>107883.0199479349</v>
      </c>
      <c r="G17" s="4">
        <v>113208.94847074561</v>
      </c>
      <c r="H17" s="4">
        <v>118741.91686844942</v>
      </c>
      <c r="I17" s="4">
        <v>124487.26941846294</v>
      </c>
      <c r="J17" s="4">
        <v>130450.37863013297</v>
      </c>
      <c r="K17" s="4">
        <v>136636.64136629849</v>
      </c>
      <c r="L17" s="4">
        <v>143051.47488412974</v>
      </c>
      <c r="M17" s="4">
        <v>149700.31280065782</v>
      </c>
      <c r="N17" s="4">
        <v>156588.600988561</v>
      </c>
      <c r="O17" s="4">
        <v>163721.79340791306</v>
      </c>
      <c r="P17" s="4">
        <v>171105.3478797249</v>
      </c>
      <c r="Q17" s="4">
        <v>178744.72180722142</v>
      </c>
      <c r="R17" s="4">
        <v>186645.36785089414</v>
      </c>
      <c r="S17" s="4">
        <v>194812.72956345251</v>
      </c>
      <c r="T17" s="4">
        <v>203252.23699086613</v>
      </c>
      <c r="U17" s="4">
        <v>211969.30224574465</v>
      </c>
      <c r="V17" s="4">
        <v>220969.31505934216</v>
      </c>
      <c r="W17" s="4">
        <v>230257.63831849943</v>
      </c>
      <c r="X17" s="4">
        <v>239839.60359384908</v>
      </c>
      <c r="Y17" s="4">
        <v>249720.50666560704</v>
      </c>
      <c r="Z17" s="4">
        <v>259905.60305325745</v>
      </c>
      <c r="AA17" s="4">
        <v>270400.10355540976</v>
      </c>
      <c r="AB17" s="4">
        <v>281209.16980606382</v>
      </c>
      <c r="AC17" s="4">
        <v>292337.90985346277</v>
      </c>
      <c r="AD17" s="4">
        <v>303791.37376764731</v>
      </c>
      <c r="AE17" s="4">
        <v>315574.54928274243</v>
      </c>
      <c r="AF17" s="4">
        <v>327692.35747991741</v>
      </c>
      <c r="AG17" s="4">
        <v>340149.64851685503</v>
      </c>
      <c r="AH17" s="4">
        <v>352951.19740945223</v>
      </c>
      <c r="AI17" s="4">
        <v>366101.69987134967</v>
      </c>
      <c r="AJ17" s="4">
        <v>379605.76821675082</v>
      </c>
      <c r="AK17" s="4">
        <v>393467.92733184859</v>
      </c>
      <c r="AL17" s="4">
        <v>407692.61072002351</v>
      </c>
      <c r="AM17" s="4">
        <v>422284.15662581398</v>
      </c>
      <c r="AN17" s="4">
        <v>437246.80424249062</v>
      </c>
      <c r="AO17" s="4">
        <v>452584.69000788912</v>
      </c>
      <c r="AP17" s="4">
        <v>468301.84399297112</v>
      </c>
      <c r="AQ17" s="4">
        <v>484402.18638739234</v>
      </c>
      <c r="AR17" s="4">
        <v>500889.52408616239</v>
      </c>
      <c r="AS17" s="4">
        <v>517767.54738127702</v>
      </c>
      <c r="AT17" s="4">
        <v>535039.82676200091</v>
      </c>
      <c r="AU17" s="4">
        <v>552709.80982726591</v>
      </c>
      <c r="AV17" s="4">
        <v>570780.81831343961</v>
      </c>
      <c r="AW17" s="4">
        <v>589256.04524050257</v>
      </c>
      <c r="AX17" s="4">
        <v>608138.55217945122</v>
      </c>
      <c r="AY17" s="4">
        <v>627431.26664352941</v>
      </c>
      <c r="AZ17" s="4">
        <v>647136.97960566438</v>
      </c>
      <c r="BA17" s="4">
        <v>667258.34314426535</v>
      </c>
      <c r="BB17" s="4">
        <v>687797.86821931833</v>
      </c>
      <c r="BC17" s="4">
        <v>708757.92258049152</v>
      </c>
      <c r="BD17" s="4">
        <v>730140.72880874178</v>
      </c>
      <c r="BE17" s="4">
        <v>751948.36249269627</v>
      </c>
      <c r="BF17" s="4">
        <v>774182.75054086361</v>
      </c>
      <c r="BG17" s="4">
        <v>796845.66963051236</v>
      </c>
      <c r="BH17" s="4">
        <v>819938.74479384476</v>
      </c>
      <c r="BI17" s="4">
        <v>843463.44814187975</v>
      </c>
      <c r="BJ17" s="4">
        <v>867421.09772625577</v>
      </c>
      <c r="BK17" s="4">
        <v>891812.8565389571</v>
      </c>
      <c r="BL17" s="4">
        <v>916639.7316497732</v>
      </c>
      <c r="BM17" s="4">
        <v>941902.57348110084</v>
      </c>
      <c r="BN17" s="4">
        <v>967602.07521951164</v>
      </c>
      <c r="BO17" s="4">
        <v>993738.77236332267</v>
      </c>
      <c r="BP17" s="4">
        <v>1020313.0424052262</v>
      </c>
      <c r="BQ17" s="4">
        <v>1047325.1046488606</v>
      </c>
      <c r="BR17" s="4">
        <v>1074775.020158038</v>
      </c>
      <c r="BS17" s="4">
        <v>1102662.6918371753</v>
      </c>
      <c r="BT17" s="4">
        <v>1130987.8646413258</v>
      </c>
      <c r="BU17" s="4">
        <v>1159750.1259140528</v>
      </c>
    </row>
    <row r="18" spans="1:73" x14ac:dyDescent="0.25">
      <c r="A18" s="3" t="s">
        <v>21</v>
      </c>
      <c r="B18" s="3" t="str">
        <f>VLOOKUP(A18,'storage capacity'!$A$2:$C$195,3,FALSE)</f>
        <v>Country specific</v>
      </c>
      <c r="C18" s="4">
        <v>810436.93333332986</v>
      </c>
      <c r="D18" s="4">
        <v>845881.38570729713</v>
      </c>
      <c r="E18" s="4">
        <v>882506.05475186848</v>
      </c>
      <c r="F18" s="4">
        <v>920334.3812807831</v>
      </c>
      <c r="G18" s="4">
        <v>959389.70810871979</v>
      </c>
      <c r="H18" s="4">
        <v>999695.26071435725</v>
      </c>
      <c r="I18" s="4">
        <v>1041274.1278670632</v>
      </c>
      <c r="J18" s="4">
        <v>1084149.2422446033</v>
      </c>
      <c r="K18" s="4">
        <v>1128343.3610691903</v>
      </c>
      <c r="L18" s="4">
        <v>1173879.0467890603</v>
      </c>
      <c r="M18" s="4">
        <v>1220778.6478325808</v>
      </c>
      <c r="N18" s="4">
        <v>1269064.2794616492</v>
      </c>
      <c r="O18" s="4">
        <v>1318757.8047508441</v>
      </c>
      <c r="P18" s="4">
        <v>1369880.8157184399</v>
      </c>
      <c r="Q18" s="4">
        <v>1422454.614634996</v>
      </c>
      <c r="R18" s="4">
        <v>1476500.1955347781</v>
      </c>
      <c r="S18" s="4">
        <v>1532038.2259547694</v>
      </c>
      <c r="T18" s="4">
        <v>1589089.0289254927</v>
      </c>
      <c r="U18" s="4">
        <v>1647672.5652372651</v>
      </c>
      <c r="V18" s="4">
        <v>1707808.4160048903</v>
      </c>
      <c r="W18" s="4">
        <v>1769515.7655531166</v>
      </c>
      <c r="X18" s="4">
        <v>1832813.3846444921</v>
      </c>
      <c r="Y18" s="4">
        <v>1897719.6140705026</v>
      </c>
      <c r="Z18" s="4">
        <v>1964252.3486261168</v>
      </c>
      <c r="AA18" s="4">
        <v>2032429.0214870544</v>
      </c>
      <c r="AB18" s="4">
        <v>2102266.5890082731</v>
      </c>
      <c r="AC18" s="4">
        <v>2173781.5159613169</v>
      </c>
      <c r="AD18" s="4">
        <v>2246989.7612272967</v>
      </c>
      <c r="AE18" s="4">
        <v>2321906.763961379</v>
      </c>
      <c r="AF18" s="4">
        <v>2398547.4302437562</v>
      </c>
      <c r="AG18" s="4">
        <v>2476926.1202311348</v>
      </c>
      <c r="AH18" s="4">
        <v>2557056.6358218617</v>
      </c>
      <c r="AI18" s="4">
        <v>2638952.2088468396</v>
      </c>
      <c r="AJ18" s="4">
        <v>2722625.4897974529</v>
      </c>
      <c r="AK18" s="4">
        <v>2808088.5371007482</v>
      </c>
      <c r="AL18" s="4">
        <v>2895352.8069511624</v>
      </c>
      <c r="AM18" s="4">
        <v>2984429.143707131</v>
      </c>
      <c r="AN18" s="4">
        <v>3075327.7708599395</v>
      </c>
      <c r="AO18" s="4">
        <v>3168058.2825812362</v>
      </c>
      <c r="AP18" s="4">
        <v>3262629.6358546657</v>
      </c>
      <c r="AQ18" s="4">
        <v>3359050.1431961409</v>
      </c>
      <c r="AR18" s="4">
        <v>3457327.4659663383</v>
      </c>
      <c r="AS18" s="4">
        <v>3557468.6082780841</v>
      </c>
      <c r="AT18" s="4">
        <v>3659479.9115003706</v>
      </c>
      <c r="AU18" s="4">
        <v>3763367.0493598771</v>
      </c>
      <c r="AV18" s="4">
        <v>3869135.0236399579</v>
      </c>
      <c r="AW18" s="4">
        <v>3976788.1604762278</v>
      </c>
      <c r="AX18" s="4">
        <v>4086330.1072470048</v>
      </c>
      <c r="AY18" s="4">
        <v>4197763.8300560797</v>
      </c>
      <c r="AZ18" s="4">
        <v>4311091.6118044453</v>
      </c>
      <c r="BA18" s="4">
        <v>4426315.0508468756</v>
      </c>
      <c r="BB18" s="4">
        <v>4543435.0602284605</v>
      </c>
      <c r="BC18" s="4">
        <v>4662451.8674954893</v>
      </c>
      <c r="BD18" s="4">
        <v>4783365.0150743676</v>
      </c>
      <c r="BE18" s="4">
        <v>4906173.3612115681</v>
      </c>
      <c r="BF18" s="4">
        <v>5030875.0814669644</v>
      </c>
      <c r="BG18" s="4">
        <v>5157467.6707522869</v>
      </c>
      <c r="BH18" s="4">
        <v>5285947.9459058177</v>
      </c>
      <c r="BI18" s="4">
        <v>5416312.0487938877</v>
      </c>
      <c r="BJ18" s="4">
        <v>5548555.4499292048</v>
      </c>
      <c r="BK18" s="4">
        <v>5682672.9525955133</v>
      </c>
      <c r="BL18" s="4">
        <v>5818658.697467613</v>
      </c>
      <c r="BM18" s="4">
        <v>5956506.1677153166</v>
      </c>
      <c r="BN18" s="4">
        <v>6096208.1945794877</v>
      </c>
      <c r="BO18" s="4">
        <v>6237756.9634079132</v>
      </c>
      <c r="BP18" s="4">
        <v>6381144.0201384146</v>
      </c>
      <c r="BQ18" s="4">
        <v>6526360.2782162214</v>
      </c>
      <c r="BR18" s="4">
        <v>6673396.0259323716</v>
      </c>
      <c r="BS18" s="4">
        <v>6822240.9341695961</v>
      </c>
      <c r="BT18" s="4">
        <v>6972884.0645418968</v>
      </c>
      <c r="BU18" s="4">
        <v>7125313.8779138047</v>
      </c>
    </row>
    <row r="19" spans="1:73" x14ac:dyDescent="0.25">
      <c r="A19" s="3" t="s">
        <v>22</v>
      </c>
      <c r="B19" s="3" t="str">
        <f>VLOOKUP(A19,'storage capacity'!$A$2:$C$195,3,FALSE)</f>
        <v>Other latin america</v>
      </c>
      <c r="C19" s="4">
        <v>4376.5333333333256</v>
      </c>
      <c r="D19" s="4">
        <v>4519.6151645864802</v>
      </c>
      <c r="E19" s="4">
        <v>4665.8971684934113</v>
      </c>
      <c r="F19" s="4">
        <v>4815.4035745359279</v>
      </c>
      <c r="G19" s="4">
        <v>4968.1575507840926</v>
      </c>
      <c r="H19" s="4">
        <v>5124.1811842501456</v>
      </c>
      <c r="I19" s="4">
        <v>5283.4954622587256</v>
      </c>
      <c r="J19" s="4">
        <v>5446.1202548486826</v>
      </c>
      <c r="K19" s="4">
        <v>5612.0742982200454</v>
      </c>
      <c r="L19" s="4">
        <v>5781.3751792379289</v>
      </c>
      <c r="M19" s="4">
        <v>5954.0393210034508</v>
      </c>
      <c r="N19" s="4">
        <v>6130.0819694999955</v>
      </c>
      <c r="O19" s="4">
        <v>6309.5171813214602</v>
      </c>
      <c r="P19" s="4">
        <v>6492.3578124874066</v>
      </c>
      <c r="Q19" s="4">
        <v>6678.6155083484282</v>
      </c>
      <c r="R19" s="4">
        <v>6868.3006945833458</v>
      </c>
      <c r="S19" s="4">
        <v>7061.4225692882901</v>
      </c>
      <c r="T19" s="4">
        <v>7257.9890961561132</v>
      </c>
      <c r="U19" s="4">
        <v>7458.0069987430616</v>
      </c>
      <c r="V19" s="4">
        <v>7661.4817558181057</v>
      </c>
      <c r="W19" s="4">
        <v>7868.4175977889008</v>
      </c>
      <c r="X19" s="4">
        <v>8078.8175041968725</v>
      </c>
      <c r="Y19" s="4">
        <v>8292.6832022725921</v>
      </c>
      <c r="Z19" s="4">
        <v>8510.0151665412432</v>
      </c>
      <c r="AA19" s="4">
        <v>8730.8126194666893</v>
      </c>
      <c r="AB19" s="4">
        <v>8955.0735331214146</v>
      </c>
      <c r="AC19" s="4">
        <v>9182.7946318684262</v>
      </c>
      <c r="AD19" s="4">
        <v>9413.9713960400404</v>
      </c>
      <c r="AE19" s="4">
        <v>9648.5980665973966</v>
      </c>
      <c r="AF19" s="4">
        <v>9886.6676507535085</v>
      </c>
      <c r="AG19" s="4">
        <v>10128.171928541635</v>
      </c>
      <c r="AH19" s="4">
        <v>10373.101460309874</v>
      </c>
      <c r="AI19" s="4">
        <v>10621.445595121942</v>
      </c>
      <c r="AJ19" s="4">
        <v>10873.192480043308</v>
      </c>
      <c r="AK19" s="4">
        <v>11128.329070291051</v>
      </c>
      <c r="AL19" s="4">
        <v>11386.841140225106</v>
      </c>
      <c r="AM19" s="4">
        <v>11648.713295157879</v>
      </c>
      <c r="AN19" s="4">
        <v>11913.928983958589</v>
      </c>
      <c r="AO19" s="4">
        <v>12182.470512428143</v>
      </c>
      <c r="AP19" s="4">
        <v>12454.319057419816</v>
      </c>
      <c r="AQ19" s="4">
        <v>12729.454681680596</v>
      </c>
      <c r="AR19" s="4">
        <v>13007.856349387541</v>
      </c>
      <c r="AS19" s="4">
        <v>13289.501942353263</v>
      </c>
      <c r="AT19" s="4">
        <v>13574.368276874242</v>
      </c>
      <c r="AU19" s="4">
        <v>13862.431121195437</v>
      </c>
      <c r="AV19" s="4">
        <v>14153.665213564467</v>
      </c>
      <c r="AW19" s="4">
        <v>14448.044280848442</v>
      </c>
      <c r="AX19" s="4">
        <v>14745.541057686403</v>
      </c>
      <c r="AY19" s="4">
        <v>15046.127306150238</v>
      </c>
      <c r="AZ19" s="4">
        <v>15349.773835886926</v>
      </c>
      <c r="BA19" s="4">
        <v>15656.450524714945</v>
      </c>
      <c r="BB19" s="4">
        <v>15966.126339647719</v>
      </c>
      <c r="BC19" s="4">
        <v>16278.769358317091</v>
      </c>
      <c r="BD19" s="4">
        <v>16594.346790769865</v>
      </c>
      <c r="BE19" s="4">
        <v>16912.825001610701</v>
      </c>
      <c r="BF19" s="4">
        <v>17234.169532464752</v>
      </c>
      <c r="BG19" s="4">
        <v>17558.345124733711</v>
      </c>
      <c r="BH19" s="4">
        <v>17885.315742619161</v>
      </c>
      <c r="BI19" s="4">
        <v>18215.044596387434</v>
      </c>
      <c r="BJ19" s="4">
        <v>18547.494165850439</v>
      </c>
      <c r="BK19" s="4">
        <v>18882.626224037373</v>
      </c>
      <c r="BL19" s="4">
        <v>19220.401861032409</v>
      </c>
      <c r="BM19" s="4">
        <v>19560.781507954078</v>
      </c>
      <c r="BN19" s="4">
        <v>19903.724961052274</v>
      </c>
      <c r="BO19" s="4">
        <v>20249.191405899357</v>
      </c>
      <c r="BP19" s="4">
        <v>20597.139441652245</v>
      </c>
      <c r="BQ19" s="4">
        <v>20947.527105362889</v>
      </c>
      <c r="BR19" s="4">
        <v>21300.311896314957</v>
      </c>
      <c r="BS19" s="4">
        <v>21655.450800365124</v>
      </c>
      <c r="BT19" s="4">
        <v>22012.900314267859</v>
      </c>
      <c r="BU19" s="4">
        <v>22372.616469963119</v>
      </c>
    </row>
    <row r="20" spans="1:73" x14ac:dyDescent="0.25">
      <c r="A20" s="3" t="s">
        <v>23</v>
      </c>
      <c r="B20" s="3" t="str">
        <f>VLOOKUP(A20,'storage capacity'!$A$2:$C$195,3,FALSE)</f>
        <v>Sub-saharan africa</v>
      </c>
      <c r="C20" s="4">
        <v>32338.066666666884</v>
      </c>
      <c r="D20" s="4">
        <v>33736.673535607646</v>
      </c>
      <c r="E20" s="4">
        <v>35181.178564006317</v>
      </c>
      <c r="F20" s="4">
        <v>36672.469499794352</v>
      </c>
      <c r="G20" s="4">
        <v>38211.42954474916</v>
      </c>
      <c r="H20" s="4">
        <v>39798.93661724127</v>
      </c>
      <c r="I20" s="4">
        <v>41435.862614754908</v>
      </c>
      <c r="J20" s="4">
        <v>43123.072677221026</v>
      </c>
      <c r="K20" s="4">
        <v>44861.42445219677</v>
      </c>
      <c r="L20" s="4">
        <v>46651.767362917853</v>
      </c>
      <c r="M20" s="4">
        <v>48494.941880240869</v>
      </c>
      <c r="N20" s="4">
        <v>50391.778799481202</v>
      </c>
      <c r="O20" s="4">
        <v>52343.09852313828</v>
      </c>
      <c r="P20" s="4">
        <v>54349.710350484827</v>
      </c>
      <c r="Q20" s="4">
        <v>56412.411774979082</v>
      </c>
      <c r="R20" s="4">
        <v>58531.987790439933</v>
      </c>
      <c r="S20" s="4">
        <v>60709.210206903983</v>
      </c>
      <c r="T20" s="4">
        <v>62944.836977061095</v>
      </c>
      <c r="U20" s="4">
        <v>65239.61153414072</v>
      </c>
      <c r="V20" s="4">
        <v>67594.262142095977</v>
      </c>
      <c r="W20" s="4">
        <v>70009.501258905308</v>
      </c>
      <c r="X20" s="4">
        <v>72486.024913783418</v>
      </c>
      <c r="Y20" s="4">
        <v>75024.512099063737</v>
      </c>
      <c r="Z20" s="4">
        <v>77625.624177484191</v>
      </c>
      <c r="AA20" s="4">
        <v>80290.00430557628</v>
      </c>
      <c r="AB20" s="4">
        <v>83018.27687382538</v>
      </c>
      <c r="AC20" s="4">
        <v>85811.04696423639</v>
      </c>
      <c r="AD20" s="4">
        <v>88668.899825905362</v>
      </c>
      <c r="AE20" s="4">
        <v>91592.400369162613</v>
      </c>
      <c r="AF20" s="4">
        <v>94582.09267881792</v>
      </c>
      <c r="AG20" s="4">
        <v>97638.499547002706</v>
      </c>
      <c r="AH20" s="4">
        <v>100762.12202606775</v>
      </c>
      <c r="AI20" s="4">
        <v>103953.4390019593</v>
      </c>
      <c r="AJ20" s="4">
        <v>107212.90678845947</v>
      </c>
      <c r="AK20" s="4">
        <v>110540.9587426403</v>
      </c>
      <c r="AL20" s="4">
        <v>113938.00490184457</v>
      </c>
      <c r="AM20" s="4">
        <v>117404.4316424696</v>
      </c>
      <c r="AN20" s="4">
        <v>120940.60136079407</v>
      </c>
      <c r="AO20" s="4">
        <v>124546.85217605166</v>
      </c>
      <c r="AP20" s="4">
        <v>128223.49765591962</v>
      </c>
      <c r="AQ20" s="4">
        <v>131970.82656455459</v>
      </c>
      <c r="AR20" s="4">
        <v>135789.10263327314</v>
      </c>
      <c r="AS20" s="4">
        <v>139678.56435394016</v>
      </c>
      <c r="AT20" s="4">
        <v>143639.42479509357</v>
      </c>
      <c r="AU20" s="4">
        <v>147671.87144080122</v>
      </c>
      <c r="AV20" s="4">
        <v>151776.06605221264</v>
      </c>
      <c r="AW20" s="4">
        <v>155952.14455173656</v>
      </c>
      <c r="AX20" s="4">
        <v>160200.21692974362</v>
      </c>
      <c r="AY20" s="4">
        <v>164520.36717366395</v>
      </c>
      <c r="AZ20" s="4">
        <v>168912.65321931898</v>
      </c>
      <c r="BA20" s="4">
        <v>173377.10692429863</v>
      </c>
      <c r="BB20" s="4">
        <v>177913.73406316785</v>
      </c>
      <c r="BC20" s="4">
        <v>182522.51434425847</v>
      </c>
      <c r="BD20" s="4">
        <v>187203.40144777778</v>
      </c>
      <c r="BE20" s="4">
        <v>191956.32308494032</v>
      </c>
      <c r="BF20" s="4">
        <v>196781.18107780503</v>
      </c>
      <c r="BG20" s="4">
        <v>201677.85145947823</v>
      </c>
      <c r="BH20" s="4">
        <v>206646.18459432077</v>
      </c>
      <c r="BI20" s="4">
        <v>211686.00531777728</v>
      </c>
      <c r="BJ20" s="4">
        <v>216797.11309542658</v>
      </c>
      <c r="BK20" s="4">
        <v>221979.28220083364</v>
      </c>
      <c r="BL20" s="4">
        <v>227232.26191176596</v>
      </c>
      <c r="BM20" s="4">
        <v>232555.77672432267</v>
      </c>
      <c r="BN20" s="4">
        <v>237949.52658450801</v>
      </c>
      <c r="BO20" s="4">
        <v>243413.18713676816</v>
      </c>
      <c r="BP20" s="4">
        <v>248946.40998899721</v>
      </c>
      <c r="BQ20" s="4">
        <v>254548.82299350691</v>
      </c>
      <c r="BR20" s="4">
        <v>260220.03054344366</v>
      </c>
      <c r="BS20" s="4">
        <v>265959.61388412717</v>
      </c>
      <c r="BT20" s="4">
        <v>271767.13143877679</v>
      </c>
      <c r="BU20" s="4">
        <v>277642.11914808425</v>
      </c>
    </row>
    <row r="21" spans="1:73" x14ac:dyDescent="0.25">
      <c r="A21" s="3" t="s">
        <v>24</v>
      </c>
      <c r="B21" s="3" t="str">
        <f>VLOOKUP(A21,'storage capacity'!$A$2:$C$195,3,FALSE)</f>
        <v>Other Asia pacific</v>
      </c>
      <c r="C21" s="4">
        <v>5162</v>
      </c>
      <c r="D21" s="4">
        <v>5544.3976637532305</v>
      </c>
      <c r="E21" s="4">
        <v>5951.0158478684416</v>
      </c>
      <c r="F21" s="4">
        <v>6383.0904374646043</v>
      </c>
      <c r="G21" s="4">
        <v>6841.9014269008812</v>
      </c>
      <c r="H21" s="4">
        <v>7328.773451998376</v>
      </c>
      <c r="I21" s="4">
        <v>7845.0762754277885</v>
      </c>
      <c r="J21" s="4">
        <v>8392.2252229257938</v>
      </c>
      <c r="K21" s="4">
        <v>8971.6815680667205</v>
      </c>
      <c r="L21" s="4">
        <v>9584.9528633875871</v>
      </c>
      <c r="M21" s="4">
        <v>10233.593215743736</v>
      </c>
      <c r="N21" s="4">
        <v>10919.203503858775</v>
      </c>
      <c r="O21" s="4">
        <v>11643.431536126329</v>
      </c>
      <c r="P21" s="4">
        <v>12407.972146821792</v>
      </c>
      <c r="Q21" s="4">
        <v>13214.567228989612</v>
      </c>
      <c r="R21" s="4">
        <v>14065.005702385375</v>
      </c>
      <c r="S21" s="4">
        <v>14961.12341497174</v>
      </c>
      <c r="T21" s="4">
        <v>15904.802976592699</v>
      </c>
      <c r="U21" s="4">
        <v>16897.973523581375</v>
      </c>
      <c r="V21" s="4">
        <v>17942.610413192233</v>
      </c>
      <c r="W21" s="4">
        <v>19040.734846888728</v>
      </c>
      <c r="X21" s="4">
        <v>20194.413421661557</v>
      </c>
      <c r="Y21" s="4">
        <v>21405.757608700525</v>
      </c>
      <c r="Z21" s="4">
        <v>22676.923158893955</v>
      </c>
      <c r="AA21" s="4">
        <v>24010.109434783131</v>
      </c>
      <c r="AB21" s="4">
        <v>25407.558668755188</v>
      </c>
      <c r="AC21" s="4">
        <v>26871.55514741522</v>
      </c>
      <c r="AD21" s="4">
        <v>28404.424322237184</v>
      </c>
      <c r="AE21" s="4">
        <v>30008.53184675259</v>
      </c>
      <c r="AF21" s="4">
        <v>31686.282540695618</v>
      </c>
      <c r="AG21" s="4">
        <v>33440.119281682702</v>
      </c>
      <c r="AH21" s="4">
        <v>35272.52182516324</v>
      </c>
      <c r="AI21" s="4">
        <v>37186.00555353552</v>
      </c>
      <c r="AJ21" s="4">
        <v>39183.120155477562</v>
      </c>
      <c r="AK21" s="4">
        <v>41266.448236696182</v>
      </c>
      <c r="AL21" s="4">
        <v>43438.603863448356</v>
      </c>
      <c r="AM21" s="4">
        <v>45702.231040336803</v>
      </c>
      <c r="AN21" s="4">
        <v>48060.002124025988</v>
      </c>
      <c r="AO21" s="4">
        <v>50514.616174665156</v>
      </c>
      <c r="AP21" s="4">
        <v>53068.797246941082</v>
      </c>
      <c r="AQ21" s="4">
        <v>55725.292622814515</v>
      </c>
      <c r="AR21" s="4">
        <v>58486.870988120922</v>
      </c>
      <c r="AS21" s="4">
        <v>61356.320555336715</v>
      </c>
      <c r="AT21" s="4">
        <v>64336.447134928079</v>
      </c>
      <c r="AU21" s="4">
        <v>67430.072157808143</v>
      </c>
      <c r="AV21" s="4">
        <v>70640.030651532099</v>
      </c>
      <c r="AW21" s="4">
        <v>73969.169172955779</v>
      </c>
      <c r="AX21" s="4">
        <v>77420.343700173937</v>
      </c>
      <c r="AY21" s="4">
        <v>80996.417486636885</v>
      </c>
      <c r="AZ21" s="4">
        <v>84700.258880420486</v>
      </c>
      <c r="BA21" s="4">
        <v>88534.739111693358</v>
      </c>
      <c r="BB21" s="4">
        <v>92502.730051486506</v>
      </c>
      <c r="BC21" s="4">
        <v>96607.101944924783</v>
      </c>
      <c r="BD21" s="4">
        <v>100850.72112212631</v>
      </c>
      <c r="BE21" s="4">
        <v>105236.44769001487</v>
      </c>
      <c r="BF21" s="4">
        <v>109767.13320832219</v>
      </c>
      <c r="BG21" s="4">
        <v>114445.61835308104</v>
      </c>
      <c r="BH21" s="4">
        <v>119274.73057092626</v>
      </c>
      <c r="BI21" s="4">
        <v>124257.2817275307</v>
      </c>
      <c r="BJ21" s="4">
        <v>129396.06575350405</v>
      </c>
      <c r="BK21" s="4">
        <v>134693.85629107762</v>
      </c>
      <c r="BL21" s="4">
        <v>140153.40434488506</v>
      </c>
      <c r="BM21" s="4">
        <v>145777.43594012962</v>
      </c>
      <c r="BN21" s="4">
        <v>151568.64979140158</v>
      </c>
      <c r="BO21" s="4">
        <v>157529.71498537672</v>
      </c>
      <c r="BP21" s="4">
        <v>163663.26868058639</v>
      </c>
      <c r="BQ21" s="4">
        <v>169971.91382740391</v>
      </c>
      <c r="BR21" s="4">
        <v>176458.21691133981</v>
      </c>
      <c r="BS21" s="4">
        <v>183124.70572268002</v>
      </c>
      <c r="BT21" s="4">
        <v>189973.86715543814</v>
      </c>
      <c r="BU21" s="4">
        <v>197008.14503852266</v>
      </c>
    </row>
    <row r="22" spans="1:73" x14ac:dyDescent="0.25">
      <c r="A22" s="3" t="s">
        <v>25</v>
      </c>
      <c r="B22" s="3" t="str">
        <f>VLOOKUP(A22,'storage capacity'!$A$2:$C$195,3,FALSE)</f>
        <v>Other latin america</v>
      </c>
      <c r="C22" s="4">
        <v>67199.199999999255</v>
      </c>
      <c r="D22" s="4">
        <v>72336.694208813686</v>
      </c>
      <c r="E22" s="4">
        <v>77811.656025423697</v>
      </c>
      <c r="F22" s="4">
        <v>83642.108906677095</v>
      </c>
      <c r="G22" s="4">
        <v>89846.766226431471</v>
      </c>
      <c r="H22" s="4">
        <v>96445.04213051741</v>
      </c>
      <c r="I22" s="4">
        <v>103457.06175062282</v>
      </c>
      <c r="J22" s="4">
        <v>110903.67073642815</v>
      </c>
      <c r="K22" s="4">
        <v>118806.444065955</v>
      </c>
      <c r="L22" s="4">
        <v>127187.69409485633</v>
      </c>
      <c r="M22" s="4">
        <v>136070.47780627233</v>
      </c>
      <c r="N22" s="4">
        <v>145478.60322390203</v>
      </c>
      <c r="O22" s="4">
        <v>155436.63495209281</v>
      </c>
      <c r="P22" s="4">
        <v>165969.89880802881</v>
      </c>
      <c r="Q22" s="4">
        <v>177104.48551249853</v>
      </c>
      <c r="R22" s="4">
        <v>188867.25340723971</v>
      </c>
      <c r="S22" s="4">
        <v>201285.83016849257</v>
      </c>
      <c r="T22" s="4">
        <v>214388.61348813435</v>
      </c>
      <c r="U22" s="4">
        <v>228204.77069561489</v>
      </c>
      <c r="V22" s="4">
        <v>242764.23729586016</v>
      </c>
      <c r="W22" s="4">
        <v>258097.71440035044</v>
      </c>
      <c r="X22" s="4">
        <v>274236.66503070784</v>
      </c>
      <c r="Y22" s="4">
        <v>291213.30927633721</v>
      </c>
      <c r="Z22" s="4">
        <v>309060.61828994774</v>
      </c>
      <c r="AA22" s="4">
        <v>327812.30710713315</v>
      </c>
      <c r="AB22" s="4">
        <v>347502.82627859933</v>
      </c>
      <c r="AC22" s="4">
        <v>368167.35230609169</v>
      </c>
      <c r="AD22" s="4">
        <v>389841.77687558188</v>
      </c>
      <c r="AE22" s="4">
        <v>412562.69488381932</v>
      </c>
      <c r="AF22" s="4">
        <v>436367.39125692594</v>
      </c>
      <c r="AG22" s="4">
        <v>461293.82656230847</v>
      </c>
      <c r="AH22" s="4">
        <v>487380.62141776911</v>
      </c>
      <c r="AI22" s="4">
        <v>514667.03970430896</v>
      </c>
      <c r="AJ22" s="4">
        <v>543192.97059172741</v>
      </c>
      <c r="AK22" s="4">
        <v>572998.90938871773</v>
      </c>
      <c r="AL22" s="4">
        <v>604125.93723173975</v>
      </c>
      <c r="AM22" s="4">
        <v>636615.69962949969</v>
      </c>
      <c r="AN22" s="4">
        <v>670510.38388238754</v>
      </c>
      <c r="AO22" s="4">
        <v>705852.69539869274</v>
      </c>
      <c r="AP22" s="4">
        <v>742685.83293185034</v>
      </c>
      <c r="AQ22" s="4">
        <v>781053.46276533371</v>
      </c>
      <c r="AR22" s="4">
        <v>820999.69187411957</v>
      </c>
      <c r="AS22" s="4">
        <v>862569.0400938876</v>
      </c>
      <c r="AT22" s="4">
        <v>905806.4113312742</v>
      </c>
      <c r="AU22" s="4">
        <v>950757.06385058502</v>
      </c>
      <c r="AV22" s="4">
        <v>997466.57967435848</v>
      </c>
      <c r="AW22" s="4">
        <v>1045980.8331370744</v>
      </c>
      <c r="AX22" s="4">
        <v>1096345.9586331048</v>
      </c>
      <c r="AY22" s="4">
        <v>1148608.3176017054</v>
      </c>
      <c r="AZ22" s="4">
        <v>1202814.464793443</v>
      </c>
      <c r="BA22" s="4">
        <v>1259011.113863938</v>
      </c>
      <c r="BB22" s="4">
        <v>1317245.1023421835</v>
      </c>
      <c r="BC22" s="4">
        <v>1377563.356021951</v>
      </c>
      <c r="BD22" s="4">
        <v>1440012.8528259483</v>
      </c>
      <c r="BE22" s="4">
        <v>1504640.5861934056</v>
      </c>
      <c r="BF22" s="4">
        <v>1571493.528042678</v>
      </c>
      <c r="BG22" s="4">
        <v>1640618.5913612272</v>
      </c>
      <c r="BH22" s="4">
        <v>1712062.5924760001</v>
      </c>
      <c r="BI22" s="4">
        <v>1785872.213057765</v>
      </c>
      <c r="BJ22" s="4">
        <v>1862093.9619133677</v>
      </c>
      <c r="BK22" s="4">
        <v>1940774.1366201595</v>
      </c>
      <c r="BL22" s="4">
        <v>2021958.7850570215</v>
      </c>
      <c r="BM22" s="4">
        <v>2105693.6668864461</v>
      </c>
      <c r="BN22" s="4">
        <v>2192024.2150420672</v>
      </c>
      <c r="BO22" s="4">
        <v>2280995.4972758424</v>
      </c>
      <c r="BP22" s="4">
        <v>2372652.1778187728</v>
      </c>
      <c r="BQ22" s="4">
        <v>2467038.4792086389</v>
      </c>
      <c r="BR22" s="4">
        <v>2564198.1443376932</v>
      </c>
      <c r="BS22" s="4">
        <v>2664174.3987726164</v>
      </c>
      <c r="BT22" s="4">
        <v>2767009.9133983012</v>
      </c>
      <c r="BU22" s="4">
        <v>2872746.76743619</v>
      </c>
    </row>
    <row r="23" spans="1:73" x14ac:dyDescent="0.25">
      <c r="A23" s="3" t="s">
        <v>26</v>
      </c>
      <c r="B23" s="3" t="str">
        <f>VLOOKUP(A23,'storage capacity'!$A$2:$C$195,3,FALSE)</f>
        <v>Other eurasia</v>
      </c>
      <c r="C23" s="4">
        <v>38487.133333333302</v>
      </c>
      <c r="D23" s="4">
        <v>40854.571966735195</v>
      </c>
      <c r="E23" s="4">
        <v>43342.506941667816</v>
      </c>
      <c r="F23" s="4">
        <v>45955.556115678104</v>
      </c>
      <c r="G23" s="4">
        <v>48698.435913327128</v>
      </c>
      <c r="H23" s="4">
        <v>51575.959931325444</v>
      </c>
      <c r="I23" s="4">
        <v>54593.037380808004</v>
      </c>
      <c r="J23" s="4">
        <v>57754.671366442271</v>
      </c>
      <c r="K23" s="4">
        <v>61065.957002412761</v>
      </c>
      <c r="L23" s="4">
        <v>64532.079365676829</v>
      </c>
      <c r="M23" s="4">
        <v>68158.31128723963</v>
      </c>
      <c r="N23" s="4">
        <v>71950.010982548847</v>
      </c>
      <c r="O23" s="4">
        <v>75912.61952246126</v>
      </c>
      <c r="P23" s="4">
        <v>80051.658146583082</v>
      </c>
      <c r="Q23" s="4">
        <v>84372.725421131676</v>
      </c>
      <c r="R23" s="4">
        <v>88881.494243808644</v>
      </c>
      <c r="S23" s="4">
        <v>93583.708698510469</v>
      </c>
      <c r="T23" s="4">
        <v>98485.180763033291</v>
      </c>
      <c r="U23" s="4">
        <v>103591.78687325148</v>
      </c>
      <c r="V23" s="4">
        <v>108909.46434756434</v>
      </c>
      <c r="W23" s="4">
        <v>114444.20767571099</v>
      </c>
      <c r="X23" s="4">
        <v>120202.06467634926</v>
      </c>
      <c r="Y23" s="4">
        <v>126189.13252807972</v>
      </c>
      <c r="Z23" s="4">
        <v>132411.55367886898</v>
      </c>
      <c r="AA23" s="4">
        <v>138875.51163908836</v>
      </c>
      <c r="AB23" s="4">
        <v>145587.22666363203</v>
      </c>
      <c r="AC23" s="4">
        <v>152552.95132881386</v>
      </c>
      <c r="AD23" s="4">
        <v>159778.96600996322</v>
      </c>
      <c r="AE23" s="4">
        <v>167271.57426584626</v>
      </c>
      <c r="AF23" s="4">
        <v>175037.09813623026</v>
      </c>
      <c r="AG23" s="4">
        <v>183081.87335908532</v>
      </c>
      <c r="AH23" s="4">
        <v>191412.2445140772</v>
      </c>
      <c r="AI23" s="4">
        <v>200034.56009914909</v>
      </c>
      <c r="AJ23" s="4">
        <v>208955.16754711908</v>
      </c>
      <c r="AK23" s="4">
        <v>218180.40818933034</v>
      </c>
      <c r="AL23" s="4">
        <v>227716.61217348636</v>
      </c>
      <c r="AM23" s="4">
        <v>237570.09334288209</v>
      </c>
      <c r="AN23" s="4">
        <v>247747.14408430294</v>
      </c>
      <c r="AO23" s="4">
        <v>258254.0301519089</v>
      </c>
      <c r="AP23" s="4">
        <v>269096.98547444941</v>
      </c>
      <c r="AQ23" s="4">
        <v>280282.20695316693</v>
      </c>
      <c r="AR23" s="4">
        <v>291815.84925774211</v>
      </c>
      <c r="AS23" s="4">
        <v>303704.01962761488</v>
      </c>
      <c r="AT23" s="4">
        <v>315952.77268597862</v>
      </c>
      <c r="AU23" s="4">
        <v>328568.10527369444</v>
      </c>
      <c r="AV23" s="4">
        <v>341555.95131030545</v>
      </c>
      <c r="AW23" s="4">
        <v>354922.17668925127</v>
      </c>
      <c r="AX23" s="4">
        <v>368672.57421428687</v>
      </c>
      <c r="AY23" s="4">
        <v>382812.8585840023</v>
      </c>
      <c r="AZ23" s="4">
        <v>397348.66143121652</v>
      </c>
      <c r="BA23" s="4">
        <v>412285.52642388555</v>
      </c>
      <c r="BB23" s="4">
        <v>427628.90443401679</v>
      </c>
      <c r="BC23" s="4">
        <v>443384.14878092386</v>
      </c>
      <c r="BD23" s="4">
        <v>459556.51055498642</v>
      </c>
      <c r="BE23" s="4">
        <v>476151.13402790029</v>
      </c>
      <c r="BF23" s="4">
        <v>493173.05215521192</v>
      </c>
      <c r="BG23" s="4">
        <v>510627.1821767349</v>
      </c>
      <c r="BH23" s="4">
        <v>528518.32132023654</v>
      </c>
      <c r="BI23" s="4">
        <v>546851.14261356881</v>
      </c>
      <c r="BJ23" s="4">
        <v>565630.1908101961</v>
      </c>
      <c r="BK23" s="4">
        <v>584859.87843284069</v>
      </c>
      <c r="BL23" s="4">
        <v>604544.48193973675</v>
      </c>
      <c r="BM23" s="4">
        <v>624688.13801773824</v>
      </c>
      <c r="BN23" s="4">
        <v>645294.84000628756</v>
      </c>
      <c r="BO23" s="4">
        <v>666368.43445599801</v>
      </c>
      <c r="BP23" s="4">
        <v>687912.61782535608</v>
      </c>
      <c r="BQ23" s="4">
        <v>709930.93331879238</v>
      </c>
      <c r="BR23" s="4">
        <v>732426.76786911592</v>
      </c>
      <c r="BS23" s="4">
        <v>755403.34926704888</v>
      </c>
      <c r="BT23" s="4">
        <v>778863.74344033923</v>
      </c>
      <c r="BU23" s="4">
        <v>802810.85188467288</v>
      </c>
    </row>
    <row r="24" spans="1:73" x14ac:dyDescent="0.25">
      <c r="A24" s="3" t="s">
        <v>27</v>
      </c>
      <c r="B24" s="3" t="str">
        <f>VLOOKUP(A24,'storage capacity'!$A$2:$C$195,3,FALSE)</f>
        <v>Sub-saharan africa</v>
      </c>
      <c r="C24" s="4">
        <v>30823.800000000279</v>
      </c>
      <c r="D24" s="4">
        <v>32414.864374690118</v>
      </c>
      <c r="E24" s="4">
        <v>34071.324465847021</v>
      </c>
      <c r="F24" s="4">
        <v>35795.021677483506</v>
      </c>
      <c r="G24" s="4">
        <v>37587.813188321757</v>
      </c>
      <c r="H24" s="4">
        <v>39451.570720643991</v>
      </c>
      <c r="I24" s="4">
        <v>41388.179272647598</v>
      </c>
      <c r="J24" s="4">
        <v>43399.53581593556</v>
      </c>
      <c r="K24" s="4">
        <v>45487.54795984651</v>
      </c>
      <c r="L24" s="4">
        <v>47654.132584399034</v>
      </c>
      <c r="M24" s="4">
        <v>49901.214443690231</v>
      </c>
      <c r="N24" s="4">
        <v>52230.724741649741</v>
      </c>
      <c r="O24" s="4">
        <v>54644.599682106971</v>
      </c>
      <c r="P24" s="4">
        <v>57144.778995180604</v>
      </c>
      <c r="Q24" s="4">
        <v>59733.204442046685</v>
      </c>
      <c r="R24" s="4">
        <v>62411.818300183229</v>
      </c>
      <c r="S24" s="4">
        <v>65182.561831226194</v>
      </c>
      <c r="T24" s="4">
        <v>68047.373733603439</v>
      </c>
      <c r="U24" s="4">
        <v>71008.188582140268</v>
      </c>
      <c r="V24" s="4">
        <v>74066.93525685143</v>
      </c>
      <c r="W24" s="4">
        <v>77225.535363151328</v>
      </c>
      <c r="X24" s="4">
        <v>80485.901645725549</v>
      </c>
      <c r="Y24" s="4">
        <v>83849.936398313162</v>
      </c>
      <c r="Z24" s="4">
        <v>87319.529871651044</v>
      </c>
      <c r="AA24" s="4">
        <v>90896.558681827591</v>
      </c>
      <c r="AB24" s="4">
        <v>94582.88422128513</v>
      </c>
      <c r="AC24" s="4">
        <v>98380.351074697304</v>
      </c>
      <c r="AD24" s="4">
        <v>102290.78544192975</v>
      </c>
      <c r="AE24" s="4">
        <v>106315.99357027053</v>
      </c>
      <c r="AF24" s="4">
        <v>110457.76019808937</v>
      </c>
      <c r="AG24" s="4">
        <v>114717.84701205479</v>
      </c>
      <c r="AH24" s="4">
        <v>119097.99112000223</v>
      </c>
      <c r="AI24" s="4">
        <v>123599.90354150765</v>
      </c>
      <c r="AJ24" s="4">
        <v>128225.26771817815</v>
      </c>
      <c r="AK24" s="4">
        <v>132975.73804562457</v>
      </c>
      <c r="AL24" s="4">
        <v>137852.93842903082</v>
      </c>
      <c r="AM24" s="4">
        <v>142858.46086418189</v>
      </c>
      <c r="AN24" s="4">
        <v>147993.8640457557</v>
      </c>
      <c r="AO24" s="4">
        <v>153260.67200462465</v>
      </c>
      <c r="AP24" s="4">
        <v>158660.37277585079</v>
      </c>
      <c r="AQ24" s="4">
        <v>164194.41709899448</v>
      </c>
      <c r="AR24" s="4">
        <v>169864.21715228865</v>
      </c>
      <c r="AS24" s="4">
        <v>175671.14532216263</v>
      </c>
      <c r="AT24" s="4">
        <v>181616.53300952839</v>
      </c>
      <c r="AU24" s="4">
        <v>187701.66947416938</v>
      </c>
      <c r="AV24" s="4">
        <v>193927.80071849845</v>
      </c>
      <c r="AW24" s="4">
        <v>200296.12841187566</v>
      </c>
      <c r="AX24" s="4">
        <v>206807.80885660063</v>
      </c>
      <c r="AY24" s="4">
        <v>213463.95199661664</v>
      </c>
      <c r="AZ24" s="4">
        <v>220265.6204698855</v>
      </c>
      <c r="BA24" s="4">
        <v>227213.82870531431</v>
      </c>
      <c r="BB24" s="4">
        <v>234309.54206503549</v>
      </c>
      <c r="BC24" s="4">
        <v>241553.67603276312</v>
      </c>
      <c r="BD24" s="4">
        <v>248947.09544886954</v>
      </c>
      <c r="BE24" s="4">
        <v>256490.61379274717</v>
      </c>
      <c r="BF24" s="4">
        <v>264184.99251294252</v>
      </c>
      <c r="BG24" s="4">
        <v>272030.9404054716</v>
      </c>
      <c r="BH24" s="4">
        <v>280029.11304064776</v>
      </c>
      <c r="BI24" s="4">
        <v>288180.11223867879</v>
      </c>
      <c r="BJ24" s="4">
        <v>296484.48559421254</v>
      </c>
      <c r="BK24" s="4">
        <v>304942.72604993812</v>
      </c>
      <c r="BL24" s="4">
        <v>313555.27151927556</v>
      </c>
      <c r="BM24" s="4">
        <v>322322.50455811614</v>
      </c>
      <c r="BN24" s="4">
        <v>331244.7520855047</v>
      </c>
      <c r="BO24" s="4">
        <v>340322.28515308863</v>
      </c>
      <c r="BP24" s="4">
        <v>349555.31876308919</v>
      </c>
      <c r="BQ24" s="4">
        <v>358944.01173448778</v>
      </c>
      <c r="BR24" s="4">
        <v>368488.46661705646</v>
      </c>
      <c r="BS24" s="4">
        <v>378188.72965280042</v>
      </c>
      <c r="BT24" s="4">
        <v>388044.79078432149</v>
      </c>
      <c r="BU24" s="4">
        <v>398056.58370955556</v>
      </c>
    </row>
    <row r="25" spans="1:73" x14ac:dyDescent="0.25">
      <c r="A25" s="3" t="s">
        <v>28</v>
      </c>
      <c r="B25" s="3" t="str">
        <f>VLOOKUP(A25,'storage capacity'!$A$2:$C$195,3,FALSE)</f>
        <v>Country specific</v>
      </c>
      <c r="C25" s="4">
        <v>3025341.8666666746</v>
      </c>
      <c r="D25" s="4">
        <v>3226971.0825463682</v>
      </c>
      <c r="E25" s="4">
        <v>3439887.5597376181</v>
      </c>
      <c r="F25" s="4">
        <v>3664582.6794625982</v>
      </c>
      <c r="G25" s="4">
        <v>3901561.2699857946</v>
      </c>
      <c r="H25" s="4">
        <v>4151341.5876260414</v>
      </c>
      <c r="I25" s="4">
        <v>4414455.2785691116</v>
      </c>
      <c r="J25" s="4">
        <v>4691447.3211069861</v>
      </c>
      <c r="K25" s="4">
        <v>4982875.9479680434</v>
      </c>
      <c r="L25" s="4">
        <v>5289312.5484418487</v>
      </c>
      <c r="M25" s="4">
        <v>5611341.5500429077</v>
      </c>
      <c r="N25" s="4">
        <v>5949560.2794995029</v>
      </c>
      <c r="O25" s="4">
        <v>6304578.8028964503</v>
      </c>
      <c r="P25" s="4">
        <v>6677019.7448441731</v>
      </c>
      <c r="Q25" s="4">
        <v>7067518.0865907324</v>
      </c>
      <c r="R25" s="4">
        <v>7476720.9430382522</v>
      </c>
      <c r="S25" s="4">
        <v>7905287.3186703827</v>
      </c>
      <c r="T25" s="4">
        <v>8353887.8424429502</v>
      </c>
      <c r="U25" s="4">
        <v>8823204.4817355275</v>
      </c>
      <c r="V25" s="4">
        <v>9313930.2355073076</v>
      </c>
      <c r="W25" s="4">
        <v>9826768.8068460822</v>
      </c>
      <c r="X25" s="4">
        <v>10362434.255144328</v>
      </c>
      <c r="Y25" s="4">
        <v>10921650.628181119</v>
      </c>
      <c r="Z25" s="4">
        <v>11505151.57443282</v>
      </c>
      <c r="AA25" s="4">
        <v>12113679.935978949</v>
      </c>
      <c r="AB25" s="4">
        <v>12747987.322412308</v>
      </c>
      <c r="AC25" s="4">
        <v>13408833.666204235</v>
      </c>
      <c r="AD25" s="4">
        <v>14096986.760016449</v>
      </c>
      <c r="AE25" s="4">
        <v>14813221.776490513</v>
      </c>
      <c r="AF25" s="4">
        <v>15558320.771084107</v>
      </c>
      <c r="AG25" s="4">
        <v>16333072.168560138</v>
      </c>
      <c r="AH25" s="4">
        <v>17138270.23377005</v>
      </c>
      <c r="AI25" s="4">
        <v>17974714.527406447</v>
      </c>
      <c r="AJ25" s="4">
        <v>18843209.347432178</v>
      </c>
      <c r="AK25" s="4">
        <v>19744563.156923465</v>
      </c>
      <c r="AL25" s="4">
        <v>20679587.999093089</v>
      </c>
      <c r="AM25" s="4">
        <v>21649098.900286291</v>
      </c>
      <c r="AN25" s="4">
        <v>22653913.261766814</v>
      </c>
      <c r="AO25" s="4">
        <v>23694850.241133086</v>
      </c>
      <c r="AP25" s="4">
        <v>24772730.124225371</v>
      </c>
      <c r="AQ25" s="4">
        <v>25888373.688403085</v>
      </c>
      <c r="AR25" s="4">
        <v>27042601.558088232</v>
      </c>
      <c r="AS25" s="4">
        <v>28236233.553484973</v>
      </c>
      <c r="AT25" s="4">
        <v>29470088.033397824</v>
      </c>
      <c r="AU25" s="4">
        <v>30744981.233080845</v>
      </c>
      <c r="AV25" s="4">
        <v>32061726.598058242</v>
      </c>
      <c r="AW25" s="4">
        <v>33421134.114862438</v>
      </c>
      <c r="AX25" s="4">
        <v>34824009.639639407</v>
      </c>
      <c r="AY25" s="4">
        <v>36271154.225572497</v>
      </c>
      <c r="AZ25" s="4">
        <v>37763363.450075477</v>
      </c>
      <c r="BA25" s="4">
        <v>39301426.742702775</v>
      </c>
      <c r="BB25" s="4">
        <v>40886126.714720339</v>
      </c>
      <c r="BC25" s="4">
        <v>42518238.491273753</v>
      </c>
      <c r="BD25" s="4">
        <v>44198529.047081798</v>
      </c>
      <c r="BE25" s="4">
        <v>45927756.546572983</v>
      </c>
      <c r="BF25" s="4">
        <v>47706669.689370409</v>
      </c>
      <c r="BG25" s="4">
        <v>49536007.062016144</v>
      </c>
      <c r="BH25" s="4">
        <v>51416496.496810548</v>
      </c>
      <c r="BI25" s="4">
        <v>53348854.43862436</v>
      </c>
      <c r="BJ25" s="4">
        <v>55333785.320522629</v>
      </c>
      <c r="BK25" s="4">
        <v>57371980.949018829</v>
      </c>
      <c r="BL25" s="4">
        <v>59464119.899755612</v>
      </c>
      <c r="BM25" s="4">
        <v>61610866.924385436</v>
      </c>
      <c r="BN25" s="4">
        <v>63812872.369399667</v>
      </c>
      <c r="BO25" s="4">
        <v>66070771.607629053</v>
      </c>
      <c r="BP25" s="4">
        <v>68385184.483111739</v>
      </c>
      <c r="BQ25" s="4">
        <v>70756714.769997045</v>
      </c>
      <c r="BR25" s="4">
        <v>73185949.646124378</v>
      </c>
      <c r="BS25" s="4">
        <v>75673459.181887448</v>
      </c>
      <c r="BT25" s="4">
        <v>78219795.844963059</v>
      </c>
      <c r="BU25" s="4">
        <v>80825494.021453053</v>
      </c>
    </row>
    <row r="26" spans="1:73" x14ac:dyDescent="0.25">
      <c r="A26" s="3" t="s">
        <v>29</v>
      </c>
      <c r="B26" s="3" t="str">
        <f>VLOOKUP(A26,'storage capacity'!$A$2:$C$195,3,FALSE)</f>
        <v>Other Asia pacific</v>
      </c>
      <c r="C26" s="4">
        <v>20345.533333333442</v>
      </c>
      <c r="D26" s="4">
        <v>21438.436825742352</v>
      </c>
      <c r="E26" s="4">
        <v>22578.531836958005</v>
      </c>
      <c r="F26" s="4">
        <v>23767.249792467253</v>
      </c>
      <c r="G26" s="4">
        <v>25006.038532919472</v>
      </c>
      <c r="H26" s="4">
        <v>26296.361445999457</v>
      </c>
      <c r="I26" s="4">
        <v>27639.696564160626</v>
      </c>
      <c r="J26" s="4">
        <v>29037.535629270074</v>
      </c>
      <c r="K26" s="4">
        <v>30491.383125289089</v>
      </c>
      <c r="L26" s="4">
        <v>32002.755280181984</v>
      </c>
      <c r="M26" s="4">
        <v>33573.179038312555</v>
      </c>
      <c r="N26" s="4">
        <v>35204.191004650449</v>
      </c>
      <c r="O26" s="4">
        <v>36897.33636216999</v>
      </c>
      <c r="P26" s="4">
        <v>38654.167763880389</v>
      </c>
      <c r="Q26" s="4">
        <v>40476.244200979265</v>
      </c>
      <c r="R26" s="4">
        <v>42365.129848670826</v>
      </c>
      <c r="S26" s="4">
        <v>44322.392891235664</v>
      </c>
      <c r="T26" s="4">
        <v>46349.604327980691</v>
      </c>
      <c r="U26" s="4">
        <v>48448.336761735642</v>
      </c>
      <c r="V26" s="4">
        <v>50620.163171596374</v>
      </c>
      <c r="W26" s="4">
        <v>52866.655671644759</v>
      </c>
      <c r="X26" s="4">
        <v>55189.384257400758</v>
      </c>
      <c r="Y26" s="4">
        <v>57589.915541783768</v>
      </c>
      <c r="Z26" s="4">
        <v>60069.811482377525</v>
      </c>
      <c r="AA26" s="4">
        <v>62630.628101806418</v>
      </c>
      <c r="AB26" s="4">
        <v>65273.914203040047</v>
      </c>
      <c r="AC26" s="4">
        <v>68001.210081447905</v>
      </c>
      <c r="AD26" s="4">
        <v>70814.046235427319</v>
      </c>
      <c r="AE26" s="4">
        <v>73713.942077424595</v>
      </c>
      <c r="AF26" s="4">
        <v>76702.404647162664</v>
      </c>
      <c r="AG26" s="4">
        <v>79780.927328877689</v>
      </c>
      <c r="AH26" s="4">
        <v>82950.98857435261</v>
      </c>
      <c r="AI26" s="4">
        <v>86214.050633517531</v>
      </c>
      <c r="AJ26" s="4">
        <v>89571.558294365037</v>
      </c>
      <c r="AK26" s="4">
        <v>93024.937633903435</v>
      </c>
      <c r="AL26" s="4">
        <v>96575.594781842214</v>
      </c>
      <c r="AM26" s="4">
        <v>100224.91469867251</v>
      </c>
      <c r="AN26" s="4">
        <v>103974.25996977033</v>
      </c>
      <c r="AO26" s="4">
        <v>107824.96961711242</v>
      </c>
      <c r="AP26" s="4">
        <v>111778.35793015454</v>
      </c>
      <c r="AQ26" s="4">
        <v>115835.71331737794</v>
      </c>
      <c r="AR26" s="4">
        <v>119998.29717996481</v>
      </c>
      <c r="AS26" s="4">
        <v>124267.34280901472</v>
      </c>
      <c r="AT26" s="4">
        <v>128644.05430766451</v>
      </c>
      <c r="AU26" s="4">
        <v>133129.60553942091</v>
      </c>
      <c r="AV26" s="4">
        <v>137725.13910396176</v>
      </c>
      <c r="AW26" s="4">
        <v>142431.76534160535</v>
      </c>
      <c r="AX26" s="4">
        <v>147250.56136759024</v>
      </c>
      <c r="AY26" s="4">
        <v>152182.57013724893</v>
      </c>
      <c r="AZ26" s="4">
        <v>157228.7995430989</v>
      </c>
      <c r="BA26" s="4">
        <v>162390.22154481345</v>
      </c>
      <c r="BB26" s="4">
        <v>167667.77133297294</v>
      </c>
      <c r="BC26" s="4">
        <v>173062.34652743419</v>
      </c>
      <c r="BD26" s="4">
        <v>178574.80641109261</v>
      </c>
      <c r="BE26" s="4">
        <v>184205.97119974869</v>
      </c>
      <c r="BF26" s="4">
        <v>189956.62134872528</v>
      </c>
      <c r="BG26" s="4">
        <v>195827.49689681953</v>
      </c>
      <c r="BH26" s="4">
        <v>201819.29684810835</v>
      </c>
      <c r="BI26" s="4">
        <v>207932.67859206325</v>
      </c>
      <c r="BJ26" s="4">
        <v>214168.25736236654</v>
      </c>
      <c r="BK26" s="4">
        <v>220526.60573475782</v>
      </c>
      <c r="BL26" s="4">
        <v>227008.25316417785</v>
      </c>
      <c r="BM26" s="4">
        <v>233613.68556141417</v>
      </c>
      <c r="BN26" s="4">
        <v>240343.3449093932</v>
      </c>
      <c r="BO26" s="4">
        <v>247197.62891920202</v>
      </c>
      <c r="BP26" s="4">
        <v>254176.89072586558</v>
      </c>
      <c r="BQ26" s="4">
        <v>261281.4386238463</v>
      </c>
      <c r="BR26" s="4">
        <v>268511.53584217641</v>
      </c>
      <c r="BS26" s="4">
        <v>275867.40035907831</v>
      </c>
      <c r="BT26" s="4">
        <v>283349.20475587493</v>
      </c>
      <c r="BU26" s="4">
        <v>290957.07610993774</v>
      </c>
    </row>
    <row r="27" spans="1:73" x14ac:dyDescent="0.25">
      <c r="A27" s="3" t="s">
        <v>30</v>
      </c>
      <c r="B27" s="3" t="str">
        <f>VLOOKUP(A27,'storage capacity'!$A$2:$C$195,3,FALSE)</f>
        <v>Other eurasia</v>
      </c>
      <c r="C27" s="4">
        <v>150853.46666666679</v>
      </c>
      <c r="D27" s="4">
        <v>157452.61618906021</v>
      </c>
      <c r="E27" s="4">
        <v>164271.57001282205</v>
      </c>
      <c r="F27" s="4">
        <v>171314.69622317332</v>
      </c>
      <c r="G27" s="4">
        <v>178586.34473071899</v>
      </c>
      <c r="H27" s="4">
        <v>186090.84366864475</v>
      </c>
      <c r="I27" s="4">
        <v>193832.49578301579</v>
      </c>
      <c r="J27" s="4">
        <v>201815.57482128116</v>
      </c>
      <c r="K27" s="4">
        <v>210044.3219240747</v>
      </c>
      <c r="L27" s="4">
        <v>218522.94202537928</v>
      </c>
      <c r="M27" s="4">
        <v>227255.60026608667</v>
      </c>
      <c r="N27" s="4">
        <v>236246.41842594038</v>
      </c>
      <c r="O27" s="4">
        <v>245499.47137879342</v>
      </c>
      <c r="P27" s="4">
        <v>255018.78357604795</v>
      </c>
      <c r="Q27" s="4">
        <v>264808.32556306926</v>
      </c>
      <c r="R27" s="4">
        <v>274872.01053328253</v>
      </c>
      <c r="S27" s="4">
        <v>285213.6909245681</v>
      </c>
      <c r="T27" s="4">
        <v>295837.15506246948</v>
      </c>
      <c r="U27" s="4">
        <v>306746.12385462027</v>
      </c>
      <c r="V27" s="4">
        <v>317944.24754067761</v>
      </c>
      <c r="W27" s="4">
        <v>329435.10250192619</v>
      </c>
      <c r="X27" s="4">
        <v>341222.18813458655</v>
      </c>
      <c r="Y27" s="4">
        <v>353308.9237907232</v>
      </c>
      <c r="Z27" s="4">
        <v>365698.64579050412</v>
      </c>
      <c r="AA27" s="4">
        <v>378394.60450941627</v>
      </c>
      <c r="AB27" s="4">
        <v>391399.96154388587</v>
      </c>
      <c r="AC27" s="4">
        <v>404717.78695859504</v>
      </c>
      <c r="AD27" s="4">
        <v>418351.05661862355</v>
      </c>
      <c r="AE27" s="4">
        <v>432302.64960937802</v>
      </c>
      <c r="AF27" s="4">
        <v>446575.34574710112</v>
      </c>
      <c r="AG27" s="4">
        <v>461171.82318258361</v>
      </c>
      <c r="AH27" s="4">
        <v>476094.65610052343</v>
      </c>
      <c r="AI27" s="4">
        <v>491346.31251680519</v>
      </c>
      <c r="AJ27" s="4">
        <v>506929.15217579051</v>
      </c>
      <c r="AK27" s="4">
        <v>522845.42454953509</v>
      </c>
      <c r="AL27" s="4">
        <v>539097.26694066799</v>
      </c>
      <c r="AM27" s="4">
        <v>555686.70269048843</v>
      </c>
      <c r="AN27" s="4">
        <v>572615.63949365856</v>
      </c>
      <c r="AO27" s="4">
        <v>589885.86782069015</v>
      </c>
      <c r="AP27" s="4">
        <v>607499.05944924802</v>
      </c>
      <c r="AQ27" s="4">
        <v>625456.76610511541</v>
      </c>
      <c r="AR27" s="4">
        <v>643760.41821349482</v>
      </c>
      <c r="AS27" s="4">
        <v>662411.32376114198</v>
      </c>
      <c r="AT27" s="4">
        <v>681410.66726966621</v>
      </c>
      <c r="AU27" s="4">
        <v>700759.50888015842</v>
      </c>
      <c r="AV27" s="4">
        <v>720458.78354914824</v>
      </c>
      <c r="AW27" s="4">
        <v>740509.30035572883</v>
      </c>
      <c r="AX27" s="4">
        <v>760911.74191953125</v>
      </c>
      <c r="AY27" s="4">
        <v>781666.66392907791</v>
      </c>
      <c r="AZ27" s="4">
        <v>802774.49477989413</v>
      </c>
      <c r="BA27" s="4">
        <v>824235.53532161261</v>
      </c>
      <c r="BB27" s="4">
        <v>846049.95871316432</v>
      </c>
      <c r="BC27" s="4">
        <v>868217.81038501265</v>
      </c>
      <c r="BD27" s="4">
        <v>890739.00810725847</v>
      </c>
      <c r="BE27" s="4">
        <v>913613.3421623141</v>
      </c>
      <c r="BF27" s="4">
        <v>936840.47562072403</v>
      </c>
      <c r="BG27" s="4">
        <v>960419.94471859385</v>
      </c>
      <c r="BH27" s="4">
        <v>984351.15933497844</v>
      </c>
      <c r="BI27" s="4">
        <v>1008633.40356747</v>
      </c>
      <c r="BJ27" s="4">
        <v>1033265.8364041327</v>
      </c>
      <c r="BK27" s="4">
        <v>1058247.4924898276</v>
      </c>
      <c r="BL27" s="4">
        <v>1083577.2829848884</v>
      </c>
      <c r="BM27" s="4">
        <v>1109253.9965140193</v>
      </c>
      <c r="BN27" s="4">
        <v>1135276.3002032079</v>
      </c>
      <c r="BO27" s="4">
        <v>1161642.7408023754</v>
      </c>
      <c r="BP27" s="4">
        <v>1188351.7458914134</v>
      </c>
      <c r="BQ27" s="4">
        <v>1215401.6251671975</v>
      </c>
      <c r="BR27" s="4">
        <v>1242790.5718091079</v>
      </c>
      <c r="BS27" s="4">
        <v>1270516.6639205362</v>
      </c>
      <c r="BT27" s="4">
        <v>1298577.866043811</v>
      </c>
      <c r="BU27" s="4">
        <v>1326972.030745931</v>
      </c>
    </row>
    <row r="28" spans="1:73" x14ac:dyDescent="0.25">
      <c r="A28" s="3" t="s">
        <v>31</v>
      </c>
      <c r="B28" s="3" t="str">
        <f>VLOOKUP(A28,'storage capacity'!$A$2:$C$195,3,FALSE)</f>
        <v>Sub-saharan africa</v>
      </c>
      <c r="C28" s="4">
        <v>31669.333333333489</v>
      </c>
      <c r="D28" s="4">
        <v>33724.134899761906</v>
      </c>
      <c r="E28" s="4">
        <v>35890.376937262612</v>
      </c>
      <c r="F28" s="4">
        <v>38172.711860289943</v>
      </c>
      <c r="G28" s="4">
        <v>40575.909920937673</v>
      </c>
      <c r="H28" s="4">
        <v>43104.858582065644</v>
      </c>
      <c r="I28" s="4">
        <v>45764.561712950832</v>
      </c>
      <c r="J28" s="4">
        <v>48560.138605086737</v>
      </c>
      <c r="K28" s="4">
        <v>51496.822806120646</v>
      </c>
      <c r="L28" s="4">
        <v>54579.960770292608</v>
      </c>
      <c r="M28" s="4">
        <v>57815.010324121897</v>
      </c>
      <c r="N28" s="4">
        <v>61207.538946475404</v>
      </c>
      <c r="O28" s="4">
        <v>64763.221862546212</v>
      </c>
      <c r="P28" s="4">
        <v>68487.839951668429</v>
      </c>
      <c r="Q28" s="4">
        <v>72387.277469295266</v>
      </c>
      <c r="R28" s="4">
        <v>76467.519583869347</v>
      </c>
      <c r="S28" s="4">
        <v>80734.649729717319</v>
      </c>
      <c r="T28" s="4">
        <v>85194.846777501996</v>
      </c>
      <c r="U28" s="4">
        <v>89854.382024165476</v>
      </c>
      <c r="V28" s="4">
        <v>94719.616004692289</v>
      </c>
      <c r="W28" s="4">
        <v>99796.995128413793</v>
      </c>
      <c r="X28" s="4">
        <v>105093.04814296088</v>
      </c>
      <c r="Y28" s="4">
        <v>110614.38242935095</v>
      </c>
      <c r="Z28" s="4">
        <v>116367.68013206667</v>
      </c>
      <c r="AA28" s="4">
        <v>122359.69412834574</v>
      </c>
      <c r="AB28" s="4">
        <v>128597.24384125337</v>
      </c>
      <c r="AC28" s="4">
        <v>135087.21090144996</v>
      </c>
      <c r="AD28" s="4">
        <v>141836.53466289563</v>
      </c>
      <c r="AE28" s="4">
        <v>148852.20757804954</v>
      </c>
      <c r="AF28" s="4">
        <v>156141.27043842396</v>
      </c>
      <c r="AG28" s="4">
        <v>163710.80748664244</v>
      </c>
      <c r="AH28" s="4">
        <v>171567.94140642232</v>
      </c>
      <c r="AI28" s="4">
        <v>179719.82819716082</v>
      </c>
      <c r="AJ28" s="4">
        <v>188173.65194004332</v>
      </c>
      <c r="AK28" s="4">
        <v>196936.61946281648</v>
      </c>
      <c r="AL28" s="4">
        <v>206015.95491057506</v>
      </c>
      <c r="AM28" s="4">
        <v>215418.89423009974</v>
      </c>
      <c r="AN28" s="4">
        <v>225152.67957545284</v>
      </c>
      <c r="AO28" s="4">
        <v>235224.5536426914</v>
      </c>
      <c r="AP28" s="4">
        <v>245641.75394168877</v>
      </c>
      <c r="AQ28" s="4">
        <v>256411.50701317147</v>
      </c>
      <c r="AR28" s="4">
        <v>267541.02259917156</v>
      </c>
      <c r="AS28" s="4">
        <v>279037.48777517217</v>
      </c>
      <c r="AT28" s="4">
        <v>290908.0610522803</v>
      </c>
      <c r="AU28" s="4">
        <v>303159.86645779933</v>
      </c>
      <c r="AV28" s="4">
        <v>315799.98760259373</v>
      </c>
      <c r="AW28" s="4">
        <v>328835.46174363815</v>
      </c>
      <c r="AX28" s="4">
        <v>342273.27385012782</v>
      </c>
      <c r="AY28" s="4">
        <v>356120.35068148928</v>
      </c>
      <c r="AZ28" s="4">
        <v>370383.55488557991</v>
      </c>
      <c r="BA28" s="4">
        <v>385069.67912529246</v>
      </c>
      <c r="BB28" s="4">
        <v>400185.44024169515</v>
      </c>
      <c r="BC28" s="4">
        <v>415737.47346173431</v>
      </c>
      <c r="BD28" s="4">
        <v>431732.32665840542</v>
      </c>
      <c r="BE28" s="4">
        <v>448176.45467116707</v>
      </c>
      <c r="BF28" s="4">
        <v>465076.21369422035</v>
      </c>
      <c r="BG28" s="4">
        <v>482437.85574011406</v>
      </c>
      <c r="BH28" s="4">
        <v>500267.52318595944</v>
      </c>
      <c r="BI28" s="4">
        <v>518571.24340934854</v>
      </c>
      <c r="BJ28" s="4">
        <v>537354.92352086783</v>
      </c>
      <c r="BK28" s="4">
        <v>556624.34519988729</v>
      </c>
      <c r="BL28" s="4">
        <v>576385.15964008064</v>
      </c>
      <c r="BM28" s="4">
        <v>596642.8826108973</v>
      </c>
      <c r="BN28" s="4">
        <v>617402.88964096818</v>
      </c>
      <c r="BO28" s="4">
        <v>638670.41132917127</v>
      </c>
      <c r="BP28" s="4">
        <v>660450.52878882701</v>
      </c>
      <c r="BQ28" s="4">
        <v>682748.16923022759</v>
      </c>
      <c r="BR28" s="4">
        <v>705568.1016864311</v>
      </c>
      <c r="BS28" s="4">
        <v>728914.93288697535</v>
      </c>
      <c r="BT28" s="4">
        <v>752793.10328388342</v>
      </c>
      <c r="BU28" s="4">
        <v>777206.8832340478</v>
      </c>
    </row>
    <row r="29" spans="1:73" x14ac:dyDescent="0.25">
      <c r="A29" s="3" t="s">
        <v>32</v>
      </c>
      <c r="B29" s="3" t="str">
        <f>VLOOKUP(A29,'storage capacity'!$A$2:$C$195,3,FALSE)</f>
        <v>Sub-saharan africa</v>
      </c>
      <c r="C29" s="4">
        <v>2619.9333333333198</v>
      </c>
      <c r="D29" s="4">
        <v>2787.7074798063504</v>
      </c>
      <c r="E29" s="4">
        <v>2964.4402938514609</v>
      </c>
      <c r="F29" s="4">
        <v>3150.4980994879056</v>
      </c>
      <c r="G29" s="4">
        <v>3346.2561373966496</v>
      </c>
      <c r="H29" s="4">
        <v>3552.0984994486384</v>
      </c>
      <c r="I29" s="4">
        <v>3768.4180494748689</v>
      </c>
      <c r="J29" s="4">
        <v>3995.6163301336583</v>
      </c>
      <c r="K29" s="4">
        <v>4234.1034557592238</v>
      </c>
      <c r="L29" s="4">
        <v>4484.2979911049642</v>
      </c>
      <c r="M29" s="4">
        <v>4746.6268159245765</v>
      </c>
      <c r="N29" s="4">
        <v>5021.524975364292</v>
      </c>
      <c r="O29" s="4">
        <v>5309.4355161698741</v>
      </c>
      <c r="P29" s="4">
        <v>5610.8093087426605</v>
      </c>
      <c r="Q29" s="4">
        <v>5926.1048551095755</v>
      </c>
      <c r="R29" s="4">
        <v>6255.788082902739</v>
      </c>
      <c r="S29" s="4">
        <v>6600.3321254748671</v>
      </c>
      <c r="T29" s="4">
        <v>6960.2170883070557</v>
      </c>
      <c r="U29" s="4">
        <v>7335.9298018956379</v>
      </c>
      <c r="V29" s="4">
        <v>7727.963561334539</v>
      </c>
      <c r="W29" s="4">
        <v>8136.8178528388289</v>
      </c>
      <c r="X29" s="4">
        <v>8562.9980674838771</v>
      </c>
      <c r="Y29" s="4">
        <v>9007.0152024626168</v>
      </c>
      <c r="Z29" s="4">
        <v>9469.3855501908056</v>
      </c>
      <c r="AA29" s="4">
        <v>9950.6303756167417</v>
      </c>
      <c r="AB29" s="4">
        <v>10451.275582117627</v>
      </c>
      <c r="AC29" s="4">
        <v>10971.851366389566</v>
      </c>
      <c r="AD29" s="4">
        <v>11512.891862761966</v>
      </c>
      <c r="AE29" s="4">
        <v>12074.934777389839</v>
      </c>
      <c r="AF29" s="4">
        <v>12658.521012799118</v>
      </c>
      <c r="AG29" s="4">
        <v>13264.194283280543</v>
      </c>
      <c r="AH29" s="4">
        <v>13892.500721646862</v>
      </c>
      <c r="AI29" s="4">
        <v>14543.98847788606</v>
      </c>
      <c r="AJ29" s="4">
        <v>15219.207310259995</v>
      </c>
      <c r="AK29" s="4">
        <v>15918.708169413072</v>
      </c>
      <c r="AL29" s="4">
        <v>16643.042776069542</v>
      </c>
      <c r="AM29" s="4">
        <v>17392.763192910592</v>
      </c>
      <c r="AN29" s="4">
        <v>18168.42139123346</v>
      </c>
      <c r="AO29" s="4">
        <v>18970.56881300452</v>
      </c>
      <c r="AP29" s="4">
        <v>19799.755928926566</v>
      </c>
      <c r="AQ29" s="4">
        <v>20656.531793147275</v>
      </c>
      <c r="AR29" s="4">
        <v>21541.443595241264</v>
      </c>
      <c r="AS29" s="4">
        <v>22455.036210101993</v>
      </c>
      <c r="AT29" s="4">
        <v>23397.851746382315</v>
      </c>
      <c r="AU29" s="4">
        <v>24370.42909412345</v>
      </c>
      <c r="AV29" s="4">
        <v>25373.303472211916</v>
      </c>
      <c r="AW29" s="4">
        <v>26407.005976302069</v>
      </c>
      <c r="AX29" s="4">
        <v>27472.063127838948</v>
      </c>
      <c r="AY29" s="4">
        <v>28568.996424811528</v>
      </c>
      <c r="AZ29" s="4">
        <v>29698.321894860863</v>
      </c>
      <c r="BA29" s="4">
        <v>30860.549651360481</v>
      </c>
      <c r="BB29" s="4">
        <v>32056.183453078207</v>
      </c>
      <c r="BC29" s="4">
        <v>33285.720268019104</v>
      </c>
      <c r="BD29" s="4">
        <v>34549.649842038605</v>
      </c>
      <c r="BE29" s="4">
        <v>35848.45427280329</v>
      </c>
      <c r="BF29" s="4">
        <v>37182.607589663843</v>
      </c>
      <c r="BG29" s="4">
        <v>38552.57533999109</v>
      </c>
      <c r="BH29" s="4">
        <v>39958.814182511269</v>
      </c>
      <c r="BI29" s="4">
        <v>41401.771488160914</v>
      </c>
      <c r="BJ29" s="4">
        <v>42881.884948965453</v>
      </c>
      <c r="BK29" s="4">
        <v>44399.582195428135</v>
      </c>
      <c r="BL29" s="4">
        <v>45955.280422898039</v>
      </c>
      <c r="BM29" s="4">
        <v>47549.386027367102</v>
      </c>
      <c r="BN29" s="4">
        <v>49182.294251126863</v>
      </c>
      <c r="BO29" s="4">
        <v>50854.388838695602</v>
      </c>
      <c r="BP29" s="4">
        <v>52566.041703406299</v>
      </c>
      <c r="BQ29" s="4">
        <v>54317.612605024886</v>
      </c>
      <c r="BR29" s="4">
        <v>56109.448838746954</v>
      </c>
      <c r="BS29" s="4">
        <v>57941.88493589971</v>
      </c>
      <c r="BT29" s="4">
        <v>59815.242376653812</v>
      </c>
      <c r="BU29" s="4">
        <v>61729.82931502787</v>
      </c>
    </row>
    <row r="30" spans="1:73" x14ac:dyDescent="0.25">
      <c r="A30" s="3" t="s">
        <v>33</v>
      </c>
      <c r="B30" s="3" t="str">
        <f>VLOOKUP(A30,'storage capacity'!$A$2:$C$195,3,FALSE)</f>
        <v>Sub-saharan africa</v>
      </c>
      <c r="C30" s="4">
        <v>4009.1333333333605</v>
      </c>
      <c r="D30" s="4">
        <v>4274.7287023994759</v>
      </c>
      <c r="E30" s="4">
        <v>4555.0872169323557</v>
      </c>
      <c r="F30" s="4">
        <v>4850.8456144512738</v>
      </c>
      <c r="G30" s="4">
        <v>5162.6577652717115</v>
      </c>
      <c r="H30" s="4">
        <v>5491.1946337249228</v>
      </c>
      <c r="I30" s="4">
        <v>5837.1442146084346</v>
      </c>
      <c r="J30" s="4">
        <v>6201.2114444196422</v>
      </c>
      <c r="K30" s="4">
        <v>6584.1180869742866</v>
      </c>
      <c r="L30" s="4">
        <v>6986.6025930628457</v>
      </c>
      <c r="M30" s="4">
        <v>7409.4199338505787</v>
      </c>
      <c r="N30" s="4">
        <v>7853.341407780953</v>
      </c>
      <c r="O30" s="4">
        <v>8319.1544207973038</v>
      </c>
      <c r="P30" s="4">
        <v>8807.662239753683</v>
      </c>
      <c r="Q30" s="4">
        <v>9319.6837189426496</v>
      </c>
      <c r="R30" s="4">
        <v>9856.0529997252652</v>
      </c>
      <c r="S30" s="4">
        <v>10417.619183306393</v>
      </c>
      <c r="T30" s="4">
        <v>11005.245976756534</v>
      </c>
      <c r="U30" s="4">
        <v>11619.811312439595</v>
      </c>
      <c r="V30" s="4">
        <v>12262.206941064047</v>
      </c>
      <c r="W30" s="4">
        <v>12933.337998632691</v>
      </c>
      <c r="X30" s="4">
        <v>13634.122547623534</v>
      </c>
      <c r="Y30" s="4">
        <v>14365.491092790915</v>
      </c>
      <c r="Z30" s="4">
        <v>15128.386072031875</v>
      </c>
      <c r="AA30" s="4">
        <v>15923.761322817572</v>
      </c>
      <c r="AB30" s="4">
        <v>16752.581524743295</v>
      </c>
      <c r="AC30" s="4">
        <v>17615.821618803024</v>
      </c>
      <c r="AD30" s="4">
        <v>18514.466204045479</v>
      </c>
      <c r="AE30" s="4">
        <v>19449.508912317971</v>
      </c>
      <c r="AF30" s="4">
        <v>20421.951761852051</v>
      </c>
      <c r="AG30" s="4">
        <v>21432.804490490755</v>
      </c>
      <c r="AH30" s="4">
        <v>22483.08386940118</v>
      </c>
      <c r="AI30" s="4">
        <v>23573.812998157719</v>
      </c>
      <c r="AJ30" s="4">
        <v>24706.020582121088</v>
      </c>
      <c r="AK30" s="4">
        <v>25880.740193075431</v>
      </c>
      <c r="AL30" s="4">
        <v>27099.009514120731</v>
      </c>
      <c r="AM30" s="4">
        <v>28361.869569850322</v>
      </c>
      <c r="AN30" s="4">
        <v>29670.363942873213</v>
      </c>
      <c r="AO30" s="4">
        <v>31025.537977768327</v>
      </c>
      <c r="AP30" s="4">
        <v>32428.437973582531</v>
      </c>
      <c r="AQ30" s="4">
        <v>33880.110366006447</v>
      </c>
      <c r="AR30" s="4">
        <v>35381.60090038144</v>
      </c>
      <c r="AS30" s="4">
        <v>36933.953796707807</v>
      </c>
      <c r="AT30" s="4">
        <v>38538.21090783814</v>
      </c>
      <c r="AU30" s="4">
        <v>40195.410872051136</v>
      </c>
      <c r="AV30" s="4">
        <v>41906.588261209348</v>
      </c>
      <c r="AW30" s="4">
        <v>43672.772725710332</v>
      </c>
      <c r="AX30" s="4">
        <v>45494.988137443543</v>
      </c>
      <c r="AY30" s="4">
        <v>47374.251731965589</v>
      </c>
      <c r="AZ30" s="4">
        <v>49311.573251104302</v>
      </c>
      <c r="BA30" s="4">
        <v>51307.954087197046</v>
      </c>
      <c r="BB30" s="4">
        <v>53364.386430161234</v>
      </c>
      <c r="BC30" s="4">
        <v>55481.852418585004</v>
      </c>
      <c r="BD30" s="4">
        <v>57661.323296013754</v>
      </c>
      <c r="BE30" s="4">
        <v>59903.75857359315</v>
      </c>
      <c r="BF30" s="4">
        <v>62210.105200212594</v>
      </c>
      <c r="BG30" s="4">
        <v>64581.296741273349</v>
      </c>
      <c r="BH30" s="4">
        <v>67018.252567184521</v>
      </c>
      <c r="BI30" s="4">
        <v>69521.877052666459</v>
      </c>
      <c r="BJ30" s="4">
        <v>72093.058787915666</v>
      </c>
      <c r="BK30" s="4">
        <v>74732.66980265826</v>
      </c>
      <c r="BL30" s="4">
        <v>77441.564804089823</v>
      </c>
      <c r="BM30" s="4">
        <v>80220.580429668888</v>
      </c>
      <c r="BN30" s="4">
        <v>83070.534515699255</v>
      </c>
      <c r="BO30" s="4">
        <v>85992.225382602322</v>
      </c>
      <c r="BP30" s="4">
        <v>88986.431137746011</v>
      </c>
      <c r="BQ30" s="4">
        <v>92053.908996660466</v>
      </c>
      <c r="BR30" s="4">
        <v>95195.394623433342</v>
      </c>
      <c r="BS30" s="4">
        <v>98411.601491039415</v>
      </c>
      <c r="BT30" s="4">
        <v>101703.22026231958</v>
      </c>
      <c r="BU30" s="4">
        <v>105070.91819228485</v>
      </c>
    </row>
    <row r="31" spans="1:73" x14ac:dyDescent="0.25">
      <c r="A31" s="3" t="s">
        <v>34</v>
      </c>
      <c r="B31" s="3" t="str">
        <f>VLOOKUP(A31,'storage capacity'!$A$2:$C$195,3,FALSE)</f>
        <v>Other Asia pacific</v>
      </c>
      <c r="C31" s="4">
        <v>73461.333333333023</v>
      </c>
      <c r="D31" s="4">
        <v>78211.264247701649</v>
      </c>
      <c r="E31" s="4">
        <v>83217.75003001334</v>
      </c>
      <c r="F31" s="4">
        <v>88491.443039645761</v>
      </c>
      <c r="G31" s="4">
        <v>94043.262661759218</v>
      </c>
      <c r="H31" s="4">
        <v>99884.39374639772</v>
      </c>
      <c r="I31" s="4">
        <v>106026.28464280325</v>
      </c>
      <c r="J31" s="4">
        <v>112480.64482383315</v>
      </c>
      <c r="K31" s="4">
        <v>119259.44209620768</v>
      </c>
      <c r="L31" s="4">
        <v>126374.8993931704</v>
      </c>
      <c r="M31" s="4">
        <v>133839.4911470167</v>
      </c>
      <c r="N31" s="4">
        <v>141665.93923983243</v>
      </c>
      <c r="O31" s="4">
        <v>149867.20853168145</v>
      </c>
      <c r="P31" s="4">
        <v>158456.50196638744</v>
      </c>
      <c r="Q31" s="4">
        <v>167447.25525596557</v>
      </c>
      <c r="R31" s="4">
        <v>176853.13114567395</v>
      </c>
      <c r="S31" s="4">
        <v>186688.01326256804</v>
      </c>
      <c r="T31" s="4">
        <v>196965.99955135214</v>
      </c>
      <c r="U31" s="4">
        <v>207701.39530222572</v>
      </c>
      <c r="V31" s="4">
        <v>218908.70577631961</v>
      </c>
      <c r="W31" s="4">
        <v>230602.62843520168</v>
      </c>
      <c r="X31" s="4">
        <v>242798.04478180176</v>
      </c>
      <c r="Y31" s="4">
        <v>255510.01182096192</v>
      </c>
      <c r="Z31" s="4">
        <v>268753.75314865186</v>
      </c>
      <c r="AA31" s="4">
        <v>282544.64967970527</v>
      </c>
      <c r="AB31" s="4">
        <v>296898.23002472281</v>
      </c>
      <c r="AC31" s="4">
        <v>311830.16052755289</v>
      </c>
      <c r="AD31" s="4">
        <v>327356.23497549782</v>
      </c>
      <c r="AE31" s="4">
        <v>343492.36399510124</v>
      </c>
      <c r="AF31" s="4">
        <v>360254.56414704741</v>
      </c>
      <c r="AG31" s="4">
        <v>377658.94673434511</v>
      </c>
      <c r="AH31" s="4">
        <v>395721.7063385775</v>
      </c>
      <c r="AI31" s="4">
        <v>414459.1090995674</v>
      </c>
      <c r="AJ31" s="4">
        <v>433887.48075434356</v>
      </c>
      <c r="AK31" s="4">
        <v>454023.19445178466</v>
      </c>
      <c r="AL31" s="4">
        <v>474882.6583597748</v>
      </c>
      <c r="AM31" s="4">
        <v>496482.30308211449</v>
      </c>
      <c r="AN31" s="4">
        <v>518838.56890280562</v>
      </c>
      <c r="AO31" s="4">
        <v>541967.89287565765</v>
      </c>
      <c r="AP31" s="4">
        <v>565886.69577744766</v>
      </c>
      <c r="AQ31" s="4">
        <v>590611.36894311395</v>
      </c>
      <c r="AR31" s="4">
        <v>616158.26100166189</v>
      </c>
      <c r="AS31" s="4">
        <v>642543.66453161847</v>
      </c>
      <c r="AT31" s="4">
        <v>669783.80265498883</v>
      </c>
      <c r="AU31" s="4">
        <v>697894.81558873807</v>
      </c>
      <c r="AV31" s="4">
        <v>726892.74717285263</v>
      </c>
      <c r="AW31" s="4">
        <v>756793.53139402322</v>
      </c>
      <c r="AX31" s="4">
        <v>787612.97892393661</v>
      </c>
      <c r="AY31" s="4">
        <v>819366.76369107293</v>
      </c>
      <c r="AZ31" s="4">
        <v>852070.40950476518</v>
      </c>
      <c r="BA31" s="4">
        <v>885739.2767501116</v>
      </c>
      <c r="BB31" s="4">
        <v>920388.54917211621</v>
      </c>
      <c r="BC31" s="4">
        <v>956033.22076718858</v>
      </c>
      <c r="BD31" s="4">
        <v>992688.08279984829</v>
      </c>
      <c r="BE31" s="4">
        <v>1030367.7109621642</v>
      </c>
      <c r="BF31" s="4">
        <v>1069086.4526931106</v>
      </c>
      <c r="BG31" s="4">
        <v>1108858.4146746369</v>
      </c>
      <c r="BH31" s="4">
        <v>1149697.4505208379</v>
      </c>
      <c r="BI31" s="4">
        <v>1191617.148676174</v>
      </c>
      <c r="BJ31" s="4">
        <v>1234630.8205382209</v>
      </c>
      <c r="BK31" s="4">
        <v>1278751.4888199377</v>
      </c>
      <c r="BL31" s="4">
        <v>1323991.8761659276</v>
      </c>
      <c r="BM31" s="4">
        <v>1370364.394036625</v>
      </c>
      <c r="BN31" s="4">
        <v>1417881.1318737899</v>
      </c>
      <c r="BO31" s="4">
        <v>1466553.8465601085</v>
      </c>
      <c r="BP31" s="4">
        <v>1516393.9521851095</v>
      </c>
      <c r="BQ31" s="4">
        <v>1567412.510128997</v>
      </c>
      <c r="BR31" s="4">
        <v>1619620.2194753785</v>
      </c>
      <c r="BS31" s="4">
        <v>1673027.4077632306</v>
      </c>
      <c r="BT31" s="4">
        <v>1727644.0220878094</v>
      </c>
      <c r="BU31" s="4">
        <v>1783479.6205595522</v>
      </c>
    </row>
    <row r="32" spans="1:73" x14ac:dyDescent="0.25">
      <c r="A32" s="3" t="s">
        <v>35</v>
      </c>
      <c r="B32" s="3" t="str">
        <f>VLOOKUP(A32,'storage capacity'!$A$2:$C$195,3,FALSE)</f>
        <v>Sub-saharan africa</v>
      </c>
      <c r="C32" s="4">
        <v>78532.199999999255</v>
      </c>
      <c r="D32" s="4">
        <v>85020.023548570432</v>
      </c>
      <c r="E32" s="4">
        <v>91973.591152301291</v>
      </c>
      <c r="F32" s="4">
        <v>99420.650228159662</v>
      </c>
      <c r="G32" s="4">
        <v>107390.19378810929</v>
      </c>
      <c r="H32" s="4">
        <v>115912.49088723575</v>
      </c>
      <c r="I32" s="4">
        <v>125019.11639460763</v>
      </c>
      <c r="J32" s="4">
        <v>134742.97999979963</v>
      </c>
      <c r="K32" s="4">
        <v>145118.35436725407</v>
      </c>
      <c r="L32" s="4">
        <v>156180.90235016128</v>
      </c>
      <c r="M32" s="4">
        <v>167967.70317530728</v>
      </c>
      <c r="N32" s="4">
        <v>180517.27751037141</v>
      </c>
      <c r="O32" s="4">
        <v>193869.61132546354</v>
      </c>
      <c r="P32" s="4">
        <v>208066.17846127308</v>
      </c>
      <c r="Q32" s="4">
        <v>223149.96181706377</v>
      </c>
      <c r="R32" s="4">
        <v>239165.47307288647</v>
      </c>
      <c r="S32" s="4">
        <v>256158.77086180402</v>
      </c>
      <c r="T32" s="4">
        <v>274177.47730961739</v>
      </c>
      <c r="U32" s="4">
        <v>293270.79286155757</v>
      </c>
      <c r="V32" s="4">
        <v>313489.5093176529</v>
      </c>
      <c r="W32" s="4">
        <v>334886.02100099577</v>
      </c>
      <c r="X32" s="4">
        <v>357514.33398590877</v>
      </c>
      <c r="Y32" s="4">
        <v>381430.07331604278</v>
      </c>
      <c r="Z32" s="4">
        <v>406690.48814571876</v>
      </c>
      <c r="AA32" s="4">
        <v>433354.45474134391</v>
      </c>
      <c r="AB32" s="4">
        <v>461482.47728348145</v>
      </c>
      <c r="AC32" s="4">
        <v>491136.68641411827</v>
      </c>
      <c r="AD32" s="4">
        <v>522380.83547785104</v>
      </c>
      <c r="AE32" s="4">
        <v>555280.29441007564</v>
      </c>
      <c r="AF32" s="4">
        <v>589902.04122981813</v>
      </c>
      <c r="AG32" s="4">
        <v>626314.65109955904</v>
      </c>
      <c r="AH32" s="4">
        <v>664588.28291927534</v>
      </c>
      <c r="AI32" s="4">
        <v>704794.66342693078</v>
      </c>
      <c r="AJ32" s="4">
        <v>747007.06878277508</v>
      </c>
      <c r="AK32" s="4">
        <v>791300.30362005159</v>
      </c>
      <c r="AL32" s="4">
        <v>837750.67755003483</v>
      </c>
      <c r="AM32" s="4">
        <v>886435.97911472479</v>
      </c>
      <c r="AN32" s="4">
        <v>937435.4471859755</v>
      </c>
      <c r="AO32" s="4">
        <v>990829.73981533421</v>
      </c>
      <c r="AP32" s="4">
        <v>1046700.9005443831</v>
      </c>
      <c r="AQ32" s="4">
        <v>1105132.3221909015</v>
      </c>
      <c r="AR32" s="4">
        <v>1166208.7081316726</v>
      </c>
      <c r="AS32" s="4">
        <v>1230016.031108245</v>
      </c>
      <c r="AT32" s="4">
        <v>1296641.4895873975</v>
      </c>
      <c r="AU32" s="4">
        <v>1366173.461713423</v>
      </c>
      <c r="AV32" s="4">
        <v>1438701.4568946564</v>
      </c>
      <c r="AW32" s="4">
        <v>1514316.0650718643</v>
      </c>
      <c r="AX32" s="4">
        <v>1593108.9037212185</v>
      </c>
      <c r="AY32" s="4">
        <v>1675172.5626495418</v>
      </c>
      <c r="AZ32" s="4">
        <v>1760600.5466443505</v>
      </c>
      <c r="BA32" s="4">
        <v>1849487.2160459054</v>
      </c>
      <c r="BB32" s="4">
        <v>1941927.7253129969</v>
      </c>
      <c r="BC32" s="4">
        <v>2038017.9596585415</v>
      </c>
      <c r="BD32" s="4">
        <v>2137854.4698352166</v>
      </c>
      <c r="BE32" s="4">
        <v>2241534.4051553234</v>
      </c>
      <c r="BF32" s="4">
        <v>2349155.4448328228</v>
      </c>
      <c r="BG32" s="4">
        <v>2460815.7277390105</v>
      </c>
      <c r="BH32" s="4">
        <v>2576613.7806666237</v>
      </c>
      <c r="BI32" s="4">
        <v>2696648.44520023</v>
      </c>
      <c r="BJ32" s="4">
        <v>2821018.8032936053</v>
      </c>
      <c r="BK32" s="4">
        <v>2949824.1016573831</v>
      </c>
      <c r="BL32" s="4">
        <v>3083163.6750626108</v>
      </c>
      <c r="BM32" s="4">
        <v>3221136.8686679364</v>
      </c>
      <c r="BN32" s="4">
        <v>3363842.9594799783</v>
      </c>
      <c r="BO32" s="4">
        <v>3511381.0770580117</v>
      </c>
      <c r="BP32" s="4">
        <v>3663850.1235754117</v>
      </c>
      <c r="BQ32" s="4">
        <v>3821348.6933513586</v>
      </c>
      <c r="BR32" s="4">
        <v>3983974.9919670853</v>
      </c>
      <c r="BS32" s="4">
        <v>4151826.7550815064</v>
      </c>
      <c r="BT32" s="4">
        <v>4325001.1670613233</v>
      </c>
      <c r="BU32" s="4">
        <v>4503594.7795407362</v>
      </c>
    </row>
    <row r="33" spans="1:73" x14ac:dyDescent="0.25">
      <c r="A33" s="3" t="s">
        <v>36</v>
      </c>
      <c r="B33" s="3" t="str">
        <f>VLOOKUP(A33,'storage capacity'!$A$2:$C$195,3,FALSE)</f>
        <v>Country specific</v>
      </c>
      <c r="C33" s="4">
        <v>2896526.9333333075</v>
      </c>
      <c r="D33" s="4">
        <v>3101031.8460934083</v>
      </c>
      <c r="E33" s="4">
        <v>3317786.0828501862</v>
      </c>
      <c r="F33" s="4">
        <v>3547371.8412506501</v>
      </c>
      <c r="G33" s="4">
        <v>3790389.8580313814</v>
      </c>
      <c r="H33" s="4">
        <v>4047459.5244416078</v>
      </c>
      <c r="I33" s="4">
        <v>4319218.9786510281</v>
      </c>
      <c r="J33" s="4">
        <v>4606325.1743546156</v>
      </c>
      <c r="K33" s="4">
        <v>4909453.9248264665</v>
      </c>
      <c r="L33" s="4">
        <v>5229299.9217172256</v>
      </c>
      <c r="M33" s="4">
        <v>5566576.7279347153</v>
      </c>
      <c r="N33" s="4">
        <v>5922016.7439949205</v>
      </c>
      <c r="O33" s="4">
        <v>6296371.1472803243</v>
      </c>
      <c r="P33" s="4">
        <v>6690409.8036945863</v>
      </c>
      <c r="Q33" s="4">
        <v>7104921.1512565659</v>
      </c>
      <c r="R33" s="4">
        <v>7540712.0552325249</v>
      </c>
      <c r="S33" s="4">
        <v>7998607.6344628586</v>
      </c>
      <c r="T33" s="4">
        <v>8479451.0585986897</v>
      </c>
      <c r="U33" s="4">
        <v>8984103.3160239626</v>
      </c>
      <c r="V33" s="4">
        <v>9513442.9523000661</v>
      </c>
      <c r="W33" s="4">
        <v>10068365.779032353</v>
      </c>
      <c r="X33" s="4">
        <v>10649784.553120993</v>
      </c>
      <c r="Y33" s="4">
        <v>11258628.626422137</v>
      </c>
      <c r="Z33" s="4">
        <v>11895843.565909339</v>
      </c>
      <c r="AA33" s="4">
        <v>12562390.744489202</v>
      </c>
      <c r="AB33" s="4">
        <v>13259246.902689179</v>
      </c>
      <c r="AC33" s="4">
        <v>13987403.681499243</v>
      </c>
      <c r="AD33" s="4">
        <v>14747867.126712343</v>
      </c>
      <c r="AE33" s="4">
        <v>15541657.165171241</v>
      </c>
      <c r="AF33" s="4">
        <v>16369807.053391071</v>
      </c>
      <c r="AG33" s="4">
        <v>17233362.799087748</v>
      </c>
      <c r="AH33" s="4">
        <v>18133382.556201946</v>
      </c>
      <c r="AI33" s="4">
        <v>19070935.994066559</v>
      </c>
      <c r="AJ33" s="4">
        <v>20047103.641422216</v>
      </c>
      <c r="AK33" s="4">
        <v>21062976.206040457</v>
      </c>
      <c r="AL33" s="4">
        <v>22119653.870767247</v>
      </c>
      <c r="AM33" s="4">
        <v>23218245.566850729</v>
      </c>
      <c r="AN33" s="4">
        <v>24359868.225466039</v>
      </c>
      <c r="AO33" s="4">
        <v>25545646.00839689</v>
      </c>
      <c r="AP33" s="4">
        <v>26776709.518877998</v>
      </c>
      <c r="AQ33" s="4">
        <v>28054194.99364429</v>
      </c>
      <c r="AR33" s="4">
        <v>29379243.477272239</v>
      </c>
      <c r="AS33" s="4">
        <v>30752999.979935389</v>
      </c>
      <c r="AT33" s="4">
        <v>32176612.619729985</v>
      </c>
      <c r="AU33" s="4">
        <v>33651231.750757761</v>
      </c>
      <c r="AV33" s="4">
        <v>35178009.078181289</v>
      </c>
      <c r="AW33" s="4">
        <v>36758096.761492446</v>
      </c>
      <c r="AX33" s="4">
        <v>38392646.507257044</v>
      </c>
      <c r="AY33" s="4">
        <v>40082808.652618021</v>
      </c>
      <c r="AZ33" s="4">
        <v>41829731.240855873</v>
      </c>
      <c r="BA33" s="4">
        <v>43634559.090318441</v>
      </c>
      <c r="BB33" s="4">
        <v>45498432.858042397</v>
      </c>
      <c r="BC33" s="4">
        <v>47422488.099396169</v>
      </c>
      <c r="BD33" s="4">
        <v>49407854.325078301</v>
      </c>
      <c r="BE33" s="4">
        <v>51455654.056806535</v>
      </c>
      <c r="BF33" s="4">
        <v>53567001.883031525</v>
      </c>
      <c r="BG33" s="4">
        <v>55743003.516004376</v>
      </c>
      <c r="BH33" s="4">
        <v>57984754.851520129</v>
      </c>
      <c r="BI33" s="4">
        <v>60293341.032649063</v>
      </c>
      <c r="BJ33" s="4">
        <v>62669835.518755078</v>
      </c>
      <c r="BK33" s="4">
        <v>65115299.161084928</v>
      </c>
      <c r="BL33" s="4">
        <v>67630779.286194041</v>
      </c>
      <c r="BM33" s="4">
        <v>70217308.788454503</v>
      </c>
      <c r="BN33" s="4">
        <v>72875905.232867613</v>
      </c>
      <c r="BO33" s="4">
        <v>75607569.96937874</v>
      </c>
      <c r="BP33" s="4">
        <v>78413287.259864569</v>
      </c>
      <c r="BQ33" s="4">
        <v>81294023.418933794</v>
      </c>
      <c r="BR33" s="4">
        <v>84250725.969650865</v>
      </c>
      <c r="BS33" s="4">
        <v>87284322.815259218</v>
      </c>
      <c r="BT33" s="4">
        <v>90395721.427945659</v>
      </c>
      <c r="BU33" s="4">
        <v>93585808.05565086</v>
      </c>
    </row>
    <row r="34" spans="1:73" ht="26.25" x14ac:dyDescent="0.25">
      <c r="A34" s="3" t="s">
        <v>37</v>
      </c>
      <c r="B34" s="3" t="str">
        <f>VLOOKUP(A34,'storage capacity'!$A$2:$C$195,3,FALSE)</f>
        <v>Sub-saharan africa</v>
      </c>
      <c r="C34" s="4">
        <v>4024.9333333333489</v>
      </c>
      <c r="D34" s="4">
        <v>4209.625420156056</v>
      </c>
      <c r="E34" s="4">
        <v>4400.8608009212767</v>
      </c>
      <c r="F34" s="4">
        <v>4598.7844176069721</v>
      </c>
      <c r="G34" s="4">
        <v>4803.5411696630808</v>
      </c>
      <c r="H34" s="4">
        <v>5015.2757988527701</v>
      </c>
      <c r="I34" s="4">
        <v>5234.1327730737921</v>
      </c>
      <c r="J34" s="4">
        <v>5460.2561693248163</v>
      </c>
      <c r="K34" s="4">
        <v>5693.7895559829512</v>
      </c>
      <c r="L34" s="4">
        <v>5934.8758745596333</v>
      </c>
      <c r="M34" s="4">
        <v>6183.6573211026707</v>
      </c>
      <c r="N34" s="4">
        <v>6440.2752274124077</v>
      </c>
      <c r="O34" s="4">
        <v>6704.869942239864</v>
      </c>
      <c r="P34" s="4">
        <v>6977.580712634157</v>
      </c>
      <c r="Q34" s="4">
        <v>7258.5455656056656</v>
      </c>
      <c r="R34" s="4">
        <v>7547.9011902701504</v>
      </c>
      <c r="S34" s="4">
        <v>7845.7828206374943</v>
      </c>
      <c r="T34" s="4">
        <v>8152.3241192068235</v>
      </c>
      <c r="U34" s="4">
        <v>8467.6570615275614</v>
      </c>
      <c r="V34" s="4">
        <v>8791.9118218834228</v>
      </c>
      <c r="W34" s="4">
        <v>9125.216660253529</v>
      </c>
      <c r="X34" s="4">
        <v>9467.6978107017112</v>
      </c>
      <c r="Y34" s="4">
        <v>9819.4793713416784</v>
      </c>
      <c r="Z34" s="4">
        <v>10180.683196022037</v>
      </c>
      <c r="AA34" s="4">
        <v>10551.428787871289</v>
      </c>
      <c r="AB34" s="4">
        <v>10931.833194838759</v>
      </c>
      <c r="AC34" s="4">
        <v>11322.010907363036</v>
      </c>
      <c r="AD34" s="4">
        <v>11722.073758294984</v>
      </c>
      <c r="AE34" s="4">
        <v>12132.130825197566</v>
      </c>
      <c r="AF34" s="4">
        <v>12552.28833513979</v>
      </c>
      <c r="AG34" s="4">
        <v>12982.649572097062</v>
      </c>
      <c r="AH34" s="4">
        <v>13423.314787064863</v>
      </c>
      <c r="AI34" s="4">
        <v>13874.381110987388</v>
      </c>
      <c r="AJ34" s="4">
        <v>14335.942470597252</v>
      </c>
      <c r="AK34" s="4">
        <v>14808.089507256771</v>
      </c>
      <c r="AL34" s="4">
        <v>15290.909498885643</v>
      </c>
      <c r="AM34" s="4">
        <v>15784.486285054149</v>
      </c>
      <c r="AN34" s="4">
        <v>16288.900195315076</v>
      </c>
      <c r="AO34" s="4">
        <v>16804.227980841879</v>
      </c>
      <c r="AP34" s="4">
        <v>17330.542749434546</v>
      </c>
      <c r="AQ34" s="4">
        <v>17867.913903948836</v>
      </c>
      <c r="AR34" s="4">
        <v>18416.407084198709</v>
      </c>
      <c r="AS34" s="4">
        <v>18976.084112375705</v>
      </c>
      <c r="AT34" s="4">
        <v>19547.00294202342</v>
      </c>
      <c r="AU34" s="4">
        <v>20129.217610599186</v>
      </c>
      <c r="AV34" s="4">
        <v>20722.778195649422</v>
      </c>
      <c r="AW34" s="4">
        <v>21327.730774619362</v>
      </c>
      <c r="AX34" s="4">
        <v>21944.117388312276</v>
      </c>
      <c r="AY34" s="4">
        <v>22571.976008007645</v>
      </c>
      <c r="AZ34" s="4">
        <v>23211.340506242403</v>
      </c>
      <c r="BA34" s="4">
        <v>23862.240631253888</v>
      </c>
      <c r="BB34" s="4">
        <v>24524.701985078009</v>
      </c>
      <c r="BC34" s="4">
        <v>25198.746005290832</v>
      </c>
      <c r="BD34" s="4">
        <v>25884.389950376975</v>
      </c>
      <c r="BE34" s="4">
        <v>26581.646888703122</v>
      </c>
      <c r="BF34" s="4">
        <v>27290.525691070408</v>
      </c>
      <c r="BG34" s="4">
        <v>28011.031026814693</v>
      </c>
      <c r="BH34" s="4">
        <v>28743.163363419375</v>
      </c>
      <c r="BI34" s="4">
        <v>29486.918969601098</v>
      </c>
      <c r="BJ34" s="4">
        <v>30242.289921824547</v>
      </c>
      <c r="BK34" s="4">
        <v>31009.264114198621</v>
      </c>
      <c r="BL34" s="4">
        <v>31787.825271702408</v>
      </c>
      <c r="BM34" s="4">
        <v>32577.95296668584</v>
      </c>
      <c r="BN34" s="4">
        <v>33379.622638586392</v>
      </c>
      <c r="BO34" s="4">
        <v>34192.805616799968</v>
      </c>
      <c r="BP34" s="4">
        <v>35017.469146640986</v>
      </c>
      <c r="BQ34" s="4">
        <v>35853.576418323755</v>
      </c>
      <c r="BR34" s="4">
        <v>36701.086598894566</v>
      </c>
      <c r="BS34" s="4">
        <v>37559.95486704119</v>
      </c>
      <c r="BT34" s="4">
        <v>38430.132450704339</v>
      </c>
      <c r="BU34" s="4">
        <v>39311.566667413193</v>
      </c>
    </row>
    <row r="35" spans="1:73" x14ac:dyDescent="0.25">
      <c r="A35" s="3" t="s">
        <v>38</v>
      </c>
      <c r="B35" s="3" t="str">
        <f>VLOOKUP(A35,'storage capacity'!$A$2:$C$195,3,FALSE)</f>
        <v>Sub-saharan africa</v>
      </c>
      <c r="C35" s="4">
        <v>25310.933333333116</v>
      </c>
      <c r="D35" s="4">
        <v>26790.766064208423</v>
      </c>
      <c r="E35" s="4">
        <v>28341.455383526391</v>
      </c>
      <c r="F35" s="4">
        <v>29965.496447948077</v>
      </c>
      <c r="G35" s="4">
        <v>31665.428371972746</v>
      </c>
      <c r="H35" s="4">
        <v>33443.833143081014</v>
      </c>
      <c r="I35" s="4">
        <v>35303.334458201789</v>
      </c>
      <c r="J35" s="4">
        <v>37246.596482222754</v>
      </c>
      <c r="K35" s="4">
        <v>39276.322529434976</v>
      </c>
      <c r="L35" s="4">
        <v>41395.253668971556</v>
      </c>
      <c r="M35" s="4">
        <v>43606.167255467328</v>
      </c>
      <c r="N35" s="4">
        <v>45911.87538633115</v>
      </c>
      <c r="O35" s="4">
        <v>48315.22328718377</v>
      </c>
      <c r="P35" s="4">
        <v>50819.087627171917</v>
      </c>
      <c r="Q35" s="4">
        <v>53426.374766023248</v>
      </c>
      <c r="R35" s="4">
        <v>56140.01893485598</v>
      </c>
      <c r="S35" s="4">
        <v>58962.980352901483</v>
      </c>
      <c r="T35" s="4">
        <v>61898.243282437339</v>
      </c>
      <c r="U35" s="4">
        <v>64948.814024361782</v>
      </c>
      <c r="V35" s="4">
        <v>68117.718856968073</v>
      </c>
      <c r="W35" s="4">
        <v>71408.001920598559</v>
      </c>
      <c r="X35" s="4">
        <v>74822.723050972607</v>
      </c>
      <c r="Y35" s="4">
        <v>78364.955564090647</v>
      </c>
      <c r="Z35" s="4">
        <v>82037.783995716643</v>
      </c>
      <c r="AA35" s="4">
        <v>85844.301798535118</v>
      </c>
      <c r="AB35" s="4">
        <v>89787.609000163939</v>
      </c>
      <c r="AC35" s="4">
        <v>93870.8098252825</v>
      </c>
      <c r="AD35" s="4">
        <v>98097.010285204742</v>
      </c>
      <c r="AE35" s="4">
        <v>102469.31573828866</v>
      </c>
      <c r="AF35" s="4">
        <v>106990.82842462818</v>
      </c>
      <c r="AG35" s="4">
        <v>111664.64497851914</v>
      </c>
      <c r="AH35" s="4">
        <v>116493.85392222871</v>
      </c>
      <c r="AI35" s="4">
        <v>121481.53314462787</v>
      </c>
      <c r="AJ35" s="4">
        <v>126630.74736826759</v>
      </c>
      <c r="AK35" s="4">
        <v>131944.54560849315</v>
      </c>
      <c r="AL35" s="4">
        <v>137425.95862819624</v>
      </c>
      <c r="AM35" s="4">
        <v>143077.9963918025</v>
      </c>
      <c r="AN35" s="4">
        <v>148903.64552208153</v>
      </c>
      <c r="AO35" s="4">
        <v>154905.86676334837</v>
      </c>
      <c r="AP35" s="4">
        <v>161087.59245460073</v>
      </c>
      <c r="AQ35" s="4">
        <v>167451.72401610247</v>
      </c>
      <c r="AR35" s="4">
        <v>174001.12945288498</v>
      </c>
      <c r="AS35" s="4">
        <v>180738.64087859046</v>
      </c>
      <c r="AT35" s="4">
        <v>187667.05206302795</v>
      </c>
      <c r="AU35" s="4">
        <v>194789.11600675288</v>
      </c>
      <c r="AV35" s="4">
        <v>202107.54254591474</v>
      </c>
      <c r="AW35" s="4">
        <v>209624.99599054514</v>
      </c>
      <c r="AX35" s="4">
        <v>217344.09279938118</v>
      </c>
      <c r="AY35" s="4">
        <v>225267.39929423499</v>
      </c>
      <c r="AZ35" s="4">
        <v>233397.42941683327</v>
      </c>
      <c r="BA35" s="4">
        <v>241736.64253095642</v>
      </c>
      <c r="BB35" s="4">
        <v>250287.44127261016</v>
      </c>
      <c r="BC35" s="4">
        <v>259052.16945086053</v>
      </c>
      <c r="BD35" s="4">
        <v>268033.11000185815</v>
      </c>
      <c r="BE35" s="4">
        <v>277232.48299846798</v>
      </c>
      <c r="BF35" s="4">
        <v>286652.44371780939</v>
      </c>
      <c r="BG35" s="4">
        <v>296295.08076889586</v>
      </c>
      <c r="BH35" s="4">
        <v>306162.41428244696</v>
      </c>
      <c r="BI35" s="4">
        <v>316256.39416482399</v>
      </c>
      <c r="BJ35" s="4">
        <v>326578.89841792127</v>
      </c>
      <c r="BK35" s="4">
        <v>337131.73152672016</v>
      </c>
      <c r="BL35" s="4">
        <v>347916.62291608914</v>
      </c>
      <c r="BM35" s="4">
        <v>358935.22547828843</v>
      </c>
      <c r="BN35" s="4">
        <v>370189.11417251098</v>
      </c>
      <c r="BO35" s="4">
        <v>381679.78469766589</v>
      </c>
      <c r="BP35" s="4">
        <v>393408.65223948355</v>
      </c>
      <c r="BQ35" s="4">
        <v>405377.05029289675</v>
      </c>
      <c r="BR35" s="4">
        <v>417586.22956052434</v>
      </c>
      <c r="BS35" s="4">
        <v>430037.35692796233</v>
      </c>
      <c r="BT35" s="4">
        <v>442731.51451645984</v>
      </c>
      <c r="BU35" s="4">
        <v>455669.69881343818</v>
      </c>
    </row>
    <row r="36" spans="1:73" x14ac:dyDescent="0.25">
      <c r="A36" s="3" t="s">
        <v>39</v>
      </c>
      <c r="B36" s="3" t="str">
        <f>VLOOKUP(A36,'storage capacity'!$A$2:$C$195,3,FALSE)</f>
        <v>Other latin america</v>
      </c>
      <c r="C36" s="4">
        <v>449194.19999999553</v>
      </c>
      <c r="D36" s="4">
        <v>474350.75152659614</v>
      </c>
      <c r="E36" s="4">
        <v>500650.5096963055</v>
      </c>
      <c r="F36" s="4">
        <v>528130.84448501957</v>
      </c>
      <c r="G36" s="4">
        <v>556829.66734894377</v>
      </c>
      <c r="H36" s="4">
        <v>586785.41144899838</v>
      </c>
      <c r="I36" s="4">
        <v>618037.01083591871</v>
      </c>
      <c r="J36" s="4">
        <v>650623.87861612858</v>
      </c>
      <c r="K36" s="4">
        <v>684585.88412070263</v>
      </c>
      <c r="L36" s="4">
        <v>719963.3291019263</v>
      </c>
      <c r="M36" s="4">
        <v>756796.92298408994</v>
      </c>
      <c r="N36" s="4">
        <v>795127.75719722465</v>
      </c>
      <c r="O36" s="4">
        <v>834997.27862447931</v>
      </c>
      <c r="P36" s="4">
        <v>876447.26219576702</v>
      </c>
      <c r="Q36" s="4">
        <v>919519.78266214579</v>
      </c>
      <c r="R36" s="4">
        <v>964257.18558715808</v>
      </c>
      <c r="S36" s="4">
        <v>1010702.0575930203</v>
      </c>
      <c r="T36" s="4">
        <v>1058897.1959011278</v>
      </c>
      <c r="U36" s="4">
        <v>1108885.5772078186</v>
      </c>
      <c r="V36" s="4">
        <v>1160710.3259377121</v>
      </c>
      <c r="W36" s="4">
        <v>1214414.6819182164</v>
      </c>
      <c r="X36" s="4">
        <v>1270041.9675199599</v>
      </c>
      <c r="Y36" s="4">
        <v>1327635.5543089649</v>
      </c>
      <c r="Z36" s="4">
        <v>1387238.829257326</v>
      </c>
      <c r="AA36" s="4">
        <v>1448895.1605599935</v>
      </c>
      <c r="AB36" s="4">
        <v>1512647.8631059877</v>
      </c>
      <c r="AC36" s="4">
        <v>1578540.1636529756</v>
      </c>
      <c r="AD36" s="4">
        <v>1646615.1657546437</v>
      </c>
      <c r="AE36" s="4">
        <v>1716915.8144906794</v>
      </c>
      <c r="AF36" s="4">
        <v>1789484.8610494435</v>
      </c>
      <c r="AG36" s="4">
        <v>1864364.8272135744</v>
      </c>
      <c r="AH36" s="4">
        <v>1941597.9697988115</v>
      </c>
      <c r="AI36" s="4">
        <v>2021226.2450962542</v>
      </c>
      <c r="AJ36" s="4">
        <v>2103291.2733681067</v>
      </c>
      <c r="AK36" s="4">
        <v>2187834.3034466757</v>
      </c>
      <c r="AL36" s="4">
        <v>2274896.1774860001</v>
      </c>
      <c r="AM36" s="4">
        <v>2364517.2959150164</v>
      </c>
      <c r="AN36" s="4">
        <v>2456737.5826405636</v>
      </c>
      <c r="AO36" s="4">
        <v>2551596.450547867</v>
      </c>
      <c r="AP36" s="4">
        <v>2649132.7673453498</v>
      </c>
      <c r="AQ36" s="4">
        <v>2749384.8217997747</v>
      </c>
      <c r="AR36" s="4">
        <v>2852390.2904067608</v>
      </c>
      <c r="AS36" s="4">
        <v>2958186.2045406802</v>
      </c>
      <c r="AT36" s="4">
        <v>3066808.9181268602</v>
      </c>
      <c r="AU36" s="4">
        <v>3178294.0758777978</v>
      </c>
      <c r="AV36" s="4">
        <v>3292676.5821338701</v>
      </c>
      <c r="AW36" s="4">
        <v>3409990.5703476961</v>
      </c>
      <c r="AX36" s="4">
        <v>3530269.3732499159</v>
      </c>
      <c r="AY36" s="4">
        <v>3653545.4937327476</v>
      </c>
      <c r="AZ36" s="4">
        <v>3779850.5764861563</v>
      </c>
      <c r="BA36" s="4">
        <v>3909215.3804199733</v>
      </c>
      <c r="BB36" s="4">
        <v>4041669.7519036965</v>
      </c>
      <c r="BC36" s="4">
        <v>4177242.5988541013</v>
      </c>
      <c r="BD36" s="4">
        <v>4315961.8656991441</v>
      </c>
      <c r="BE36" s="4">
        <v>4457854.5092449449</v>
      </c>
      <c r="BF36" s="4">
        <v>4602946.475470949</v>
      </c>
      <c r="BG36" s="4">
        <v>4751262.6772766309</v>
      </c>
      <c r="BH36" s="4">
        <v>4902826.9732013708</v>
      </c>
      <c r="BI36" s="4">
        <v>5057662.1471373709</v>
      </c>
      <c r="BJ36" s="4">
        <v>5215789.8890537238</v>
      </c>
      <c r="BK36" s="4">
        <v>5377230.7767479913</v>
      </c>
      <c r="BL36" s="4">
        <v>5542004.2586398581</v>
      </c>
      <c r="BM36" s="4">
        <v>5710128.6376197077</v>
      </c>
      <c r="BN36" s="4">
        <v>5881621.0559631698</v>
      </c>
      <c r="BO36" s="4">
        <v>6056497.4813209949</v>
      </c>
      <c r="BP36" s="4">
        <v>6234772.6937918467</v>
      </c>
      <c r="BQ36" s="4">
        <v>6416460.2740839235</v>
      </c>
      <c r="BR36" s="4">
        <v>6601572.592769634</v>
      </c>
      <c r="BS36" s="4">
        <v>6790120.8006358715</v>
      </c>
      <c r="BT36" s="4">
        <v>6982114.8201308306</v>
      </c>
      <c r="BU36" s="4">
        <v>7177563.3379066912</v>
      </c>
    </row>
    <row r="37" spans="1:73" x14ac:dyDescent="0.25">
      <c r="A37" s="3" t="s">
        <v>40</v>
      </c>
      <c r="B37" s="3" t="str">
        <f>VLOOKUP(A37,'storage capacity'!$A$2:$C$195,3,FALSE)</f>
        <v>Country specific</v>
      </c>
      <c r="C37" s="4">
        <v>24944049.733333349</v>
      </c>
      <c r="D37" s="4">
        <v>26054304.424982443</v>
      </c>
      <c r="E37" s="4">
        <v>27202379.613028847</v>
      </c>
      <c r="F37" s="4">
        <v>28389057.745529525</v>
      </c>
      <c r="G37" s="4">
        <v>29615119.132918429</v>
      </c>
      <c r="H37" s="4">
        <v>30881341.310261965</v>
      </c>
      <c r="I37" s="4">
        <v>32188498.396718103</v>
      </c>
      <c r="J37" s="4">
        <v>33537360.453107916</v>
      </c>
      <c r="K37" s="4">
        <v>34928692.838509433</v>
      </c>
      <c r="L37" s="4">
        <v>36363255.566782892</v>
      </c>
      <c r="M37" s="4">
        <v>37841802.663933434</v>
      </c>
      <c r="N37" s="4">
        <v>39365081.527212776</v>
      </c>
      <c r="O37" s="4">
        <v>40933832.286854416</v>
      </c>
      <c r="P37" s="4">
        <v>42548787.171328582</v>
      </c>
      <c r="Q37" s="4">
        <v>44210669.876992755</v>
      </c>
      <c r="R37" s="4">
        <v>45920194.943001509</v>
      </c>
      <c r="S37" s="4">
        <v>47678067.132325716</v>
      </c>
      <c r="T37" s="4">
        <v>49484980.819715597</v>
      </c>
      <c r="U37" s="4">
        <v>51341619.387425467</v>
      </c>
      <c r="V37" s="4">
        <v>53248654.629499227</v>
      </c>
      <c r="W37" s="4">
        <v>55206746.16539605</v>
      </c>
      <c r="X37" s="4">
        <v>57216540.863714501</v>
      </c>
      <c r="Y37" s="4">
        <v>59278672.276750617</v>
      </c>
      <c r="Z37" s="4">
        <v>61393760.086602077</v>
      </c>
      <c r="AA37" s="4">
        <v>63562409.563505702</v>
      </c>
      <c r="AB37" s="4">
        <v>65785211.037069544</v>
      </c>
      <c r="AC37" s="4">
        <v>68062739.381034404</v>
      </c>
      <c r="AD37" s="4">
        <v>70395553.512171581</v>
      </c>
      <c r="AE37" s="4">
        <v>72784195.903895453</v>
      </c>
      <c r="AF37" s="4">
        <v>75229192.115140319</v>
      </c>
      <c r="AG37" s="4">
        <v>77731050.335020974</v>
      </c>
      <c r="AH37" s="4">
        <v>80290260.94376649</v>
      </c>
      <c r="AI37" s="4">
        <v>82907296.090385631</v>
      </c>
      <c r="AJ37" s="4">
        <v>85582609.287491128</v>
      </c>
      <c r="AK37" s="4">
        <v>88316635.023678884</v>
      </c>
      <c r="AL37" s="4">
        <v>91109788.393826202</v>
      </c>
      <c r="AM37" s="4">
        <v>93962464.747641295</v>
      </c>
      <c r="AN37" s="4">
        <v>96875039.356764689</v>
      </c>
      <c r="AO37" s="4">
        <v>99847867.100690722</v>
      </c>
      <c r="AP37" s="4">
        <v>102881282.17174602</v>
      </c>
      <c r="AQ37" s="4">
        <v>105975597.79932977</v>
      </c>
      <c r="AR37" s="4">
        <v>109131105.99358927</v>
      </c>
      <c r="AS37" s="4">
        <v>112348077.30867267</v>
      </c>
      <c r="AT37" s="4">
        <v>115626760.62567051</v>
      </c>
      <c r="AU37" s="4">
        <v>118967382.95532648</v>
      </c>
      <c r="AV37" s="4">
        <v>122370149.26056823</v>
      </c>
      <c r="AW37" s="4">
        <v>125835242.29887901</v>
      </c>
      <c r="AX37" s="4">
        <v>129362822.48450238</v>
      </c>
      <c r="AY37" s="4">
        <v>132953027.77044351</v>
      </c>
      <c r="AZ37" s="4">
        <v>136605973.55020264</v>
      </c>
      <c r="BA37" s="4">
        <v>140321752.57914943</v>
      </c>
      <c r="BB37" s="4">
        <v>144100434.91542062</v>
      </c>
      <c r="BC37" s="4">
        <v>147942067.88019699</v>
      </c>
      <c r="BD37" s="4">
        <v>151846676.03719211</v>
      </c>
      <c r="BE37" s="4">
        <v>155814261.19115973</v>
      </c>
      <c r="BF37" s="4">
        <v>159844802.40520504</v>
      </c>
      <c r="BG37" s="4">
        <v>163938256.03666151</v>
      </c>
      <c r="BH37" s="4">
        <v>168094555.79127398</v>
      </c>
      <c r="BI37" s="4">
        <v>172313612.79540861</v>
      </c>
      <c r="BJ37" s="4">
        <v>176595315.68599001</v>
      </c>
      <c r="BK37" s="4">
        <v>180939530.71784747</v>
      </c>
      <c r="BL37" s="4">
        <v>185346101.88813487</v>
      </c>
      <c r="BM37" s="4">
        <v>189814851.07747164</v>
      </c>
      <c r="BN37" s="4">
        <v>194345578.20743629</v>
      </c>
      <c r="BO37" s="4">
        <v>198938061.41402996</v>
      </c>
      <c r="BP37" s="4">
        <v>203592057.23671269</v>
      </c>
      <c r="BQ37" s="4">
        <v>208307300.82260287</v>
      </c>
      <c r="BR37" s="4">
        <v>213083506.14541817</v>
      </c>
      <c r="BS37" s="4">
        <v>217920366.2387251</v>
      </c>
      <c r="BT37" s="4">
        <v>222817553.44305515</v>
      </c>
      <c r="BU37" s="4">
        <v>227774719.66643536</v>
      </c>
    </row>
    <row r="38" spans="1:73" x14ac:dyDescent="0.25">
      <c r="A38" s="3" t="s">
        <v>41</v>
      </c>
      <c r="B38" s="3" t="str">
        <f>VLOOKUP(A38,'storage capacity'!$A$2:$C$195,3,FALSE)</f>
        <v>Other latin america</v>
      </c>
      <c r="C38" s="4">
        <v>542128.39999999851</v>
      </c>
      <c r="D38" s="4">
        <v>568063.99185304821</v>
      </c>
      <c r="E38" s="4">
        <v>594968.58692817006</v>
      </c>
      <c r="F38" s="4">
        <v>622865.64650571533</v>
      </c>
      <c r="G38" s="4">
        <v>651778.7004497872</v>
      </c>
      <c r="H38" s="4">
        <v>681731.32940453489</v>
      </c>
      <c r="I38" s="4">
        <v>712747.1467164011</v>
      </c>
      <c r="J38" s="4">
        <v>744849.78010762972</v>
      </c>
      <c r="K38" s="4">
        <v>778062.8531268168</v>
      </c>
      <c r="L38" s="4">
        <v>812409.9664027004</v>
      </c>
      <c r="M38" s="4">
        <v>847914.67872773798</v>
      </c>
      <c r="N38" s="4">
        <v>884600.48799830955</v>
      </c>
      <c r="O38" s="4">
        <v>922490.81203861663</v>
      </c>
      <c r="P38" s="4">
        <v>961608.96933550911</v>
      </c>
      <c r="Q38" s="4">
        <v>1001978.1597115804</v>
      </c>
      <c r="R38" s="4">
        <v>1043621.4449639146</v>
      </c>
      <c r="S38" s="4">
        <v>1086561.7294958543</v>
      </c>
      <c r="T38" s="4">
        <v>1130821.7409690805</v>
      </c>
      <c r="U38" s="4">
        <v>1176424.0110031639</v>
      </c>
      <c r="V38" s="4">
        <v>1223390.8559495544</v>
      </c>
      <c r="W38" s="4">
        <v>1271744.3577667319</v>
      </c>
      <c r="X38" s="4">
        <v>1321506.3450229343</v>
      </c>
      <c r="Y38" s="4">
        <v>1372698.3740525318</v>
      </c>
      <c r="Z38" s="4">
        <v>1425341.710291706</v>
      </c>
      <c r="AA38" s="4">
        <v>1479457.3098186399</v>
      </c>
      <c r="AB38" s="4">
        <v>1535065.8011229222</v>
      </c>
      <c r="AC38" s="4">
        <v>1592187.4671283253</v>
      </c>
      <c r="AD38" s="4">
        <v>1650842.2274925229</v>
      </c>
      <c r="AE38" s="4">
        <v>1711049.6212066824</v>
      </c>
      <c r="AF38" s="4">
        <v>1772828.7895171996</v>
      </c>
      <c r="AG38" s="4">
        <v>1836198.4591911356</v>
      </c>
      <c r="AH38" s="4">
        <v>1901176.9261461743</v>
      </c>
      <c r="AI38" s="4">
        <v>1967782.0394651527</v>
      </c>
      <c r="AJ38" s="4">
        <v>2036031.1858144042</v>
      </c>
      <c r="AK38" s="4">
        <v>2105941.2742843423</v>
      </c>
      <c r="AL38" s="4">
        <v>2177528.7216698471</v>
      </c>
      <c r="AM38" s="4">
        <v>2250809.4382071495</v>
      </c>
      <c r="AN38" s="4">
        <v>2325798.8137830151</v>
      </c>
      <c r="AO38" s="4">
        <v>2402511.7046311209</v>
      </c>
      <c r="AP38" s="4">
        <v>2480962.4205295853</v>
      </c>
      <c r="AQ38" s="4">
        <v>2561164.712512692</v>
      </c>
      <c r="AR38" s="4">
        <v>2643131.7611088841</v>
      </c>
      <c r="AS38" s="4">
        <v>2726876.1651161676</v>
      </c>
      <c r="AT38" s="4">
        <v>2812409.930925095</v>
      </c>
      <c r="AU38" s="4">
        <v>2899744.4623985477</v>
      </c>
      <c r="AV38" s="4">
        <v>2988890.5513165607</v>
      </c>
      <c r="AW38" s="4">
        <v>3079858.3683934994</v>
      </c>
      <c r="AX38" s="4">
        <v>3172657.4548739111</v>
      </c>
      <c r="AY38" s="4">
        <v>3267296.7147124498</v>
      </c>
      <c r="AZ38" s="4">
        <v>3363784.4073423212</v>
      </c>
      <c r="BA38" s="4">
        <v>3462128.1410357547</v>
      </c>
      <c r="BB38" s="4">
        <v>3562334.8668591059</v>
      </c>
      <c r="BC38" s="4">
        <v>3664410.8732242677</v>
      </c>
      <c r="BD38" s="4">
        <v>3768361.7810371844</v>
      </c>
      <c r="BE38" s="4">
        <v>3874192.5394433849</v>
      </c>
      <c r="BF38" s="4">
        <v>3981907.4221695885</v>
      </c>
      <c r="BG38" s="4">
        <v>4091510.0244595995</v>
      </c>
      <c r="BH38" s="4">
        <v>4203003.2606018847</v>
      </c>
      <c r="BI38" s="4">
        <v>4316389.3620454334</v>
      </c>
      <c r="BJ38" s="4">
        <v>4431669.8760997113</v>
      </c>
      <c r="BK38" s="4">
        <v>4548845.665213787</v>
      </c>
      <c r="BL38" s="4">
        <v>4667916.9068289641</v>
      </c>
      <c r="BM38" s="4">
        <v>4788883.0937985582</v>
      </c>
      <c r="BN38" s="4">
        <v>4911743.0353677748</v>
      </c>
      <c r="BO38" s="4">
        <v>5036494.8587060077</v>
      </c>
      <c r="BP38" s="4">
        <v>5163136.0109832389</v>
      </c>
      <c r="BQ38" s="4">
        <v>5291663.2619816344</v>
      </c>
      <c r="BR38" s="4">
        <v>5422072.7072328664</v>
      </c>
      <c r="BS38" s="4">
        <v>5554359.7716711499</v>
      </c>
      <c r="BT38" s="4">
        <v>5688519.2137914719</v>
      </c>
      <c r="BU38" s="4">
        <v>5824545.1303020166</v>
      </c>
    </row>
    <row r="39" spans="1:73" x14ac:dyDescent="0.25">
      <c r="A39" s="3" t="s">
        <v>42</v>
      </c>
      <c r="B39" s="3" t="str">
        <f>VLOOKUP(A39,'storage capacity'!$A$2:$C$195,3,FALSE)</f>
        <v>Sub-saharan africa</v>
      </c>
      <c r="C39" s="4">
        <v>1988.7333333333663</v>
      </c>
      <c r="D39" s="4">
        <v>2091.3916291839068</v>
      </c>
      <c r="E39" s="4">
        <v>2198.2695650234805</v>
      </c>
      <c r="F39" s="4">
        <v>2309.4859652173277</v>
      </c>
      <c r="G39" s="4">
        <v>2425.1606723788541</v>
      </c>
      <c r="H39" s="4">
        <v>2545.4144679307005</v>
      </c>
      <c r="I39" s="4">
        <v>2670.3689903103623</v>
      </c>
      <c r="J39" s="4">
        <v>2800.1466509255401</v>
      </c>
      <c r="K39" s="4">
        <v>2934.8705479692076</v>
      </c>
      <c r="L39" s="4">
        <v>3074.6643782088845</v>
      </c>
      <c r="M39" s="4">
        <v>3219.6523468688456</v>
      </c>
      <c r="N39" s="4">
        <v>3369.9590757279375</v>
      </c>
      <c r="O39" s="4">
        <v>3525.7095095593222</v>
      </c>
      <c r="P39" s="4">
        <v>3687.0288210417916</v>
      </c>
      <c r="Q39" s="4">
        <v>3854.0423142753334</v>
      </c>
      <c r="R39" s="4">
        <v>4026.8753270363186</v>
      </c>
      <c r="S39" s="4">
        <v>4205.6531319100759</v>
      </c>
      <c r="T39" s="4">
        <v>4390.5008364406558</v>
      </c>
      <c r="U39" s="4">
        <v>4581.5432824393311</v>
      </c>
      <c r="V39" s="4">
        <v>4778.9049445947649</v>
      </c>
      <c r="W39" s="4">
        <v>4982.7098285288557</v>
      </c>
      <c r="X39" s="4">
        <v>5193.0813684430104</v>
      </c>
      <c r="Y39" s="4">
        <v>5410.1423245000096</v>
      </c>
      <c r="Z39" s="4">
        <v>5634.0146800867215</v>
      </c>
      <c r="AA39" s="4">
        <v>5864.8195391027211</v>
      </c>
      <c r="AB39" s="4">
        <v>6102.6770234193018</v>
      </c>
      <c r="AC39" s="4">
        <v>6347.706170652551</v>
      </c>
      <c r="AD39" s="4">
        <v>6600.02483239301</v>
      </c>
      <c r="AE39" s="4">
        <v>6859.7495730329965</v>
      </c>
      <c r="AF39" s="4">
        <v>7126.9955693309557</v>
      </c>
      <c r="AG39" s="4">
        <v>7401.8765108502112</v>
      </c>
      <c r="AH39" s="4">
        <v>7684.5045014072102</v>
      </c>
      <c r="AI39" s="4">
        <v>7974.9899616618532</v>
      </c>
      <c r="AJ39" s="4">
        <v>8273.4415329797066</v>
      </c>
      <c r="AK39" s="4">
        <v>8579.9659826929383</v>
      </c>
      <c r="AL39" s="4">
        <v>8894.6681108835328</v>
      </c>
      <c r="AM39" s="4">
        <v>9217.650658808956</v>
      </c>
      <c r="AN39" s="4">
        <v>9549.0142190867682</v>
      </c>
      <c r="AO39" s="4">
        <v>9888.8571477508722</v>
      </c>
      <c r="AP39" s="4">
        <v>10237.275478288082</v>
      </c>
      <c r="AQ39" s="4">
        <v>10594.362837759529</v>
      </c>
      <c r="AR39" s="4">
        <v>10960.210365107117</v>
      </c>
      <c r="AS39" s="4">
        <v>11334.906631740789</v>
      </c>
      <c r="AT39" s="4">
        <v>11718.537564497787</v>
      </c>
      <c r="AU39" s="4">
        <v>12111.186371060434</v>
      </c>
      <c r="AV39" s="4">
        <v>12512.933467914145</v>
      </c>
      <c r="AW39" s="4">
        <v>12923.856410922557</v>
      </c>
      <c r="AX39" s="4">
        <v>13344.029828591732</v>
      </c>
      <c r="AY39" s="4">
        <v>13773.525358090346</v>
      </c>
      <c r="AZ39" s="4">
        <v>14212.411584087811</v>
      </c>
      <c r="BA39" s="4">
        <v>14660.753980467187</v>
      </c>
      <c r="BB39" s="4">
        <v>15118.614854964615</v>
      </c>
      <c r="BC39" s="4">
        <v>15586.053296781964</v>
      </c>
      <c r="BD39" s="4">
        <v>16063.125127214242</v>
      </c>
      <c r="BE39" s="4">
        <v>16549.882853328283</v>
      </c>
      <c r="BF39" s="4">
        <v>17046.375624724104</v>
      </c>
      <c r="BG39" s="4">
        <v>17552.649193405385</v>
      </c>
      <c r="BH39" s="4">
        <v>18068.745876780493</v>
      </c>
      <c r="BI39" s="4">
        <v>18594.704523810538</v>
      </c>
      <c r="BJ39" s="4">
        <v>19130.56048431616</v>
      </c>
      <c r="BK39" s="4">
        <v>19676.345581449881</v>
      </c>
      <c r="BL39" s="4">
        <v>20232.088087336229</v>
      </c>
      <c r="BM39" s="4">
        <v>20797.812701877163</v>
      </c>
      <c r="BN39" s="4">
        <v>21373.540534715838</v>
      </c>
      <c r="BO39" s="4">
        <v>21959.289090347393</v>
      </c>
      <c r="BP39" s="4">
        <v>22555.072256360996</v>
      </c>
      <c r="BQ39" s="4">
        <v>23160.900294793377</v>
      </c>
      <c r="BR39" s="4">
        <v>23776.779836569876</v>
      </c>
      <c r="BS39" s="4">
        <v>24402.713879005161</v>
      </c>
      <c r="BT39" s="4">
        <v>25038.701786331978</v>
      </c>
      <c r="BU39" s="4">
        <v>25684.739293222567</v>
      </c>
    </row>
    <row r="40" spans="1:73" x14ac:dyDescent="0.25">
      <c r="A40" s="3" t="s">
        <v>43</v>
      </c>
      <c r="B40" s="3" t="str">
        <f>VLOOKUP(A40,'storage capacity'!$A$2:$C$195,3,FALSE)</f>
        <v>Sub-saharan africa</v>
      </c>
      <c r="C40" s="4">
        <v>20538.333333333256</v>
      </c>
      <c r="D40" s="4">
        <v>21638.625959486504</v>
      </c>
      <c r="E40" s="4">
        <v>22786.271778401293</v>
      </c>
      <c r="F40" s="4">
        <v>23982.700049228581</v>
      </c>
      <c r="G40" s="4">
        <v>25229.356142091368</v>
      </c>
      <c r="H40" s="4">
        <v>26527.700664771979</v>
      </c>
      <c r="I40" s="4">
        <v>27879.208555691024</v>
      </c>
      <c r="J40" s="4">
        <v>29285.368144244225</v>
      </c>
      <c r="K40" s="4">
        <v>30747.68017963427</v>
      </c>
      <c r="L40" s="4">
        <v>32267.656829403026</v>
      </c>
      <c r="M40" s="4">
        <v>33846.820648934699</v>
      </c>
      <c r="N40" s="4">
        <v>35486.703523262528</v>
      </c>
      <c r="O40" s="4">
        <v>37188.845582570517</v>
      </c>
      <c r="P40" s="4">
        <v>38954.794092836928</v>
      </c>
      <c r="Q40" s="4">
        <v>40786.10232311819</v>
      </c>
      <c r="R40" s="4">
        <v>42684.328391019881</v>
      </c>
      <c r="S40" s="4">
        <v>44651.034087945882</v>
      </c>
      <c r="T40" s="4">
        <v>46687.783685757197</v>
      </c>
      <c r="U40" s="4">
        <v>48796.142726508631</v>
      </c>
      <c r="V40" s="4">
        <v>50977.67679696378</v>
      </c>
      <c r="W40" s="4">
        <v>53233.950289617627</v>
      </c>
      <c r="X40" s="4">
        <v>55566.525151980168</v>
      </c>
      <c r="Y40" s="4">
        <v>57976.959625894968</v>
      </c>
      <c r="Z40" s="4">
        <v>60466.806978682747</v>
      </c>
      <c r="AA40" s="4">
        <v>63037.614227912112</v>
      </c>
      <c r="AB40" s="4">
        <v>65690.920861607679</v>
      </c>
      <c r="AC40" s="4">
        <v>68428.257555709788</v>
      </c>
      <c r="AD40" s="4">
        <v>71251.144890599986</v>
      </c>
      <c r="AE40" s="4">
        <v>74161.092068502461</v>
      </c>
      <c r="AF40" s="4">
        <v>77159.595633563644</v>
      </c>
      <c r="AG40" s="4">
        <v>80248.138196400876</v>
      </c>
      <c r="AH40" s="4">
        <v>83428.187164895135</v>
      </c>
      <c r="AI40" s="4">
        <v>86701.193482984148</v>
      </c>
      <c r="AJ40" s="4">
        <v>90068.590379189511</v>
      </c>
      <c r="AK40" s="4">
        <v>93531.792126585526</v>
      </c>
      <c r="AL40" s="4">
        <v>97092.192815888047</v>
      </c>
      <c r="AM40" s="4">
        <v>100751.16514330941</v>
      </c>
      <c r="AN40" s="4">
        <v>104510.0592147899</v>
      </c>
      <c r="AO40" s="4">
        <v>108370.2013681777</v>
      </c>
      <c r="AP40" s="4">
        <v>112332.89301488853</v>
      </c>
      <c r="AQ40" s="4">
        <v>116399.40950253211</v>
      </c>
      <c r="AR40" s="4">
        <v>120570.99899994652</v>
      </c>
      <c r="AS40" s="4">
        <v>124848.88140603292</v>
      </c>
      <c r="AT40" s="4">
        <v>129234.24728373297</v>
      </c>
      <c r="AU40" s="4">
        <v>133728.25682043785</v>
      </c>
      <c r="AV40" s="4">
        <v>138332.03881606433</v>
      </c>
      <c r="AW40" s="4">
        <v>143046.68969997644</v>
      </c>
      <c r="AX40" s="4">
        <v>147873.27257787451</v>
      </c>
      <c r="AY40" s="4">
        <v>152812.8163097139</v>
      </c>
      <c r="AZ40" s="4">
        <v>157866.31461965601</v>
      </c>
      <c r="BA40" s="4">
        <v>163034.72523899318</v>
      </c>
      <c r="BB40" s="4">
        <v>168318.96908292721</v>
      </c>
      <c r="BC40" s="4">
        <v>173719.92946201857</v>
      </c>
      <c r="BD40" s="4">
        <v>179238.45132906042</v>
      </c>
      <c r="BE40" s="4">
        <v>184875.34056206862</v>
      </c>
      <c r="BF40" s="4">
        <v>190631.36328401425</v>
      </c>
      <c r="BG40" s="4">
        <v>196507.24521986264</v>
      </c>
      <c r="BH40" s="4">
        <v>202503.67109141839</v>
      </c>
      <c r="BI40" s="4">
        <v>208621.28405041332</v>
      </c>
      <c r="BJ40" s="4">
        <v>214860.68515021011</v>
      </c>
      <c r="BK40" s="4">
        <v>221222.43285643315</v>
      </c>
      <c r="BL40" s="4">
        <v>227707.04259677508</v>
      </c>
      <c r="BM40" s="4">
        <v>234314.98635016696</v>
      </c>
      <c r="BN40" s="4">
        <v>241046.6922754391</v>
      </c>
      <c r="BO40" s="4">
        <v>247902.54437954031</v>
      </c>
      <c r="BP40" s="4">
        <v>254882.88222532542</v>
      </c>
      <c r="BQ40" s="4">
        <v>261988.00067886233</v>
      </c>
      <c r="BR40" s="4">
        <v>269218.14969615568</v>
      </c>
      <c r="BS40" s="4">
        <v>276573.53414912784</v>
      </c>
      <c r="BT40" s="4">
        <v>284054.31369064539</v>
      </c>
      <c r="BU40" s="4">
        <v>291660.60265832773</v>
      </c>
    </row>
    <row r="41" spans="1:73" x14ac:dyDescent="0.25">
      <c r="A41" s="3" t="s">
        <v>44</v>
      </c>
      <c r="B41" s="3" t="str">
        <f>VLOOKUP(A41,'storage capacity'!$A$2:$C$195,3,FALSE)</f>
        <v>Other latin america</v>
      </c>
      <c r="C41" s="4">
        <v>136397.73333333246</v>
      </c>
      <c r="D41" s="4">
        <v>145417.78295685988</v>
      </c>
      <c r="E41" s="4">
        <v>154938.16742730135</v>
      </c>
      <c r="F41" s="4">
        <v>164980.40699477037</v>
      </c>
      <c r="G41" s="4">
        <v>175566.59805734264</v>
      </c>
      <c r="H41" s="4">
        <v>186719.41171106804</v>
      </c>
      <c r="I41" s="4">
        <v>198462.09146402398</v>
      </c>
      <c r="J41" s="4">
        <v>210818.45009963488</v>
      </c>
      <c r="K41" s="4">
        <v>223812.86567616262</v>
      </c>
      <c r="L41" s="4">
        <v>237470.27665100468</v>
      </c>
      <c r="M41" s="4">
        <v>251816.17612021847</v>
      </c>
      <c r="N41" s="4">
        <v>266876.60516551364</v>
      </c>
      <c r="O41" s="4">
        <v>282678.14530281356</v>
      </c>
      <c r="P41" s="4">
        <v>299247.91002838028</v>
      </c>
      <c r="Q41" s="4">
        <v>316613.53546041145</v>
      </c>
      <c r="R41" s="4">
        <v>334803.17007595557</v>
      </c>
      <c r="S41" s="4">
        <v>353845.4635449386</v>
      </c>
      <c r="T41" s="4">
        <v>373769.55466505192</v>
      </c>
      <c r="U41" s="4">
        <v>394605.05840320751</v>
      </c>
      <c r="V41" s="4">
        <v>416382.05205121811</v>
      </c>
      <c r="W41" s="4">
        <v>439131.06050530076</v>
      </c>
      <c r="X41" s="4">
        <v>462883.04068092559</v>
      </c>
      <c r="Y41" s="4">
        <v>487669.36507643264</v>
      </c>
      <c r="Z41" s="4">
        <v>513521.80450071243</v>
      </c>
      <c r="AA41" s="4">
        <v>540472.50998208427</v>
      </c>
      <c r="AB41" s="4">
        <v>568553.99387730577</v>
      </c>
      <c r="AC41" s="4">
        <v>597799.1102014035</v>
      </c>
      <c r="AD41" s="4">
        <v>628241.03420071746</v>
      </c>
      <c r="AE41" s="4">
        <v>659913.24119320675</v>
      </c>
      <c r="AF41" s="4">
        <v>692849.48470165499</v>
      </c>
      <c r="AG41" s="4">
        <v>727083.77390694455</v>
      </c>
      <c r="AH41" s="4">
        <v>762650.35045003134</v>
      </c>
      <c r="AI41" s="4">
        <v>799583.66461264528</v>
      </c>
      <c r="AJ41" s="4">
        <v>837918.350908058</v>
      </c>
      <c r="AK41" s="4">
        <v>877689.20311450365</v>
      </c>
      <c r="AL41" s="4">
        <v>918931.1487849945</v>
      </c>
      <c r="AM41" s="4">
        <v>961679.22326835629</v>
      </c>
      <c r="AN41" s="4">
        <v>1005968.5432772983</v>
      </c>
      <c r="AO41" s="4">
        <v>1051834.2800402397</v>
      </c>
      <c r="AP41" s="4">
        <v>1099311.6320744301</v>
      </c>
      <c r="AQ41" s="4">
        <v>1148435.7976186341</v>
      </c>
      <c r="AR41" s="4">
        <v>1199241.9467642796</v>
      </c>
      <c r="AS41" s="4">
        <v>1251765.1933245203</v>
      </c>
      <c r="AT41" s="4">
        <v>1306040.5664811097</v>
      </c>
      <c r="AU41" s="4">
        <v>1362102.9822493505</v>
      </c>
      <c r="AV41" s="4">
        <v>1419987.2148016454</v>
      </c>
      <c r="AW41" s="4">
        <v>1479727.8676903555</v>
      </c>
      <c r="AX41" s="4">
        <v>1541359.345010756</v>
      </c>
      <c r="AY41" s="4">
        <v>1604915.8225448749</v>
      </c>
      <c r="AZ41" s="4">
        <v>1670431.2189269064</v>
      </c>
      <c r="BA41" s="4">
        <v>1737939.1668707102</v>
      </c>
      <c r="BB41" s="4">
        <v>1807472.9844996433</v>
      </c>
      <c r="BC41" s="4">
        <v>1879065.6468186136</v>
      </c>
      <c r="BD41" s="4">
        <v>1952749.7573678249</v>
      </c>
      <c r="BE41" s="4">
        <v>2028557.5200971586</v>
      </c>
      <c r="BF41" s="4">
        <v>2106520.7114995634</v>
      </c>
      <c r="BG41" s="4">
        <v>2186670.6530411504</v>
      </c>
      <c r="BH41" s="4">
        <v>2269038.1839249637</v>
      </c>
      <c r="BI41" s="4">
        <v>2353653.6342246016</v>
      </c>
      <c r="BJ41" s="4">
        <v>2440546.7984229885</v>
      </c>
      <c r="BK41" s="4">
        <v>2529746.9093906707</v>
      </c>
      <c r="BL41" s="4">
        <v>2621282.6128370357</v>
      </c>
      <c r="BM41" s="4">
        <v>2715181.942266793</v>
      </c>
      <c r="BN41" s="4">
        <v>2811472.2944729873</v>
      </c>
      <c r="BO41" s="4">
        <v>2910180.4055966507</v>
      </c>
      <c r="BP41" s="4">
        <v>3011332.3277820316</v>
      </c>
      <c r="BQ41" s="4">
        <v>3114953.4064551122</v>
      </c>
      <c r="BR41" s="4">
        <v>3221068.2582518556</v>
      </c>
      <c r="BS41" s="4">
        <v>3329700.7496213377</v>
      </c>
      <c r="BT41" s="4">
        <v>3440873.976127591</v>
      </c>
      <c r="BU41" s="4">
        <v>3554610.2424726365</v>
      </c>
    </row>
    <row r="42" spans="1:73" x14ac:dyDescent="0.25">
      <c r="A42" s="3" t="s">
        <v>45</v>
      </c>
      <c r="B42" s="3" t="str">
        <f>VLOOKUP(A42,'storage capacity'!$A$2:$C$195,3,FALSE)</f>
        <v>Sub-saharan africa</v>
      </c>
      <c r="C42" s="4">
        <v>137293.19999999925</v>
      </c>
      <c r="D42" s="4">
        <v>145153.08863631636</v>
      </c>
      <c r="E42" s="4">
        <v>153379.84888940919</v>
      </c>
      <c r="F42" s="4">
        <v>161985.94238531808</v>
      </c>
      <c r="G42" s="4">
        <v>170984.03120553956</v>
      </c>
      <c r="H42" s="4">
        <v>180386.97186941252</v>
      </c>
      <c r="I42" s="4">
        <v>190207.80894556615</v>
      </c>
      <c r="J42" s="4">
        <v>200459.76829761223</v>
      </c>
      <c r="K42" s="4">
        <v>211156.24997007012</v>
      </c>
      <c r="L42" s="4">
        <v>222310.82072130314</v>
      </c>
      <c r="M42" s="4">
        <v>233937.2062110219</v>
      </c>
      <c r="N42" s="4">
        <v>246049.28285066868</v>
      </c>
      <c r="O42" s="4">
        <v>258661.06932573623</v>
      </c>
      <c r="P42" s="4">
        <v>271786.71779979178</v>
      </c>
      <c r="Q42" s="4">
        <v>285440.5048106708</v>
      </c>
      <c r="R42" s="4">
        <v>299636.8218699735</v>
      </c>
      <c r="S42" s="4">
        <v>314390.16577763687</v>
      </c>
      <c r="T42" s="4">
        <v>329715.12866396859</v>
      </c>
      <c r="U42" s="4">
        <v>345626.38777210849</v>
      </c>
      <c r="V42" s="4">
        <v>362138.69499443367</v>
      </c>
      <c r="W42" s="4">
        <v>379266.86617693887</v>
      </c>
      <c r="X42" s="4">
        <v>397025.77020610496</v>
      </c>
      <c r="Y42" s="4">
        <v>415430.31789321435</v>
      </c>
      <c r="Z42" s="4">
        <v>434495.45067148178</v>
      </c>
      <c r="AA42" s="4">
        <v>454236.12912174099</v>
      </c>
      <c r="AB42" s="4">
        <v>474667.32134276128</v>
      </c>
      <c r="AC42" s="4">
        <v>495803.99118256534</v>
      </c>
      <c r="AD42" s="4">
        <v>517661.08634737541</v>
      </c>
      <c r="AE42" s="4">
        <v>540253.52640503284</v>
      </c>
      <c r="AF42" s="4">
        <v>563596.19069991587</v>
      </c>
      <c r="AG42" s="4">
        <v>587703.90619651927</v>
      </c>
      <c r="AH42" s="4">
        <v>612591.4352689581</v>
      </c>
      <c r="AI42" s="4">
        <v>638273.46345372277</v>
      </c>
      <c r="AJ42" s="4">
        <v>664764.58718303323</v>
      </c>
      <c r="AK42" s="4">
        <v>692079.30151612335</v>
      </c>
      <c r="AL42" s="4">
        <v>720231.98788573733</v>
      </c>
      <c r="AM42" s="4">
        <v>749236.90187702794</v>
      </c>
      <c r="AN42" s="4">
        <v>779108.16105592041</v>
      </c>
      <c r="AO42" s="4">
        <v>809859.73286384565</v>
      </c>
      <c r="AP42" s="4">
        <v>841505.42259555007</v>
      </c>
      <c r="AQ42" s="4">
        <v>874058.86147646303</v>
      </c>
      <c r="AR42" s="4">
        <v>907533.49485583603</v>
      </c>
      <c r="AS42" s="4">
        <v>941942.57053158456</v>
      </c>
      <c r="AT42" s="4">
        <v>977299.12722243287</v>
      </c>
      <c r="AU42" s="4">
        <v>1013615.983202618</v>
      </c>
      <c r="AV42" s="4">
        <v>1050905.7251140287</v>
      </c>
      <c r="AW42" s="4">
        <v>1089180.6969702523</v>
      </c>
      <c r="AX42" s="4">
        <v>1128452.989366577</v>
      </c>
      <c r="AY42" s="4">
        <v>1168734.428909542</v>
      </c>
      <c r="AZ42" s="4">
        <v>1210036.567879163</v>
      </c>
      <c r="BA42" s="4">
        <v>1252370.6741364615</v>
      </c>
      <c r="BB42" s="4">
        <v>1295747.721288424</v>
      </c>
      <c r="BC42" s="4">
        <v>1340178.3791219841</v>
      </c>
      <c r="BD42" s="4">
        <v>1385673.0043180839</v>
      </c>
      <c r="BE42" s="4">
        <v>1432241.6314563123</v>
      </c>
      <c r="BF42" s="4">
        <v>1479893.9643200531</v>
      </c>
      <c r="BG42" s="4">
        <v>1528639.367511499</v>
      </c>
      <c r="BH42" s="4">
        <v>1578486.8583852937</v>
      </c>
      <c r="BI42" s="4">
        <v>1629445.0993089841</v>
      </c>
      <c r="BJ42" s="4">
        <v>1681522.3902578475</v>
      </c>
      <c r="BK42" s="4">
        <v>1734726.6617510736</v>
      </c>
      <c r="BL42" s="4">
        <v>1789065.468135654</v>
      </c>
      <c r="BM42" s="4">
        <v>1844545.9812237436</v>
      </c>
      <c r="BN42" s="4">
        <v>1901174.984288631</v>
      </c>
      <c r="BO42" s="4">
        <v>1958958.8664238621</v>
      </c>
      <c r="BP42" s="4">
        <v>2017903.6172694457</v>
      </c>
      <c r="BQ42" s="4">
        <v>2078014.8221084797</v>
      </c>
      <c r="BR42" s="4">
        <v>2139297.6573369252</v>
      </c>
      <c r="BS42" s="4">
        <v>2201756.8863086863</v>
      </c>
      <c r="BT42" s="4">
        <v>2265396.8555575483</v>
      </c>
      <c r="BU42" s="4">
        <v>2330221.4913969748</v>
      </c>
    </row>
    <row r="43" spans="1:73" x14ac:dyDescent="0.25">
      <c r="A43" s="3" t="s">
        <v>46</v>
      </c>
      <c r="B43" s="3" t="str">
        <f>VLOOKUP(A43,'storage capacity'!$A$2:$C$195,3,FALSE)</f>
        <v>Other eurasia</v>
      </c>
      <c r="C43" s="4">
        <v>125658.33333333395</v>
      </c>
      <c r="D43" s="4">
        <v>133132.03673046498</v>
      </c>
      <c r="E43" s="4">
        <v>140971.06686477878</v>
      </c>
      <c r="F43" s="4">
        <v>149188.66575137962</v>
      </c>
      <c r="G43" s="4">
        <v>157798.32526825406</v>
      </c>
      <c r="H43" s="4">
        <v>166813.78195586309</v>
      </c>
      <c r="I43" s="4">
        <v>176249.01138131553</v>
      </c>
      <c r="J43" s="4">
        <v>186118.22206945621</v>
      </c>
      <c r="K43" s="4">
        <v>196435.8490041474</v>
      </c>
      <c r="L43" s="4">
        <v>207216.54670396264</v>
      </c>
      <c r="M43" s="4">
        <v>218475.18187744476</v>
      </c>
      <c r="N43" s="4">
        <v>230226.82566400513</v>
      </c>
      <c r="O43" s="4">
        <v>242486.74546745128</v>
      </c>
      <c r="P43" s="4">
        <v>255270.3963900269</v>
      </c>
      <c r="Q43" s="4">
        <v>268593.41227572638</v>
      </c>
      <c r="R43" s="4">
        <v>282471.59637250449</v>
      </c>
      <c r="S43" s="4">
        <v>296920.91162383562</v>
      </c>
      <c r="T43" s="4">
        <v>311957.47060088965</v>
      </c>
      <c r="U43" s="4">
        <v>327597.52508737153</v>
      </c>
      <c r="V43" s="4">
        <v>343857.45532982622</v>
      </c>
      <c r="W43" s="4">
        <v>360753.75896693271</v>
      </c>
      <c r="X43" s="4">
        <v>378303.03965199826</v>
      </c>
      <c r="Y43" s="4">
        <v>396521.99538351753</v>
      </c>
      <c r="Z43" s="4">
        <v>415427.40655927884</v>
      </c>
      <c r="AA43" s="4">
        <v>435036.1237700762</v>
      </c>
      <c r="AB43" s="4">
        <v>455365.05534962734</v>
      </c>
      <c r="AC43" s="4">
        <v>476431.15469779423</v>
      </c>
      <c r="AD43" s="4">
        <v>498251.40739466046</v>
      </c>
      <c r="AE43" s="4">
        <v>520842.81812343362</v>
      </c>
      <c r="AF43" s="4">
        <v>544222.39742051251</v>
      </c>
      <c r="AG43" s="4">
        <v>568407.1482713857</v>
      </c>
      <c r="AH43" s="4">
        <v>593414.05257131113</v>
      </c>
      <c r="AI43" s="4">
        <v>619260.05746996647</v>
      </c>
      <c r="AJ43" s="4">
        <v>645962.06161945045</v>
      </c>
      <c r="AK43" s="4">
        <v>673536.90134516964</v>
      </c>
      <c r="AL43" s="4">
        <v>702001.336759247</v>
      </c>
      <c r="AM43" s="4">
        <v>731372.03783614887</v>
      </c>
      <c r="AN43" s="4">
        <v>761665.57047024777</v>
      </c>
      <c r="AO43" s="4">
        <v>792898.38253500767</v>
      </c>
      <c r="AP43" s="4">
        <v>825086.78996341454</v>
      </c>
      <c r="AQ43" s="4">
        <v>858246.96286916081</v>
      </c>
      <c r="AR43" s="4">
        <v>892394.91172794264</v>
      </c>
      <c r="AS43" s="4">
        <v>927546.4736380392</v>
      </c>
      <c r="AT43" s="4">
        <v>963717.29867911048</v>
      </c>
      <c r="AU43" s="4">
        <v>1000922.8363878842</v>
      </c>
      <c r="AV43" s="4">
        <v>1039178.3223691002</v>
      </c>
      <c r="AW43" s="4">
        <v>1078498.7650597384</v>
      </c>
      <c r="AX43" s="4">
        <v>1118898.9326641867</v>
      </c>
      <c r="AY43" s="4">
        <v>1160393.3402775992</v>
      </c>
      <c r="AZ43" s="4">
        <v>1202996.2372142619</v>
      </c>
      <c r="BA43" s="4">
        <v>1246721.5945573174</v>
      </c>
      <c r="BB43" s="4">
        <v>1291583.0929457096</v>
      </c>
      <c r="BC43" s="4">
        <v>1337594.1106136919</v>
      </c>
      <c r="BD43" s="4">
        <v>1384767.7116977042</v>
      </c>
      <c r="BE43" s="4">
        <v>1433116.6348248553</v>
      </c>
      <c r="BF43" s="4">
        <v>1482653.281996673</v>
      </c>
      <c r="BG43" s="4">
        <v>1533389.7077811721</v>
      </c>
      <c r="BH43" s="4">
        <v>1585337.6088256808</v>
      </c>
      <c r="BI43" s="4">
        <v>1638508.3137022231</v>
      </c>
      <c r="BJ43" s="4">
        <v>1692912.7730966189</v>
      </c>
      <c r="BK43" s="4">
        <v>1748561.5503517941</v>
      </c>
      <c r="BL43" s="4">
        <v>1805464.8123751278</v>
      </c>
      <c r="BM43" s="4">
        <v>1863632.3209189952</v>
      </c>
      <c r="BN43" s="4">
        <v>1923073.4242429675</v>
      </c>
      <c r="BO43" s="4">
        <v>1983797.0491654559</v>
      </c>
      <c r="BP43" s="4">
        <v>2045811.6935118884</v>
      </c>
      <c r="BQ43" s="4">
        <v>2109125.4189658212</v>
      </c>
      <c r="BR43" s="4">
        <v>2173745.8443286903</v>
      </c>
      <c r="BS43" s="4">
        <v>2239680.1391932243</v>
      </c>
      <c r="BT43" s="4">
        <v>2306935.0180348475</v>
      </c>
      <c r="BU43" s="4">
        <v>2375516.7347247261</v>
      </c>
    </row>
    <row r="44" spans="1:73" x14ac:dyDescent="0.25">
      <c r="A44" s="3" t="s">
        <v>47</v>
      </c>
      <c r="B44" s="3" t="str">
        <f>VLOOKUP(A44,'storage capacity'!$A$2:$C$195,3,FALSE)</f>
        <v>Other latin america</v>
      </c>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c r="AW44" s="4"/>
      <c r="AX44" s="4"/>
      <c r="AY44" s="4"/>
      <c r="AZ44" s="4"/>
      <c r="BA44" s="4"/>
      <c r="BB44" s="4"/>
      <c r="BC44" s="4"/>
      <c r="BD44" s="4"/>
      <c r="BE44" s="4"/>
      <c r="BF44" s="4"/>
      <c r="BG44" s="4"/>
      <c r="BH44" s="4"/>
      <c r="BI44" s="4"/>
      <c r="BJ44" s="4"/>
      <c r="BK44" s="4"/>
      <c r="BL44" s="4"/>
      <c r="BM44" s="4"/>
      <c r="BN44" s="4"/>
      <c r="BO44" s="4"/>
      <c r="BP44" s="4"/>
      <c r="BQ44" s="4"/>
      <c r="BR44" s="4"/>
      <c r="BS44" s="4"/>
      <c r="BT44" s="4"/>
      <c r="BU44" s="4"/>
    </row>
    <row r="45" spans="1:73" x14ac:dyDescent="0.25">
      <c r="A45" s="3" t="s">
        <v>48</v>
      </c>
      <c r="B45" s="3" t="str">
        <f>VLOOKUP(A45,'storage capacity'!$A$2:$C$195,3,FALSE)</f>
        <v>Other eurasia</v>
      </c>
      <c r="C45" s="4">
        <v>48760.333333333954</v>
      </c>
      <c r="D45" s="4">
        <v>51536.714053436466</v>
      </c>
      <c r="E45" s="4">
        <v>54441.835372322195</v>
      </c>
      <c r="F45" s="4">
        <v>57480.029368378215</v>
      </c>
      <c r="G45" s="4">
        <v>60655.696098505105</v>
      </c>
      <c r="H45" s="4">
        <v>63973.30145513513</v>
      </c>
      <c r="I45" s="4">
        <v>67437.374896345762</v>
      </c>
      <c r="J45" s="4">
        <v>71052.507051004926</v>
      </c>
      <c r="K45" s="4">
        <v>74823.347201159137</v>
      </c>
      <c r="L45" s="4">
        <v>78754.600644145961</v>
      </c>
      <c r="M45" s="4">
        <v>82851.02593717628</v>
      </c>
      <c r="N45" s="4">
        <v>87117.432027390008</v>
      </c>
      <c r="O45" s="4">
        <v>91558.675270639622</v>
      </c>
      <c r="P45" s="4">
        <v>96179.656342498798</v>
      </c>
      <c r="Q45" s="4">
        <v>100985.31704522784</v>
      </c>
      <c r="R45" s="4">
        <v>105980.63701465282</v>
      </c>
      <c r="S45" s="4">
        <v>111170.63033113095</v>
      </c>
      <c r="T45" s="4">
        <v>116560.34203897984</v>
      </c>
      <c r="U45" s="4">
        <v>122154.84457894265</v>
      </c>
      <c r="V45" s="4">
        <v>127959.23413844433</v>
      </c>
      <c r="W45" s="4">
        <v>133978.62692456573</v>
      </c>
      <c r="X45" s="4">
        <v>140218.15536482126</v>
      </c>
      <c r="Y45" s="4">
        <v>146682.96424097318</v>
      </c>
      <c r="Z45" s="4">
        <v>153378.20676124952</v>
      </c>
      <c r="AA45" s="4">
        <v>160309.04057645382</v>
      </c>
      <c r="AB45" s="4">
        <v>167480.62374556309</v>
      </c>
      <c r="AC45" s="4">
        <v>174898.11065650528</v>
      </c>
      <c r="AD45" s="4">
        <v>182566.64790788828</v>
      </c>
      <c r="AE45" s="4">
        <v>190491.37015752113</v>
      </c>
      <c r="AF45" s="4">
        <v>198677.39594362129</v>
      </c>
      <c r="AG45" s="4">
        <v>207129.82348464421</v>
      </c>
      <c r="AH45" s="4">
        <v>215853.7264636966</v>
      </c>
      <c r="AI45" s="4">
        <v>224854.14980351107</v>
      </c>
      <c r="AJ45" s="4">
        <v>234136.10543795861</v>
      </c>
      <c r="AK45" s="4">
        <v>243704.56808606448</v>
      </c>
      <c r="AL45" s="4">
        <v>253564.47103446705</v>
      </c>
      <c r="AM45" s="4">
        <v>263720.70193422254</v>
      </c>
      <c r="AN45" s="4">
        <v>274178.09861780691</v>
      </c>
      <c r="AO45" s="4">
        <v>284941.44494210626</v>
      </c>
      <c r="AP45" s="4">
        <v>296015.46666311176</v>
      </c>
      <c r="AQ45" s="4">
        <v>307404.82734795153</v>
      </c>
      <c r="AR45" s="4">
        <v>319114.1243297953</v>
      </c>
      <c r="AS45" s="4">
        <v>331147.88471106172</v>
      </c>
      <c r="AT45" s="4">
        <v>343510.56142024189</v>
      </c>
      <c r="AU45" s="4">
        <v>356206.5293275275</v>
      </c>
      <c r="AV45" s="4">
        <v>369240.08142429567</v>
      </c>
      <c r="AW45" s="4">
        <v>382615.42507136031</v>
      </c>
      <c r="AX45" s="4">
        <v>396336.67832074768</v>
      </c>
      <c r="AY45" s="4">
        <v>410407.86631559458</v>
      </c>
      <c r="AZ45" s="4">
        <v>424832.91777260113</v>
      </c>
      <c r="BA45" s="4">
        <v>439615.6615512977</v>
      </c>
      <c r="BB45" s="4">
        <v>454759.82331420667</v>
      </c>
      <c r="BC45" s="4">
        <v>470269.02228179446</v>
      </c>
      <c r="BD45" s="4">
        <v>486146.76808592147</v>
      </c>
      <c r="BE45" s="4">
        <v>502396.45772530284</v>
      </c>
      <c r="BF45" s="4">
        <v>519021.37262629566</v>
      </c>
      <c r="BG45" s="4">
        <v>536024.67581212823</v>
      </c>
      <c r="BH45" s="4">
        <v>553409.40918348159</v>
      </c>
      <c r="BI45" s="4">
        <v>571178.49091313081</v>
      </c>
      <c r="BJ45" s="4">
        <v>589334.7129571425</v>
      </c>
      <c r="BK45" s="4">
        <v>607880.73868491792</v>
      </c>
      <c r="BL45" s="4">
        <v>626819.10063016205</v>
      </c>
      <c r="BM45" s="4">
        <v>646152.19836464815</v>
      </c>
      <c r="BN45" s="4">
        <v>665882.2964964381</v>
      </c>
      <c r="BO45" s="4">
        <v>686011.52279400977</v>
      </c>
      <c r="BP45" s="4">
        <v>706541.86643753515</v>
      </c>
      <c r="BQ45" s="4">
        <v>727475.17639834678</v>
      </c>
      <c r="BR45" s="4">
        <v>748813.15994742536</v>
      </c>
      <c r="BS45" s="4">
        <v>770557.38129353907</v>
      </c>
      <c r="BT45" s="4">
        <v>792709.26035146823</v>
      </c>
      <c r="BU45" s="4">
        <v>815270.07164054946</v>
      </c>
    </row>
    <row r="46" spans="1:73" x14ac:dyDescent="0.25">
      <c r="A46" s="3" t="s">
        <v>49</v>
      </c>
      <c r="B46" s="3" t="str">
        <f>VLOOKUP(A46,'storage capacity'!$A$2:$C$195,3,FALSE)</f>
        <v>Other eurasia</v>
      </c>
      <c r="C46" s="4">
        <v>447733.13333333284</v>
      </c>
      <c r="D46" s="4">
        <v>472713.24220987502</v>
      </c>
      <c r="E46" s="4">
        <v>498823.31337698863</v>
      </c>
      <c r="F46" s="4">
        <v>526100.03833119024</v>
      </c>
      <c r="G46" s="4">
        <v>554580.63016106421</v>
      </c>
      <c r="H46" s="4">
        <v>584302.80385321681</v>
      </c>
      <c r="I46" s="4">
        <v>615304.75559050427</v>
      </c>
      <c r="J46" s="4">
        <v>647625.14106296375</v>
      </c>
      <c r="K46" s="4">
        <v>681303.05281405349</v>
      </c>
      <c r="L46" s="4">
        <v>716377.99664691964</v>
      </c>
      <c r="M46" s="4">
        <v>752889.86711746966</v>
      </c>
      <c r="N46" s="4">
        <v>790878.92214302218</v>
      </c>
      <c r="O46" s="4">
        <v>830385.75675722957</v>
      </c>
      <c r="P46" s="4">
        <v>871451.27604381647</v>
      </c>
      <c r="Q46" s="4">
        <v>914116.66728344362</v>
      </c>
      <c r="R46" s="4">
        <v>958423.37134969339</v>
      </c>
      <c r="S46" s="4">
        <v>1004413.0533917637</v>
      </c>
      <c r="T46" s="4">
        <v>1052127.5728429623</v>
      </c>
      <c r="U46" s="4">
        <v>1101608.952795496</v>
      </c>
      <c r="V46" s="4">
        <v>1152899.3487833571</v>
      </c>
      <c r="W46" s="4">
        <v>1206041.017016314</v>
      </c>
      <c r="X46" s="4">
        <v>1261076.2821091088</v>
      </c>
      <c r="Y46" s="4">
        <v>1318047.5043509642</v>
      </c>
      <c r="Z46" s="4">
        <v>1376997.0465613795</v>
      </c>
      <c r="AA46" s="4">
        <v>1437967.2405789769</v>
      </c>
      <c r="AB46" s="4">
        <v>1501000.3534308209</v>
      </c>
      <c r="AC46" s="4">
        <v>1566138.5532301879</v>
      </c>
      <c r="AD46" s="4">
        <v>1633423.8748512107</v>
      </c>
      <c r="AE46" s="4">
        <v>1702898.185429146</v>
      </c>
      <c r="AF46" s="4">
        <v>1774603.1497352454</v>
      </c>
      <c r="AG46" s="4">
        <v>1848580.1954753094</v>
      </c>
      <c r="AH46" s="4">
        <v>1924870.4785610256</v>
      </c>
      <c r="AI46" s="4">
        <v>2003514.8484030657</v>
      </c>
      <c r="AJ46" s="4">
        <v>2084553.8132747305</v>
      </c>
      <c r="AK46" s="4">
        <v>2168027.505794602</v>
      </c>
      <c r="AL46" s="4">
        <v>2253975.6485762615</v>
      </c>
      <c r="AM46" s="4">
        <v>2342437.5200926112</v>
      </c>
      <c r="AN46" s="4">
        <v>2433451.9208017378</v>
      </c>
      <c r="AO46" s="4">
        <v>2527057.1395805562</v>
      </c>
      <c r="AP46" s="4">
        <v>2623290.9205116741</v>
      </c>
      <c r="AQ46" s="4">
        <v>2722190.4300680598</v>
      </c>
      <c r="AR46" s="4">
        <v>2823792.2247391222</v>
      </c>
      <c r="AS46" s="4">
        <v>2928132.2191407881</v>
      </c>
      <c r="AT46" s="4">
        <v>3035245.6546510463</v>
      </c>
      <c r="AU46" s="4">
        <v>3145167.0686112498</v>
      </c>
      <c r="AV46" s="4">
        <v>3257930.2641322194</v>
      </c>
      <c r="AW46" s="4">
        <v>3373568.2805428831</v>
      </c>
      <c r="AX46" s="4">
        <v>3492113.3645178168</v>
      </c>
      <c r="AY46" s="4">
        <v>3613596.9419186376</v>
      </c>
      <c r="AZ46" s="4">
        <v>3738049.5903827175</v>
      </c>
      <c r="BA46" s="4">
        <v>3865501.0126911877</v>
      </c>
      <c r="BB46" s="4">
        <v>3995980.0109466291</v>
      </c>
      <c r="BC46" s="4">
        <v>4129514.4615892763</v>
      </c>
      <c r="BD46" s="4">
        <v>4266131.2912789155</v>
      </c>
      <c r="BE46" s="4">
        <v>4405856.4536680281</v>
      </c>
      <c r="BF46" s="4">
        <v>4548714.9070900418</v>
      </c>
      <c r="BG46" s="4">
        <v>4694730.5931848772</v>
      </c>
      <c r="BH46" s="4">
        <v>4843926.4164822567</v>
      </c>
      <c r="BI46" s="4">
        <v>4996324.224961536</v>
      </c>
      <c r="BJ46" s="4">
        <v>5151944.7916051038</v>
      </c>
      <c r="BK46" s="4">
        <v>5310807.7969606481</v>
      </c>
      <c r="BL46" s="4">
        <v>5472931.8127259044</v>
      </c>
      <c r="BM46" s="4">
        <v>5638334.2863677461</v>
      </c>
      <c r="BN46" s="4">
        <v>5807031.52678579</v>
      </c>
      <c r="BO46" s="4">
        <v>5979038.6910290122</v>
      </c>
      <c r="BP46" s="4">
        <v>6154369.772072155</v>
      </c>
      <c r="BQ46" s="4">
        <v>6333037.5876570763</v>
      </c>
      <c r="BR46" s="4">
        <v>6515053.7702025538</v>
      </c>
      <c r="BS46" s="4">
        <v>6700428.7577844299</v>
      </c>
      <c r="BT46" s="4">
        <v>6889171.7861864222</v>
      </c>
      <c r="BU46" s="4">
        <v>7081290.882020371</v>
      </c>
    </row>
    <row r="47" spans="1:73" x14ac:dyDescent="0.25">
      <c r="A47" s="3" t="s">
        <v>50</v>
      </c>
      <c r="B47" s="3" t="str">
        <f>VLOOKUP(A47,'storage capacity'!$A$2:$C$195,3,FALSE)</f>
        <v>Country specific</v>
      </c>
      <c r="C47" s="4">
        <v>509516.66666666791</v>
      </c>
      <c r="D47" s="4">
        <v>530191.66518260655</v>
      </c>
      <c r="E47" s="4">
        <v>551490.46752189274</v>
      </c>
      <c r="F47" s="4">
        <v>573423.33889426093</v>
      </c>
      <c r="G47" s="4">
        <v>596000.43290368491</v>
      </c>
      <c r="H47" s="4">
        <v>619231.78280126397</v>
      </c>
      <c r="I47" s="4">
        <v>643127.29281361948</v>
      </c>
      <c r="J47" s="4">
        <v>667696.72955857299</v>
      </c>
      <c r="K47" s="4">
        <v>692949.71355966001</v>
      </c>
      <c r="L47" s="4">
        <v>718895.71087079309</v>
      </c>
      <c r="M47" s="4">
        <v>745544.02482212917</v>
      </c>
      <c r="N47" s="4">
        <v>772903.78789791407</v>
      </c>
      <c r="O47" s="4">
        <v>800983.95375677885</v>
      </c>
      <c r="P47" s="4">
        <v>829793.28940464975</v>
      </c>
      <c r="Q47" s="4">
        <v>859340.36753009725</v>
      </c>
      <c r="R47" s="4">
        <v>889633.55901160452</v>
      </c>
      <c r="S47" s="4">
        <v>920681.02560587437</v>
      </c>
      <c r="T47" s="4">
        <v>952490.71282591624</v>
      </c>
      <c r="U47" s="4">
        <v>985070.3430172716</v>
      </c>
      <c r="V47" s="4">
        <v>1018427.4086403372</v>
      </c>
      <c r="W47" s="4">
        <v>1052569.165766337</v>
      </c>
      <c r="X47" s="4">
        <v>1087502.6277940813</v>
      </c>
      <c r="Y47" s="4">
        <v>1123234.5593942273</v>
      </c>
      <c r="Z47" s="4">
        <v>1159771.4706873249</v>
      </c>
      <c r="AA47" s="4">
        <v>1197119.6116614991</v>
      </c>
      <c r="AB47" s="4">
        <v>1235284.966835185</v>
      </c>
      <c r="AC47" s="4">
        <v>1274273.2501698809</v>
      </c>
      <c r="AD47" s="4">
        <v>1314089.9002374564</v>
      </c>
      <c r="AE47" s="4">
        <v>1354740.0756460926</v>
      </c>
      <c r="AF47" s="4">
        <v>1396228.6507285051</v>
      </c>
      <c r="AG47" s="4">
        <v>1438560.21149564</v>
      </c>
      <c r="AH47" s="4">
        <v>1481739.0518586084</v>
      </c>
      <c r="AI47" s="4">
        <v>1525769.1701211787</v>
      </c>
      <c r="AJ47" s="4">
        <v>1570654.2657447145</v>
      </c>
      <c r="AK47" s="4">
        <v>1616397.736387019</v>
      </c>
      <c r="AL47" s="4">
        <v>1663002.6752161207</v>
      </c>
      <c r="AM47" s="4">
        <v>1710471.8684996215</v>
      </c>
      <c r="AN47" s="4">
        <v>1758807.7934698174</v>
      </c>
      <c r="AO47" s="4">
        <v>1808012.6164643969</v>
      </c>
      <c r="AP47" s="4">
        <v>1858088.1913421347</v>
      </c>
      <c r="AQ47" s="4">
        <v>1909036.0581726076</v>
      </c>
      <c r="AR47" s="4">
        <v>1960857.4421985911</v>
      </c>
      <c r="AS47" s="4">
        <v>2013553.2530694201</v>
      </c>
      <c r="AT47" s="4">
        <v>2067124.0843432569</v>
      </c>
      <c r="AU47" s="4">
        <v>2121570.213255852</v>
      </c>
      <c r="AV47" s="4">
        <v>2176891.6007530619</v>
      </c>
      <c r="AW47" s="4">
        <v>2233087.8917840663</v>
      </c>
      <c r="AX47" s="4">
        <v>2290158.4158519097</v>
      </c>
      <c r="AY47" s="4">
        <v>2348102.1878177165</v>
      </c>
      <c r="AZ47" s="4">
        <v>2406917.9089546246</v>
      </c>
      <c r="BA47" s="4">
        <v>2466603.9682472283</v>
      </c>
      <c r="BB47" s="4">
        <v>2527158.4439320574</v>
      </c>
      <c r="BC47" s="4">
        <v>2588579.105274382</v>
      </c>
      <c r="BD47" s="4">
        <v>2650863.4145763903</v>
      </c>
      <c r="BE47" s="4">
        <v>2714008.5294115883</v>
      </c>
      <c r="BF47" s="4">
        <v>2778011.3050800511</v>
      </c>
      <c r="BG47" s="4">
        <v>2842868.2972789737</v>
      </c>
      <c r="BH47" s="4">
        <v>2908575.7649827944</v>
      </c>
      <c r="BI47" s="4">
        <v>2975129.6735269921</v>
      </c>
      <c r="BJ47" s="4">
        <v>3042525.6978895259</v>
      </c>
      <c r="BK47" s="4">
        <v>3110759.2261637244</v>
      </c>
      <c r="BL47" s="4">
        <v>3179825.3632163387</v>
      </c>
      <c r="BM47" s="4">
        <v>3249718.9345243364</v>
      </c>
      <c r="BN47" s="4">
        <v>3320434.4901839308</v>
      </c>
      <c r="BO47" s="4">
        <v>3391966.3090852527</v>
      </c>
      <c r="BP47" s="4">
        <v>3464308.4032459953</v>
      </c>
      <c r="BQ47" s="4">
        <v>3537454.5222973046</v>
      </c>
      <c r="BR47" s="4">
        <v>3611398.1581151392</v>
      </c>
      <c r="BS47" s="4">
        <v>3686132.5495902863</v>
      </c>
      <c r="BT47" s="4">
        <v>3761650.6875301916</v>
      </c>
      <c r="BU47" s="4">
        <v>3837945.3196857488</v>
      </c>
    </row>
    <row r="48" spans="1:73" x14ac:dyDescent="0.25">
      <c r="A48" s="3" t="s">
        <v>51</v>
      </c>
      <c r="B48" s="3" t="str">
        <f>VLOOKUP(A48,'storage capacity'!$A$2:$C$195,3,FALSE)</f>
        <v>Sub-saharan africa</v>
      </c>
      <c r="C48" s="4">
        <v>6471.8666666666977</v>
      </c>
      <c r="D48" s="4">
        <v>6695.4755069554421</v>
      </c>
      <c r="E48" s="4">
        <v>6924.4968874163733</v>
      </c>
      <c r="F48" s="4">
        <v>7158.9834830526379</v>
      </c>
      <c r="G48" s="4">
        <v>7398.9863071604514</v>
      </c>
      <c r="H48" s="4">
        <v>7644.55466715496</v>
      </c>
      <c r="I48" s="4">
        <v>7895.7361219953373</v>
      </c>
      <c r="J48" s="4">
        <v>8152.5764412532872</v>
      </c>
      <c r="K48" s="4">
        <v>8415.1195658660927</v>
      </c>
      <c r="L48" s="4">
        <v>8683.4075706122931</v>
      </c>
      <c r="M48" s="4">
        <v>8957.4806283449034</v>
      </c>
      <c r="N48" s="4">
        <v>9237.3769760140749</v>
      </c>
      <c r="O48" s="4">
        <v>9523.1328825078726</v>
      </c>
      <c r="P48" s="4">
        <v>9814.7826183368215</v>
      </c>
      <c r="Q48" s="4">
        <v>10112.358427184681</v>
      </c>
      <c r="R48" s="4">
        <v>10415.89049934488</v>
      </c>
      <c r="S48" s="4">
        <v>10725.406947058911</v>
      </c>
      <c r="T48" s="4">
        <v>11040.933781770007</v>
      </c>
      <c r="U48" s="4">
        <v>11362.494893302308</v>
      </c>
      <c r="V48" s="4">
        <v>11690.11203097287</v>
      </c>
      <c r="W48" s="4">
        <v>12023.804786640829</v>
      </c>
      <c r="X48" s="4">
        <v>12363.590579695247</v>
      </c>
      <c r="Y48" s="4">
        <v>12709.48464398025</v>
      </c>
      <c r="Z48" s="4">
        <v>13061.500016653377</v>
      </c>
      <c r="AA48" s="4">
        <v>13419.647528970325</v>
      </c>
      <c r="AB48" s="4">
        <v>13783.935798986608</v>
      </c>
      <c r="AC48" s="4">
        <v>14154.371226164139</v>
      </c>
      <c r="AD48" s="4">
        <v>14530.957987868236</v>
      </c>
      <c r="AE48" s="4">
        <v>14913.69803773809</v>
      </c>
      <c r="AF48" s="4">
        <v>15302.591105911484</v>
      </c>
      <c r="AG48" s="4">
        <v>15697.634701082232</v>
      </c>
      <c r="AH48" s="4">
        <v>16098.824114366696</v>
      </c>
      <c r="AI48" s="4">
        <v>16506.152424953616</v>
      </c>
      <c r="AJ48" s="4">
        <v>16919.61050750954</v>
      </c>
      <c r="AK48" s="4">
        <v>17339.187041310215</v>
      </c>
      <c r="AL48" s="4">
        <v>17764.868521066543</v>
      </c>
      <c r="AM48" s="4">
        <v>18196.63926941192</v>
      </c>
      <c r="AN48" s="4">
        <v>18634.481451016236</v>
      </c>
      <c r="AO48" s="4">
        <v>19078.375088290246</v>
      </c>
      <c r="AP48" s="4">
        <v>19528.298078642609</v>
      </c>
      <c r="AQ48" s="4">
        <v>19984.226213250549</v>
      </c>
      <c r="AR48" s="4">
        <v>20446.133197303894</v>
      </c>
      <c r="AS48" s="4">
        <v>20913.990671681011</v>
      </c>
      <c r="AT48" s="4">
        <v>21387.768236014235</v>
      </c>
      <c r="AU48" s="4">
        <v>21867.433473101297</v>
      </c>
      <c r="AV48" s="4">
        <v>22352.951974618511</v>
      </c>
      <c r="AW48" s="4">
        <v>22844.287368090598</v>
      </c>
      <c r="AX48" s="4">
        <v>23341.401345071441</v>
      </c>
      <c r="AY48" s="4">
        <v>23844.253690489346</v>
      </c>
      <c r="AZ48" s="4">
        <v>24352.802313110005</v>
      </c>
      <c r="BA48" s="4">
        <v>24867.003277069834</v>
      </c>
      <c r="BB48" s="4">
        <v>25386.810834432064</v>
      </c>
      <c r="BC48" s="4">
        <v>25912.177458717641</v>
      </c>
      <c r="BD48" s="4">
        <v>26443.053879362898</v>
      </c>
      <c r="BE48" s="4">
        <v>26979.389117055791</v>
      </c>
      <c r="BF48" s="4">
        <v>27521.130519902457</v>
      </c>
      <c r="BG48" s="4">
        <v>28068.22380037593</v>
      </c>
      <c r="BH48" s="4">
        <v>28620.61307299892</v>
      </c>
      <c r="BI48" s="4">
        <v>29178.240892712758</v>
      </c>
      <c r="BJ48" s="4">
        <v>29741.048293884895</v>
      </c>
      <c r="BK48" s="4">
        <v>30308.974829907522</v>
      </c>
      <c r="BL48" s="4">
        <v>30881.958613340423</v>
      </c>
      <c r="BM48" s="4">
        <v>31459.936356551429</v>
      </c>
      <c r="BN48" s="4">
        <v>32042.843412808419</v>
      </c>
      <c r="BO48" s="4">
        <v>32630.613817777292</v>
      </c>
      <c r="BP48" s="4">
        <v>33223.180331380987</v>
      </c>
      <c r="BQ48" s="4">
        <v>33820.474479975193</v>
      </c>
      <c r="BR48" s="4">
        <v>34422.426598796977</v>
      </c>
      <c r="BS48" s="4">
        <v>35028.965874643553</v>
      </c>
      <c r="BT48" s="4">
        <v>35640.020388738827</v>
      </c>
      <c r="BU48" s="4">
        <v>36255.517159746378</v>
      </c>
    </row>
    <row r="49" spans="1:73" x14ac:dyDescent="0.25">
      <c r="A49" s="3" t="s">
        <v>52</v>
      </c>
      <c r="B49" s="3" t="str">
        <f>VLOOKUP(A49,'storage capacity'!$A$2:$C$195,3,FALSE)</f>
        <v>Sub-saharan africa</v>
      </c>
      <c r="C49" s="4">
        <v>960.46666666665988</v>
      </c>
      <c r="D49" s="4">
        <v>1033.1976570048234</v>
      </c>
      <c r="E49" s="4">
        <v>1110.6537900522394</v>
      </c>
      <c r="F49" s="4">
        <v>1193.0839791619176</v>
      </c>
      <c r="G49" s="4">
        <v>1280.7464690555541</v>
      </c>
      <c r="H49" s="4">
        <v>1373.9089723639736</v>
      </c>
      <c r="I49" s="4">
        <v>1472.8487971092536</v>
      </c>
      <c r="J49" s="4">
        <v>1577.8529645945537</v>
      </c>
      <c r="K49" s="4">
        <v>1689.2183171777774</v>
      </c>
      <c r="L49" s="4">
        <v>1807.2516154170555</v>
      </c>
      <c r="M49" s="4">
        <v>1932.2696240896157</v>
      </c>
      <c r="N49" s="4">
        <v>2064.5991866008931</v>
      </c>
      <c r="O49" s="4">
        <v>2204.5772873176752</v>
      </c>
      <c r="P49" s="4">
        <v>2352.5511013776536</v>
      </c>
      <c r="Q49" s="4">
        <v>2508.8780315479062</v>
      </c>
      <c r="R49" s="4">
        <v>2673.9257317265156</v>
      </c>
      <c r="S49" s="4">
        <v>2848.0721167046668</v>
      </c>
      <c r="T49" s="4">
        <v>3031.7053578311252</v>
      </c>
      <c r="U49" s="4">
        <v>3225.2238642468606</v>
      </c>
      <c r="V49" s="4">
        <v>3429.0362493847188</v>
      </c>
      <c r="W49" s="4">
        <v>3643.5612824573386</v>
      </c>
      <c r="X49" s="4">
        <v>3869.2278246859064</v>
      </c>
      <c r="Y49" s="4">
        <v>4106.4747500527064</v>
      </c>
      <c r="Z49" s="4">
        <v>4355.7508503917279</v>
      </c>
      <c r="AA49" s="4">
        <v>4617.5147246636661</v>
      </c>
      <c r="AB49" s="4">
        <v>4892.2346522944472</v>
      </c>
      <c r="AC49" s="4">
        <v>5180.3884504898024</v>
      </c>
      <c r="AD49" s="4">
        <v>5482.4633154723178</v>
      </c>
      <c r="AE49" s="4">
        <v>5798.9556476216467</v>
      </c>
      <c r="AF49" s="4">
        <v>6130.3708605331622</v>
      </c>
      <c r="AG49" s="4">
        <v>6477.2231740450597</v>
      </c>
      <c r="AH49" s="4">
        <v>6840.0353913187237</v>
      </c>
      <c r="AI49" s="4">
        <v>7219.3386600919739</v>
      </c>
      <c r="AJ49" s="4">
        <v>7615.6722182593958</v>
      </c>
      <c r="AK49" s="4">
        <v>8029.5831239683775</v>
      </c>
      <c r="AL49" s="4">
        <v>8461.6259704534696</v>
      </c>
      <c r="AM49" s="4">
        <v>8912.3625858652722</v>
      </c>
      <c r="AN49" s="4">
        <v>9382.3617183830393</v>
      </c>
      <c r="AO49" s="4">
        <v>9872.1987069325805</v>
      </c>
      <c r="AP49" s="4">
        <v>10382.455137862631</v>
      </c>
      <c r="AQ49" s="4">
        <v>10913.718487963632</v>
      </c>
      <c r="AR49" s="4">
        <v>11466.581754242739</v>
      </c>
      <c r="AS49" s="4">
        <v>12041.643070897704</v>
      </c>
      <c r="AT49" s="4">
        <v>12639.505313960035</v>
      </c>
      <c r="AU49" s="4">
        <v>13260.775694104485</v>
      </c>
      <c r="AV49" s="4">
        <v>13906.065338147233</v>
      </c>
      <c r="AW49" s="4">
        <v>14575.988859779296</v>
      </c>
      <c r="AX49" s="4">
        <v>15271.163920104369</v>
      </c>
      <c r="AY49" s="4">
        <v>15992.210778571705</v>
      </c>
      <c r="AZ49" s="4">
        <v>16739.751834914463</v>
      </c>
      <c r="BA49" s="4">
        <v>17514.41116272243</v>
      </c>
      <c r="BB49" s="4">
        <v>18316.814035294818</v>
      </c>
      <c r="BC49" s="4">
        <v>19147.586444434157</v>
      </c>
      <c r="BD49" s="4">
        <v>20007.354612856052</v>
      </c>
      <c r="BE49" s="4">
        <v>20896.744500901612</v>
      </c>
      <c r="BF49" s="4">
        <v>21816.381308249889</v>
      </c>
      <c r="BG49" s="4">
        <v>22766.888971336473</v>
      </c>
      <c r="BH49" s="4">
        <v>23748.889657191576</v>
      </c>
      <c r="BI49" s="4">
        <v>24763.003254416508</v>
      </c>
      <c r="BJ49" s="4">
        <v>25809.84686202139</v>
      </c>
      <c r="BK49" s="4">
        <v>26890.034276849183</v>
      </c>
      <c r="BL49" s="4">
        <v>28004.175480311827</v>
      </c>
      <c r="BM49" s="4">
        <v>29152.876125163402</v>
      </c>
      <c r="BN49" s="4">
        <v>30336.737023032674</v>
      </c>
      <c r="BO49" s="4">
        <v>31556.353633433482</v>
      </c>
      <c r="BP49" s="4">
        <v>32812.315554965746</v>
      </c>
      <c r="BQ49" s="4">
        <v>34105.20601941309</v>
      </c>
      <c r="BR49" s="4">
        <v>35435.601389434451</v>
      </c>
      <c r="BS49" s="4">
        <v>36804.070660537385</v>
      </c>
      <c r="BT49" s="4">
        <v>38211.174968009611</v>
      </c>
      <c r="BU49" s="4">
        <v>39657.4670994728</v>
      </c>
    </row>
    <row r="50" spans="1:73" x14ac:dyDescent="0.25">
      <c r="A50" s="3" t="s">
        <v>53</v>
      </c>
      <c r="B50" s="3" t="str">
        <f>VLOOKUP(A50,'storage capacity'!$A$2:$C$195,3,FALSE)</f>
        <v>Sub-saharan africa</v>
      </c>
      <c r="C50" s="4">
        <v>188471.46666666493</v>
      </c>
      <c r="D50" s="4">
        <v>200415.14211474446</v>
      </c>
      <c r="E50" s="4">
        <v>212988.69778387639</v>
      </c>
      <c r="F50" s="4">
        <v>226217.46367462305</v>
      </c>
      <c r="G50" s="4">
        <v>240127.36649811856</v>
      </c>
      <c r="H50" s="4">
        <v>254744.92429495792</v>
      </c>
      <c r="I50" s="4">
        <v>270097.24011614762</v>
      </c>
      <c r="J50" s="4">
        <v>286211.99475838215</v>
      </c>
      <c r="K50" s="4">
        <v>303117.43854788679</v>
      </c>
      <c r="L50" s="4">
        <v>320842.38216907467</v>
      </c>
      <c r="M50" s="4">
        <v>339416.18653629743</v>
      </c>
      <c r="N50" s="4">
        <v>358868.75170902174</v>
      </c>
      <c r="O50" s="4">
        <v>379230.50485282508</v>
      </c>
      <c r="P50" s="4">
        <v>400532.3872506757</v>
      </c>
      <c r="Q50" s="4">
        <v>422805.84037102765</v>
      </c>
      <c r="R50" s="4">
        <v>446082.7910013271</v>
      </c>
      <c r="S50" s="4">
        <v>470395.63545757136</v>
      </c>
      <c r="T50" s="4">
        <v>495777.2228825941</v>
      </c>
      <c r="U50" s="4">
        <v>522260.8376477526</v>
      </c>
      <c r="V50" s="4">
        <v>549880.18087466573</v>
      </c>
      <c r="W50" s="4">
        <v>578669.35109558667</v>
      </c>
      <c r="X50" s="4">
        <v>608662.82407288742</v>
      </c>
      <c r="Y50" s="4">
        <v>639895.43179997453</v>
      </c>
      <c r="Z50" s="4">
        <v>672402.34070774878</v>
      </c>
      <c r="AA50" s="4">
        <v>706219.02910245128</v>
      </c>
      <c r="AB50" s="4">
        <v>741381.26386240951</v>
      </c>
      <c r="AC50" s="4">
        <v>777925.07642279717</v>
      </c>
      <c r="AD50" s="4">
        <v>815886.73807905253</v>
      </c>
      <c r="AE50" s="4">
        <v>855302.73464105302</v>
      </c>
      <c r="AF50" s="4">
        <v>896209.74047152011</v>
      </c>
      <c r="AG50" s="4">
        <v>938644.59194341884</v>
      </c>
      <c r="AH50" s="4">
        <v>982644.26035232632</v>
      </c>
      <c r="AI50" s="4">
        <v>1028245.8243208581</v>
      </c>
      <c r="AJ50" s="4">
        <v>1075486.4417332753</v>
      </c>
      <c r="AK50" s="4">
        <v>1124403.3212393248</v>
      </c>
      <c r="AL50" s="4">
        <v>1175033.6933672121</v>
      </c>
      <c r="AM50" s="4">
        <v>1227414.7812863502</v>
      </c>
      <c r="AN50" s="4">
        <v>1281583.7712611766</v>
      </c>
      <c r="AO50" s="4">
        <v>1337577.7828378873</v>
      </c>
      <c r="AP50" s="4">
        <v>1395433.8388063856</v>
      </c>
      <c r="AQ50" s="4">
        <v>1455188.8349801092</v>
      </c>
      <c r="AR50" s="4">
        <v>1516879.5098366498</v>
      </c>
      <c r="AS50" s="4">
        <v>1580542.4140622506</v>
      </c>
      <c r="AT50" s="4">
        <v>1646213.8800433311</v>
      </c>
      <c r="AU50" s="4">
        <v>1713929.9913481581</v>
      </c>
      <c r="AV50" s="4">
        <v>1783726.5522416679</v>
      </c>
      <c r="AW50" s="4">
        <v>1855639.0572762212</v>
      </c>
      <c r="AX50" s="4">
        <v>1929702.6610007819</v>
      </c>
      <c r="AY50" s="4">
        <v>2005952.1478306034</v>
      </c>
      <c r="AZ50" s="4">
        <v>2084421.9021190482</v>
      </c>
      <c r="BA50" s="4">
        <v>2165145.8784725862</v>
      </c>
      <c r="BB50" s="4">
        <v>2248157.5723493961</v>
      </c>
      <c r="BC50" s="4">
        <v>2333489.990981258</v>
      </c>
      <c r="BD50" s="4">
        <v>2421175.62465765</v>
      </c>
      <c r="BE50" s="4">
        <v>2511246.4184100833</v>
      </c>
      <c r="BF50" s="4">
        <v>2603733.7441337896</v>
      </c>
      <c r="BG50" s="4">
        <v>2698668.37318287</v>
      </c>
      <c r="BH50" s="4">
        <v>2796080.4494739631</v>
      </c>
      <c r="BI50" s="4">
        <v>2895999.4631323777</v>
      </c>
      <c r="BJ50" s="4">
        <v>2998454.2247134559</v>
      </c>
      <c r="BK50" s="4">
        <v>3103472.8400307354</v>
      </c>
      <c r="BL50" s="4">
        <v>3211082.6856211908</v>
      </c>
      <c r="BM50" s="4">
        <v>3321310.3848765562</v>
      </c>
      <c r="BN50" s="4">
        <v>3434181.7848683633</v>
      </c>
      <c r="BO50" s="4">
        <v>3549721.9338929695</v>
      </c>
      <c r="BP50" s="4">
        <v>3667955.0597614339</v>
      </c>
      <c r="BQ50" s="4">
        <v>3788904.5488576642</v>
      </c>
      <c r="BR50" s="4">
        <v>3912592.9259868101</v>
      </c>
      <c r="BS50" s="4">
        <v>4039041.8350343895</v>
      </c>
      <c r="BT50" s="4">
        <v>4168272.0204551565</v>
      </c>
      <c r="BU50" s="4">
        <v>4300303.3096092083</v>
      </c>
    </row>
    <row r="51" spans="1:73" x14ac:dyDescent="0.25">
      <c r="A51" s="3" t="s">
        <v>54</v>
      </c>
      <c r="B51" s="3" t="str">
        <f>VLOOKUP(A51,'storage capacity'!$A$2:$C$195,3,FALSE)</f>
        <v>Sub-saharan africa</v>
      </c>
      <c r="C51" s="4">
        <v>106252.1333333347</v>
      </c>
      <c r="D51" s="4">
        <v>113827.42908675813</v>
      </c>
      <c r="E51" s="4">
        <v>121861.6553088717</v>
      </c>
      <c r="F51" s="4">
        <v>130376.94440275438</v>
      </c>
      <c r="G51" s="4">
        <v>139396.15061863157</v>
      </c>
      <c r="H51" s="4">
        <v>148942.85542559996</v>
      </c>
      <c r="I51" s="4">
        <v>159041.37201210082</v>
      </c>
      <c r="J51" s="4">
        <v>169716.74888283806</v>
      </c>
      <c r="K51" s="4">
        <v>180994.77252129166</v>
      </c>
      <c r="L51" s="4">
        <v>192901.96908854035</v>
      </c>
      <c r="M51" s="4">
        <v>205465.6051307781</v>
      </c>
      <c r="N51" s="4">
        <v>218713.68726967854</v>
      </c>
      <c r="O51" s="4">
        <v>232674.9608516299</v>
      </c>
      <c r="P51" s="4">
        <v>247378.90753381854</v>
      </c>
      <c r="Q51" s="4">
        <v>262855.74178718228</v>
      </c>
      <c r="R51" s="4">
        <v>279136.40629837458</v>
      </c>
      <c r="S51" s="4">
        <v>296252.56625507161</v>
      </c>
      <c r="T51" s="4">
        <v>314236.60250121349</v>
      </c>
      <c r="U51" s="4">
        <v>333121.60355108388</v>
      </c>
      <c r="V51" s="4">
        <v>352941.35645349993</v>
      </c>
      <c r="W51" s="4">
        <v>373730.33649979223</v>
      </c>
      <c r="X51" s="4">
        <v>395523.69577170233</v>
      </c>
      <c r="Y51" s="4">
        <v>418357.25052779593</v>
      </c>
      <c r="Z51" s="4">
        <v>442267.46742948692</v>
      </c>
      <c r="AA51" s="4">
        <v>467291.44861027208</v>
      </c>
      <c r="AB51" s="4">
        <v>493466.91559428978</v>
      </c>
      <c r="AC51" s="4">
        <v>520832.19207282417</v>
      </c>
      <c r="AD51" s="4">
        <v>549426.18554987607</v>
      </c>
      <c r="AE51" s="4">
        <v>579288.36787040089</v>
      </c>
      <c r="AF51" s="4">
        <v>610458.75464727124</v>
      </c>
      <c r="AG51" s="4">
        <v>642977.88360544096</v>
      </c>
      <c r="AH51" s="4">
        <v>676886.79186417314</v>
      </c>
      <c r="AI51" s="4">
        <v>712226.99218052614</v>
      </c>
      <c r="AJ51" s="4">
        <v>749040.44817957585</v>
      </c>
      <c r="AK51" s="4">
        <v>787369.54859907005</v>
      </c>
      <c r="AL51" s="4">
        <v>827257.08057836804</v>
      </c>
      <c r="AM51" s="4">
        <v>868746.20202359918</v>
      </c>
      <c r="AN51" s="4">
        <v>911880.41308297683</v>
      </c>
      <c r="AO51" s="4">
        <v>956703.52676812583</v>
      </c>
      <c r="AP51" s="4">
        <v>1003259.6387591119</v>
      </c>
      <c r="AQ51" s="4">
        <v>1051593.0964326002</v>
      </c>
      <c r="AR51" s="4">
        <v>1101748.4671542146</v>
      </c>
      <c r="AS51" s="4">
        <v>1153770.5058777023</v>
      </c>
      <c r="AT51" s="4">
        <v>1207704.1220949532</v>
      </c>
      <c r="AU51" s="4">
        <v>1263594.3461822432</v>
      </c>
      <c r="AV51" s="4">
        <v>1321486.295189291</v>
      </c>
      <c r="AW51" s="4">
        <v>1381425.1381188252</v>
      </c>
      <c r="AX51" s="4">
        <v>1443456.0607453412</v>
      </c>
      <c r="AY51" s="4">
        <v>1507624.2300226085</v>
      </c>
      <c r="AZ51" s="4">
        <v>1573974.7581302398</v>
      </c>
      <c r="BA51" s="4">
        <v>1642552.6662102737</v>
      </c>
      <c r="BB51" s="4">
        <v>1713402.8478452421</v>
      </c>
      <c r="BC51" s="4">
        <v>1786570.0323295936</v>
      </c>
      <c r="BD51" s="4">
        <v>1862098.7477866283</v>
      </c>
      <c r="BE51" s="4">
        <v>1940033.2841832659</v>
      </c>
      <c r="BF51" s="4">
        <v>2020417.6562950138</v>
      </c>
      <c r="BG51" s="4">
        <v>2103295.566673446</v>
      </c>
      <c r="BH51" s="4">
        <v>2188710.3686683141</v>
      </c>
      <c r="BI51" s="4">
        <v>2276705.0295561319</v>
      </c>
      <c r="BJ51" s="4">
        <v>2367322.0938266688</v>
      </c>
      <c r="BK51" s="4">
        <v>2460603.6466782931</v>
      </c>
      <c r="BL51" s="4">
        <v>2556591.2777724899</v>
      </c>
      <c r="BM51" s="4">
        <v>2655326.0452971747</v>
      </c>
      <c r="BN51" s="4">
        <v>2756848.440387622</v>
      </c>
      <c r="BO51" s="4">
        <v>2861198.35195293</v>
      </c>
      <c r="BP51" s="4">
        <v>2968415.0319549558</v>
      </c>
      <c r="BQ51" s="4">
        <v>3078537.0611855797</v>
      </c>
      <c r="BR51" s="4">
        <v>3191602.3155870191</v>
      </c>
      <c r="BS51" s="4">
        <v>3307647.9331586612</v>
      </c>
      <c r="BT51" s="4">
        <v>3426710.2814926016</v>
      </c>
      <c r="BU51" s="4">
        <v>3548824.9259786918</v>
      </c>
    </row>
    <row r="52" spans="1:73" x14ac:dyDescent="0.25">
      <c r="A52" s="3" t="s">
        <v>55</v>
      </c>
      <c r="B52" s="3" t="str">
        <f>VLOOKUP(A52,'storage capacity'!$A$2:$C$195,3,FALSE)</f>
        <v>Other latin america</v>
      </c>
      <c r="C52" s="4">
        <v>150617.00000000186</v>
      </c>
      <c r="D52" s="4">
        <v>156510.97229052798</v>
      </c>
      <c r="E52" s="4">
        <v>162574.34243138341</v>
      </c>
      <c r="F52" s="4">
        <v>168809.6300610613</v>
      </c>
      <c r="G52" s="4">
        <v>175219.31818604411</v>
      </c>
      <c r="H52" s="4">
        <v>181805.85102076479</v>
      </c>
      <c r="I52" s="4">
        <v>188571.63185756124</v>
      </c>
      <c r="J52" s="4">
        <v>195519.02096941776</v>
      </c>
      <c r="K52" s="4">
        <v>202650.33354821068</v>
      </c>
      <c r="L52" s="4">
        <v>209967.83768109724</v>
      </c>
      <c r="M52" s="4">
        <v>217473.75236760217</v>
      </c>
      <c r="N52" s="4">
        <v>225170.24557986978</v>
      </c>
      <c r="O52" s="4">
        <v>233059.43236845711</v>
      </c>
      <c r="P52" s="4">
        <v>241143.37301594933</v>
      </c>
      <c r="Q52" s="4">
        <v>249424.07124058055</v>
      </c>
      <c r="R52" s="4">
        <v>257903.47245194169</v>
      </c>
      <c r="S52" s="4">
        <v>266583.46206075442</v>
      </c>
      <c r="T52" s="4">
        <v>275465.86384458403</v>
      </c>
      <c r="U52" s="4">
        <v>284552.43837125623</v>
      </c>
      <c r="V52" s="4">
        <v>293844.88148163317</v>
      </c>
      <c r="W52" s="4">
        <v>303344.82283329428</v>
      </c>
      <c r="X52" s="4">
        <v>313053.82450655365</v>
      </c>
      <c r="Y52" s="4">
        <v>322973.37967413419</v>
      </c>
      <c r="Z52" s="4">
        <v>333104.91133570549</v>
      </c>
      <c r="AA52" s="4">
        <v>343449.77111837681</v>
      </c>
      <c r="AB52" s="4">
        <v>354009.23814412474</v>
      </c>
      <c r="AC52" s="4">
        <v>364784.5179650205</v>
      </c>
      <c r="AD52" s="4">
        <v>375776.74156700843</v>
      </c>
      <c r="AE52" s="4">
        <v>386986.96444287564</v>
      </c>
      <c r="AF52" s="4">
        <v>398416.16573493998</v>
      </c>
      <c r="AG52" s="4">
        <v>410065.24744787335</v>
      </c>
      <c r="AH52" s="4">
        <v>421935.03373197</v>
      </c>
      <c r="AI52" s="4">
        <v>434026.27023705852</v>
      </c>
      <c r="AJ52" s="4">
        <v>446339.62353715335</v>
      </c>
      <c r="AK52" s="4">
        <v>458875.68062583619</v>
      </c>
      <c r="AL52" s="4">
        <v>471634.94848225644</v>
      </c>
      <c r="AM52" s="4">
        <v>484617.85370754002</v>
      </c>
      <c r="AN52" s="4">
        <v>497824.74223129841</v>
      </c>
      <c r="AO52" s="4">
        <v>511255.87908783567</v>
      </c>
      <c r="AP52" s="4">
        <v>524911.44826155924</v>
      </c>
      <c r="AQ52" s="4">
        <v>538791.55260101054</v>
      </c>
      <c r="AR52" s="4">
        <v>552896.21380084509</v>
      </c>
      <c r="AS52" s="4">
        <v>567225.37245101063</v>
      </c>
      <c r="AT52" s="4">
        <v>581778.88815228769</v>
      </c>
      <c r="AU52" s="4">
        <v>596556.53969728423</v>
      </c>
      <c r="AV52" s="4">
        <v>611558.02531589859</v>
      </c>
      <c r="AW52" s="4">
        <v>626782.96298419777</v>
      </c>
      <c r="AX52" s="4">
        <v>642230.89079558803</v>
      </c>
      <c r="AY52" s="4">
        <v>657901.26739309321</v>
      </c>
      <c r="AZ52" s="4">
        <v>673793.4724614945</v>
      </c>
      <c r="BA52" s="4">
        <v>689906.80727802881</v>
      </c>
      <c r="BB52" s="4">
        <v>706240.49532029056</v>
      </c>
      <c r="BC52" s="4">
        <v>722793.68292992958</v>
      </c>
      <c r="BD52" s="4">
        <v>739565.44003069354</v>
      </c>
      <c r="BE52" s="4">
        <v>756554.7608993178</v>
      </c>
      <c r="BF52" s="4">
        <v>773760.56498772895</v>
      </c>
      <c r="BG52" s="4">
        <v>791181.69779498922</v>
      </c>
      <c r="BH52" s="4">
        <v>808816.93178737676</v>
      </c>
      <c r="BI52" s="4">
        <v>826664.96736496873</v>
      </c>
      <c r="BJ52" s="4">
        <v>844724.43387306586</v>
      </c>
      <c r="BK52" s="4">
        <v>862993.89065677545</v>
      </c>
      <c r="BL52" s="4">
        <v>881471.82815704809</v>
      </c>
      <c r="BM52" s="4">
        <v>900156.66904644994</v>
      </c>
      <c r="BN52" s="4">
        <v>919046.76940293401</v>
      </c>
      <c r="BO52" s="4">
        <v>938140.41991986835</v>
      </c>
      <c r="BP52" s="4">
        <v>957435.84715056652</v>
      </c>
      <c r="BQ52" s="4">
        <v>976931.21478556329</v>
      </c>
      <c r="BR52" s="4">
        <v>996624.624960877</v>
      </c>
      <c r="BS52" s="4">
        <v>1016514.1195954977</v>
      </c>
      <c r="BT52" s="4">
        <v>1036597.6817563458</v>
      </c>
      <c r="BU52" s="4">
        <v>1056873.2370489498</v>
      </c>
    </row>
    <row r="53" spans="1:73" x14ac:dyDescent="0.25">
      <c r="A53" s="3" t="s">
        <v>56</v>
      </c>
      <c r="B53" s="3" t="str">
        <f>VLOOKUP(A53,'storage capacity'!$A$2:$C$195,3,FALSE)</f>
        <v>Country specific</v>
      </c>
      <c r="C53" s="4">
        <v>472622.79999999702</v>
      </c>
      <c r="D53" s="4">
        <v>496797.45357983373</v>
      </c>
      <c r="E53" s="4">
        <v>521954.52868548076</v>
      </c>
      <c r="F53" s="4">
        <v>548121.21028459549</v>
      </c>
      <c r="G53" s="4">
        <v>575324.89810607268</v>
      </c>
      <c r="H53" s="4">
        <v>603593.18811936327</v>
      </c>
      <c r="I53" s="4">
        <v>632953.85350077413</v>
      </c>
      <c r="J53" s="4">
        <v>663434.82511161908</v>
      </c>
      <c r="K53" s="4">
        <v>695064.171514121</v>
      </c>
      <c r="L53" s="4">
        <v>727870.07855193515</v>
      </c>
      <c r="M53" s="4">
        <v>761880.82852306229</v>
      </c>
      <c r="N53" s="4">
        <v>797124.77897375496</v>
      </c>
      <c r="O53" s="4">
        <v>833630.34114278224</v>
      </c>
      <c r="P53" s="4">
        <v>871425.95808611333</v>
      </c>
      <c r="Q53" s="4">
        <v>910540.08251269802</v>
      </c>
      <c r="R53" s="4">
        <v>951001.15436257084</v>
      </c>
      <c r="S53" s="4">
        <v>992837.57815897733</v>
      </c>
      <c r="T53" s="4">
        <v>1036077.7001666218</v>
      </c>
      <c r="U53" s="4">
        <v>1080749.7853884571</v>
      </c>
      <c r="V53" s="4">
        <v>1126881.9944336889</v>
      </c>
      <c r="W53" s="4">
        <v>1174502.3602898424</v>
      </c>
      <c r="X53" s="4">
        <v>1223638.765031836</v>
      </c>
      <c r="Y53" s="4">
        <v>1274318.9165010441</v>
      </c>
      <c r="Z53" s="4">
        <v>1326570.3249872755</v>
      </c>
      <c r="AA53" s="4">
        <v>1380420.2799464907</v>
      </c>
      <c r="AB53" s="4">
        <v>1435895.8267868834</v>
      </c>
      <c r="AC53" s="4">
        <v>1493023.7437557129</v>
      </c>
      <c r="AD53" s="4">
        <v>1551830.5189589411</v>
      </c>
      <c r="AE53" s="4">
        <v>1612342.3275453493</v>
      </c>
      <c r="AF53" s="4">
        <v>1674585.0090863623</v>
      </c>
      <c r="AG53" s="4">
        <v>1738584.0451822965</v>
      </c>
      <c r="AH53" s="4">
        <v>1804364.5373251841</v>
      </c>
      <c r="AI53" s="4">
        <v>1871951.1850476987</v>
      </c>
      <c r="AJ53" s="4">
        <v>1941368.2643870348</v>
      </c>
      <c r="AK53" s="4">
        <v>2012639.6066918643</v>
      </c>
      <c r="AL53" s="4">
        <v>2085788.5777997149</v>
      </c>
      <c r="AM53" s="4">
        <v>2160838.0576112969</v>
      </c>
      <c r="AN53" s="4">
        <v>2237810.4200874348</v>
      </c>
      <c r="AO53" s="4">
        <v>2316727.5136933667</v>
      </c>
      <c r="AP53" s="4">
        <v>2397610.6423142124</v>
      </c>
      <c r="AQ53" s="4">
        <v>2480480.5466644615</v>
      </c>
      <c r="AR53" s="4">
        <v>2565357.3862132994</v>
      </c>
      <c r="AS53" s="4">
        <v>2652260.7216465771</v>
      </c>
      <c r="AT53" s="4">
        <v>2741209.4978851518</v>
      </c>
      <c r="AU53" s="4">
        <v>2832222.0276782559</v>
      </c>
      <c r="AV53" s="4">
        <v>2925315.9757894399</v>
      </c>
      <c r="AW53" s="4">
        <v>3020508.3437915281</v>
      </c>
      <c r="AX53" s="4">
        <v>3117815.4554858841</v>
      </c>
      <c r="AY53" s="4">
        <v>3217252.9429601417</v>
      </c>
      <c r="AZ53" s="4">
        <v>3318835.7332974188</v>
      </c>
      <c r="BA53" s="4">
        <v>3422578.0359488633</v>
      </c>
      <c r="BB53" s="4">
        <v>3528493.3307802258</v>
      </c>
      <c r="BC53" s="4">
        <v>3636594.3568020067</v>
      </c>
      <c r="BD53" s="4">
        <v>3746893.1015915577</v>
      </c>
      <c r="BE53" s="4">
        <v>3859400.7914143829</v>
      </c>
      <c r="BF53" s="4">
        <v>3974127.882050728</v>
      </c>
      <c r="BG53" s="4">
        <v>4091084.0503324354</v>
      </c>
      <c r="BH53" s="4">
        <v>4210278.1863939054</v>
      </c>
      <c r="BI53" s="4">
        <v>4331718.3866399126</v>
      </c>
      <c r="BJ53" s="4">
        <v>4455411.9474319331</v>
      </c>
      <c r="BK53" s="4">
        <v>4581365.3594935723</v>
      </c>
      <c r="BL53" s="4">
        <v>4709584.3030346287</v>
      </c>
      <c r="BM53" s="4">
        <v>4840073.6435923092</v>
      </c>
      <c r="BN53" s="4">
        <v>4972837.4285871014</v>
      </c>
      <c r="BO53" s="4">
        <v>5107878.884589836</v>
      </c>
      <c r="BP53" s="4">
        <v>5245200.4152955059</v>
      </c>
      <c r="BQ53" s="4">
        <v>5384803.6001985073</v>
      </c>
      <c r="BR53" s="4">
        <v>5526689.1939630462</v>
      </c>
      <c r="BS53" s="4">
        <v>5670857.1264816085</v>
      </c>
      <c r="BT53" s="4">
        <v>5817306.5036135428</v>
      </c>
      <c r="BU53" s="4">
        <v>5966035.6085950062</v>
      </c>
    </row>
    <row r="54" spans="1:73" x14ac:dyDescent="0.25">
      <c r="A54" s="3" t="s">
        <v>57</v>
      </c>
      <c r="B54" s="3" t="str">
        <f>VLOOKUP(A54,'storage capacity'!$A$2:$C$195,3,FALSE)</f>
        <v>Other latin america</v>
      </c>
      <c r="C54" s="4">
        <v>48054.466666666791</v>
      </c>
      <c r="D54" s="4">
        <v>50616.655786610347</v>
      </c>
      <c r="E54" s="4">
        <v>53288.468818841917</v>
      </c>
      <c r="F54" s="4">
        <v>56073.185726997574</v>
      </c>
      <c r="G54" s="4">
        <v>58974.122314794266</v>
      </c>
      <c r="H54" s="4">
        <v>61994.628195969402</v>
      </c>
      <c r="I54" s="4">
        <v>65138.084688411589</v>
      </c>
      <c r="J54" s="4">
        <v>68407.90263499337</v>
      </c>
      <c r="K54" s="4">
        <v>71807.520153776175</v>
      </c>
      <c r="L54" s="4">
        <v>75340.400320409841</v>
      </c>
      <c r="M54" s="4">
        <v>79010.028785694987</v>
      </c>
      <c r="N54" s="4">
        <v>82819.911331414318</v>
      </c>
      <c r="O54" s="4">
        <v>86773.571367669603</v>
      </c>
      <c r="P54" s="4">
        <v>90874.547375083843</v>
      </c>
      <c r="Q54" s="4">
        <v>95126.390295342091</v>
      </c>
      <c r="R54" s="4">
        <v>99532.660873650268</v>
      </c>
      <c r="S54" s="4">
        <v>104096.92695678856</v>
      </c>
      <c r="T54" s="4">
        <v>108822.76075052412</v>
      </c>
      <c r="U54" s="4">
        <v>113713.73604022645</v>
      </c>
      <c r="V54" s="4">
        <v>118773.42537859957</v>
      </c>
      <c r="W54" s="4">
        <v>124005.39724450494</v>
      </c>
      <c r="X54" s="4">
        <v>129413.21317690091</v>
      </c>
      <c r="Y54" s="4">
        <v>135000.42488796613</v>
      </c>
      <c r="Z54" s="4">
        <v>140770.5713595073</v>
      </c>
      <c r="AA54" s="4">
        <v>146727.17592677413</v>
      </c>
      <c r="AB54" s="4">
        <v>152873.7433538195</v>
      </c>
      <c r="AC54" s="4">
        <v>159213.75690454608</v>
      </c>
      <c r="AD54" s="4">
        <v>165750.67541357776</v>
      </c>
      <c r="AE54" s="4">
        <v>172487.93036107993</v>
      </c>
      <c r="AF54" s="4">
        <v>179428.92295563113</v>
      </c>
      <c r="AG54" s="4">
        <v>186577.02122921735</v>
      </c>
      <c r="AH54" s="4">
        <v>193935.55714838198</v>
      </c>
      <c r="AI54" s="4">
        <v>201507.82374551607</v>
      </c>
      <c r="AJ54" s="4">
        <v>209297.07227421924</v>
      </c>
      <c r="AK54" s="4">
        <v>217306.50939259821</v>
      </c>
      <c r="AL54" s="4">
        <v>225539.29437829982</v>
      </c>
      <c r="AM54" s="4">
        <v>233998.53637899793</v>
      </c>
      <c r="AN54" s="4">
        <v>242687.29170196952</v>
      </c>
      <c r="AO54" s="4">
        <v>251608.56114630474</v>
      </c>
      <c r="AP54" s="4">
        <v>260765.28738119878</v>
      </c>
      <c r="AQ54" s="4">
        <v>270160.35237367108</v>
      </c>
      <c r="AR54" s="4">
        <v>279796.57486894954</v>
      </c>
      <c r="AS54" s="4">
        <v>289676.70792664401</v>
      </c>
      <c r="AT54" s="4">
        <v>299803.43651571608</v>
      </c>
      <c r="AU54" s="4">
        <v>310179.37517113</v>
      </c>
      <c r="AV54" s="4">
        <v>320807.06571494311</v>
      </c>
      <c r="AW54" s="4">
        <v>331688.97504446586</v>
      </c>
      <c r="AX54" s="4">
        <v>342827.49298998696</v>
      </c>
      <c r="AY54" s="4">
        <v>354224.93024442479</v>
      </c>
      <c r="AZ54" s="4">
        <v>365883.51636712824</v>
      </c>
      <c r="BA54" s="4">
        <v>377805.39786390855</v>
      </c>
      <c r="BB54" s="4">
        <v>389992.63634524366</v>
      </c>
      <c r="BC54" s="4">
        <v>402447.20676445198</v>
      </c>
      <c r="BD54" s="4">
        <v>415170.99573748815</v>
      </c>
      <c r="BE54" s="4">
        <v>428165.79994587001</v>
      </c>
      <c r="BF54" s="4">
        <v>441433.32462409785</v>
      </c>
      <c r="BG54" s="4">
        <v>454975.18213278486</v>
      </c>
      <c r="BH54" s="4">
        <v>468792.89061857003</v>
      </c>
      <c r="BI54" s="4">
        <v>482887.87276174256</v>
      </c>
      <c r="BJ54" s="4">
        <v>497261.45461236086</v>
      </c>
      <c r="BK54" s="4">
        <v>511914.86451551091</v>
      </c>
      <c r="BL54" s="4">
        <v>526849.2321262036</v>
      </c>
      <c r="BM54" s="4">
        <v>542065.58751427417</v>
      </c>
      <c r="BN54" s="4">
        <v>557564.86035951157</v>
      </c>
      <c r="BO54" s="4">
        <v>573347.87923710665</v>
      </c>
      <c r="BP54" s="4">
        <v>589415.37099337997</v>
      </c>
      <c r="BQ54" s="4">
        <v>605767.96021161799</v>
      </c>
      <c r="BR54" s="4">
        <v>622406.16876772209</v>
      </c>
      <c r="BS54" s="4">
        <v>639330.41547525022</v>
      </c>
      <c r="BT54" s="4">
        <v>656541.01581930951</v>
      </c>
      <c r="BU54" s="4">
        <v>674038.18177864491</v>
      </c>
    </row>
    <row r="55" spans="1:73" x14ac:dyDescent="0.25">
      <c r="A55" s="3" t="s">
        <v>58</v>
      </c>
      <c r="B55" s="3" t="str">
        <f>VLOOKUP(A55,'storage capacity'!$A$2:$C$195,3,FALSE)</f>
        <v>Sub-saharan africa</v>
      </c>
      <c r="C55" s="4">
        <v>14642.666666666744</v>
      </c>
      <c r="D55" s="4">
        <v>15167.843963461917</v>
      </c>
      <c r="E55" s="4">
        <v>15706.417257354135</v>
      </c>
      <c r="F55" s="4">
        <v>16258.5370133944</v>
      </c>
      <c r="G55" s="4">
        <v>16824.34987503551</v>
      </c>
      <c r="H55" s="4">
        <v>17403.998536215826</v>
      </c>
      <c r="I55" s="4">
        <v>17997.621617070447</v>
      </c>
      <c r="J55" s="4">
        <v>18605.353543411842</v>
      </c>
      <c r="K55" s="4">
        <v>19227.324430114506</v>
      </c>
      <c r="L55" s="4">
        <v>19863.659968530719</v>
      </c>
      <c r="M55" s="4">
        <v>20514.481318056736</v>
      </c>
      <c r="N55" s="4">
        <v>21179.905001961004</v>
      </c>
      <c r="O55" s="4">
        <v>21860.042807578095</v>
      </c>
      <c r="P55" s="4">
        <v>22555.001690964047</v>
      </c>
      <c r="Q55" s="4">
        <v>23264.883686100944</v>
      </c>
      <c r="R55" s="4">
        <v>23989.785818730361</v>
      </c>
      <c r="S55" s="4">
        <v>24729.800024887467</v>
      </c>
      <c r="T55" s="4">
        <v>25485.013074199363</v>
      </c>
      <c r="U55" s="4">
        <v>26255.506498003389</v>
      </c>
      <c r="V55" s="4">
        <v>27041.356522333077</v>
      </c>
      <c r="W55" s="4">
        <v>27842.634005811567</v>
      </c>
      <c r="X55" s="4">
        <v>28659.404382484514</v>
      </c>
      <c r="Y55" s="4">
        <v>29491.72760961669</v>
      </c>
      <c r="Z55" s="4">
        <v>30339.658120468961</v>
      </c>
      <c r="AA55" s="4">
        <v>31203.244782064732</v>
      </c>
      <c r="AB55" s="4">
        <v>32082.53085794764</v>
      </c>
      <c r="AC55" s="4">
        <v>32977.55397592493</v>
      </c>
      <c r="AD55" s="4">
        <v>33888.34610078406</v>
      </c>
      <c r="AE55" s="4">
        <v>34814.933511962932</v>
      </c>
      <c r="AF55" s="4">
        <v>35757.3367861476</v>
      </c>
      <c r="AG55" s="4">
        <v>36715.570784764663</v>
      </c>
      <c r="AH55" s="4">
        <v>37689.644646329216</v>
      </c>
      <c r="AI55" s="4">
        <v>38679.561783603051</v>
      </c>
      <c r="AJ55" s="4">
        <v>39685.319885511941</v>
      </c>
      <c r="AK55" s="4">
        <v>40706.910923764946</v>
      </c>
      <c r="AL55" s="4">
        <v>41744.321164113418</v>
      </c>
      <c r="AM55" s="4">
        <v>42797.531182181796</v>
      </c>
      <c r="AN55" s="4">
        <v>43866.515883797525</v>
      </c>
      <c r="AO55" s="4">
        <v>44951.244529742435</v>
      </c>
      <c r="AP55" s="4">
        <v>46051.680764843411</v>
      </c>
      <c r="AQ55" s="4">
        <v>47167.7826513158</v>
      </c>
      <c r="AR55" s="4">
        <v>48299.50270626897</v>
      </c>
      <c r="AS55" s="4">
        <v>49446.787943279589</v>
      </c>
      <c r="AT55" s="4">
        <v>50609.579917934439</v>
      </c>
      <c r="AU55" s="4">
        <v>51787.814777241496</v>
      </c>
      <c r="AV55" s="4">
        <v>52981.42331280448</v>
      </c>
      <c r="AW55" s="4">
        <v>54190.331017653771</v>
      </c>
      <c r="AX55" s="4">
        <v>55414.458146623234</v>
      </c>
      <c r="AY55" s="4">
        <v>56653.719780160827</v>
      </c>
      <c r="AZ55" s="4">
        <v>57908.025891458077</v>
      </c>
      <c r="BA55" s="4">
        <v>59177.281416782091</v>
      </c>
      <c r="BB55" s="4">
        <v>60461.386328891596</v>
      </c>
      <c r="BC55" s="4">
        <v>61760.235713417453</v>
      </c>
      <c r="BD55" s="4">
        <v>63073.71984808657</v>
      </c>
      <c r="BE55" s="4">
        <v>64401.724284667071</v>
      </c>
      <c r="BF55" s="4">
        <v>65744.129933512057</v>
      </c>
      <c r="BG55" s="4">
        <v>67100.813150578266</v>
      </c>
      <c r="BH55" s="4">
        <v>68471.64582679591</v>
      </c>
      <c r="BI55" s="4">
        <v>69856.495479665347</v>
      </c>
      <c r="BJ55" s="4">
        <v>71255.225346956664</v>
      </c>
      <c r="BK55" s="4">
        <v>72667.694482388048</v>
      </c>
      <c r="BL55" s="4">
        <v>74093.757853159172</v>
      </c>
      <c r="BM55" s="4">
        <v>75533.266439216706</v>
      </c>
      <c r="BN55" s="4">
        <v>76986.067334129228</v>
      </c>
      <c r="BO55" s="4">
        <v>78452.00384744996</v>
      </c>
      <c r="BP55" s="4">
        <v>79930.915608446609</v>
      </c>
      <c r="BQ55" s="4">
        <v>81422.638671078879</v>
      </c>
      <c r="BR55" s="4">
        <v>82927.005620105236</v>
      </c>
      <c r="BS55" s="4">
        <v>84443.845678202153</v>
      </c>
      <c r="BT55" s="4">
        <v>85972.984813980409</v>
      </c>
      <c r="BU55" s="4">
        <v>87514.24585078485</v>
      </c>
    </row>
    <row r="56" spans="1:73" x14ac:dyDescent="0.25">
      <c r="A56" s="3" t="s">
        <v>59</v>
      </c>
      <c r="B56" s="3" t="str">
        <f>VLOOKUP(A56,'storage capacity'!$A$2:$C$195,3,FALSE)</f>
        <v>Sub-saharan africa</v>
      </c>
      <c r="C56" s="4">
        <v>1982</v>
      </c>
      <c r="D56" s="4">
        <v>1982</v>
      </c>
      <c r="E56" s="4">
        <v>1982</v>
      </c>
      <c r="F56" s="4">
        <v>1982</v>
      </c>
      <c r="G56" s="4">
        <v>1982</v>
      </c>
      <c r="H56" s="4">
        <v>1982</v>
      </c>
      <c r="I56" s="4">
        <v>1982</v>
      </c>
      <c r="J56" s="4">
        <v>1982</v>
      </c>
      <c r="K56" s="4">
        <v>1982</v>
      </c>
      <c r="L56" s="4">
        <v>1982</v>
      </c>
      <c r="M56" s="4">
        <v>1982</v>
      </c>
      <c r="N56" s="4">
        <v>1982</v>
      </c>
      <c r="O56" s="4">
        <v>1982</v>
      </c>
      <c r="P56" s="4">
        <v>1982</v>
      </c>
      <c r="Q56" s="4">
        <v>1982</v>
      </c>
      <c r="R56" s="4">
        <v>1982</v>
      </c>
      <c r="S56" s="4">
        <v>1982</v>
      </c>
      <c r="T56" s="4">
        <v>1982</v>
      </c>
      <c r="U56" s="4">
        <v>1982</v>
      </c>
      <c r="V56" s="4">
        <v>1982</v>
      </c>
      <c r="W56" s="4">
        <v>1982</v>
      </c>
      <c r="X56" s="4">
        <v>1982</v>
      </c>
      <c r="Y56" s="4">
        <v>1982</v>
      </c>
      <c r="Z56" s="4">
        <v>1982</v>
      </c>
      <c r="AA56" s="4">
        <v>1982</v>
      </c>
      <c r="AB56" s="4">
        <v>1982</v>
      </c>
      <c r="AC56" s="4">
        <v>1982</v>
      </c>
      <c r="AD56" s="4">
        <v>1982</v>
      </c>
      <c r="AE56" s="4">
        <v>1982</v>
      </c>
      <c r="AF56" s="4">
        <v>1982</v>
      </c>
      <c r="AG56" s="4">
        <v>1982</v>
      </c>
      <c r="AH56" s="4">
        <v>1982</v>
      </c>
      <c r="AI56" s="4">
        <v>1982</v>
      </c>
      <c r="AJ56" s="4">
        <v>1982</v>
      </c>
      <c r="AK56" s="4">
        <v>1982</v>
      </c>
      <c r="AL56" s="4">
        <v>1982</v>
      </c>
      <c r="AM56" s="4">
        <v>1982</v>
      </c>
      <c r="AN56" s="4">
        <v>1982</v>
      </c>
      <c r="AO56" s="4">
        <v>1982</v>
      </c>
      <c r="AP56" s="4">
        <v>1982</v>
      </c>
      <c r="AQ56" s="4">
        <v>1982</v>
      </c>
      <c r="AR56" s="4">
        <v>1982</v>
      </c>
      <c r="AS56" s="4">
        <v>1982</v>
      </c>
      <c r="AT56" s="4">
        <v>1982</v>
      </c>
      <c r="AU56" s="4">
        <v>1982</v>
      </c>
      <c r="AV56" s="4">
        <v>1982</v>
      </c>
      <c r="AW56" s="4">
        <v>1982</v>
      </c>
      <c r="AX56" s="4">
        <v>1982</v>
      </c>
      <c r="AY56" s="4">
        <v>1982</v>
      </c>
      <c r="AZ56" s="4">
        <v>1982</v>
      </c>
      <c r="BA56" s="4">
        <v>1982</v>
      </c>
      <c r="BB56" s="4">
        <v>1982</v>
      </c>
      <c r="BC56" s="4">
        <v>1982</v>
      </c>
      <c r="BD56" s="4">
        <v>1982</v>
      </c>
      <c r="BE56" s="4">
        <v>1982</v>
      </c>
      <c r="BF56" s="4">
        <v>1982</v>
      </c>
      <c r="BG56" s="4">
        <v>1982</v>
      </c>
      <c r="BH56" s="4">
        <v>1982</v>
      </c>
      <c r="BI56" s="4">
        <v>1982</v>
      </c>
      <c r="BJ56" s="4">
        <v>1982</v>
      </c>
      <c r="BK56" s="4">
        <v>1982</v>
      </c>
      <c r="BL56" s="4">
        <v>1982</v>
      </c>
      <c r="BM56" s="4">
        <v>1982</v>
      </c>
      <c r="BN56" s="4">
        <v>1982</v>
      </c>
      <c r="BO56" s="4">
        <v>1982</v>
      </c>
      <c r="BP56" s="4">
        <v>1982</v>
      </c>
      <c r="BQ56" s="4">
        <v>1982</v>
      </c>
      <c r="BR56" s="4">
        <v>1982</v>
      </c>
      <c r="BS56" s="4">
        <v>1982</v>
      </c>
      <c r="BT56" s="4">
        <v>1982</v>
      </c>
      <c r="BU56" s="4">
        <v>1982</v>
      </c>
    </row>
    <row r="57" spans="1:73" x14ac:dyDescent="0.25">
      <c r="A57" s="3" t="s">
        <v>60</v>
      </c>
      <c r="B57" s="3" t="str">
        <f>VLOOKUP(A57,'storage capacity'!$A$2:$C$195,3,FALSE)</f>
        <v>Other eurasia</v>
      </c>
      <c r="C57" s="4">
        <v>56635.666666666977</v>
      </c>
      <c r="D57" s="4">
        <v>59157.620554170615</v>
      </c>
      <c r="E57" s="4">
        <v>61765.533057258799</v>
      </c>
      <c r="F57" s="4">
        <v>64461.184325292925</v>
      </c>
      <c r="G57" s="4">
        <v>67246.349708279711</v>
      </c>
      <c r="H57" s="4">
        <v>70122.798306410317</v>
      </c>
      <c r="I57" s="4">
        <v>73092.291513147575</v>
      </c>
      <c r="J57" s="4">
        <v>76156.581553928438</v>
      </c>
      <c r="K57" s="4">
        <v>79317.410022551645</v>
      </c>
      <c r="L57" s="4">
        <v>82576.506417318451</v>
      </c>
      <c r="M57" s="4">
        <v>85935.586678988577</v>
      </c>
      <c r="N57" s="4">
        <v>89396.351732602096</v>
      </c>
      <c r="O57" s="4">
        <v>92960.486035203576</v>
      </c>
      <c r="P57" s="4">
        <v>96629.656131485099</v>
      </c>
      <c r="Q57" s="4">
        <v>100405.50921934193</v>
      </c>
      <c r="R57" s="4">
        <v>104289.67172730681</v>
      </c>
      <c r="S57" s="4">
        <v>108283.74790579807</v>
      </c>
      <c r="T57" s="4">
        <v>112389.31843408181</v>
      </c>
      <c r="U57" s="4">
        <v>116607.93904481002</v>
      </c>
      <c r="V57" s="4">
        <v>120941.13916795445</v>
      </c>
      <c r="W57" s="4">
        <v>125390.42059591175</v>
      </c>
      <c r="X57" s="4">
        <v>129957.2561715062</v>
      </c>
      <c r="Y57" s="4">
        <v>134643.08850056634</v>
      </c>
      <c r="Z57" s="4">
        <v>139449.32869069741</v>
      </c>
      <c r="AA57" s="4">
        <v>144377.35511781575</v>
      </c>
      <c r="AB57" s="4">
        <v>149428.51222195214</v>
      </c>
      <c r="AC57" s="4">
        <v>154604.1093337705</v>
      </c>
      <c r="AD57" s="4">
        <v>159905.41953318575</v>
      </c>
      <c r="AE57" s="4">
        <v>165333.67854139963</v>
      </c>
      <c r="AF57" s="4">
        <v>170890.08364760719</v>
      </c>
      <c r="AG57" s="4">
        <v>176575.79267155912</v>
      </c>
      <c r="AH57" s="4">
        <v>182391.92296309592</v>
      </c>
      <c r="AI57" s="4">
        <v>188339.55043970014</v>
      </c>
      <c r="AJ57" s="4">
        <v>194419.70866304191</v>
      </c>
      <c r="AK57" s="4">
        <v>200633.38795542144</v>
      </c>
      <c r="AL57" s="4">
        <v>206981.53455694023</v>
      </c>
      <c r="AM57" s="4">
        <v>213465.04982416017</v>
      </c>
      <c r="AN57" s="4">
        <v>220084.78947093699</v>
      </c>
      <c r="AO57" s="4">
        <v>226841.56285204203</v>
      </c>
      <c r="AP57" s="4">
        <v>233736.13229011424</v>
      </c>
      <c r="AQ57" s="4">
        <v>240769.21244641088</v>
      </c>
      <c r="AR57" s="4">
        <v>247941.4697357555</v>
      </c>
      <c r="AS57" s="4">
        <v>255253.52178600882</v>
      </c>
      <c r="AT57" s="4">
        <v>262705.93694231944</v>
      </c>
      <c r="AU57" s="4">
        <v>270299.23381634022</v>
      </c>
      <c r="AV57" s="4">
        <v>278033.88088052935</v>
      </c>
      <c r="AW57" s="4">
        <v>285910.29610758577</v>
      </c>
      <c r="AX57" s="4">
        <v>293928.84665500501</v>
      </c>
      <c r="AY57" s="4">
        <v>302089.84859467385</v>
      </c>
      <c r="AZ57" s="4">
        <v>310393.56668736174</v>
      </c>
      <c r="BA57" s="4">
        <v>318840.21420190256</v>
      </c>
      <c r="BB57" s="4">
        <v>327429.95277880231</v>
      </c>
      <c r="BC57" s="4">
        <v>336162.89233794832</v>
      </c>
      <c r="BD57" s="4">
        <v>345039.09103004</v>
      </c>
      <c r="BE57" s="4">
        <v>354058.55523130589</v>
      </c>
      <c r="BF57" s="4">
        <v>363221.23958101874</v>
      </c>
      <c r="BG57" s="4">
        <v>372527.04706126981</v>
      </c>
      <c r="BH57" s="4">
        <v>381975.82911841513</v>
      </c>
      <c r="BI57" s="4">
        <v>391567.38582555874</v>
      </c>
      <c r="BJ57" s="4">
        <v>401301.46608539374</v>
      </c>
      <c r="BK57" s="4">
        <v>411177.76787268021</v>
      </c>
      <c r="BL57" s="4">
        <v>421195.93851559673</v>
      </c>
      <c r="BM57" s="4">
        <v>431355.57501516701</v>
      </c>
      <c r="BN57" s="4">
        <v>441656.22440192354</v>
      </c>
      <c r="BO57" s="4">
        <v>452097.38412894012</v>
      </c>
      <c r="BP57" s="4">
        <v>462678.50250033045</v>
      </c>
      <c r="BQ57" s="4">
        <v>473398.97913428233</v>
      </c>
      <c r="BR57" s="4">
        <v>484258.16545966966</v>
      </c>
      <c r="BS57" s="4">
        <v>495255.3652452589</v>
      </c>
      <c r="BT57" s="4">
        <v>506389.83516050345</v>
      </c>
      <c r="BU57" s="4">
        <v>517660.78536690079</v>
      </c>
    </row>
    <row r="58" spans="1:73" x14ac:dyDescent="0.25">
      <c r="A58" s="3" t="s">
        <v>61</v>
      </c>
      <c r="B58" s="3" t="str">
        <f>VLOOKUP(A58,'storage capacity'!$A$2:$C$195,3,FALSE)</f>
        <v>Sub-saharan africa</v>
      </c>
      <c r="C58" s="4">
        <v>6622</v>
      </c>
      <c r="D58" s="4">
        <v>6893.8629146919429</v>
      </c>
      <c r="E58" s="4">
        <v>7174.0567849456575</v>
      </c>
      <c r="F58" s="4">
        <v>7462.723022330917</v>
      </c>
      <c r="G58" s="4">
        <v>7760.0016580708671</v>
      </c>
      <c r="H58" s="4">
        <v>8066.0312229300516</v>
      </c>
      <c r="I58" s="4">
        <v>8380.9486279410776</v>
      </c>
      <c r="J58" s="4">
        <v>8704.8890461333031</v>
      </c>
      <c r="K58" s="4">
        <v>9037.9857954243125</v>
      </c>
      <c r="L58" s="4">
        <v>9380.370222832049</v>
      </c>
      <c r="M58" s="4">
        <v>9732.171590162201</v>
      </c>
      <c r="N58" s="4">
        <v>10093.516961322004</v>
      </c>
      <c r="O58" s="4">
        <v>10464.531091407796</v>
      </c>
      <c r="P58" s="4">
        <v>10845.336317709673</v>
      </c>
      <c r="Q58" s="4">
        <v>11236.052452772297</v>
      </c>
      <c r="R58" s="4">
        <v>11636.796679646479</v>
      </c>
      <c r="S58" s="4">
        <v>12047.683449461361</v>
      </c>
      <c r="T58" s="4">
        <v>12468.824381442246</v>
      </c>
      <c r="U58" s="4">
        <v>12900.328165493936</v>
      </c>
      <c r="V58" s="4">
        <v>13342.300467464287</v>
      </c>
      <c r="W58" s="4">
        <v>13794.843837197232</v>
      </c>
      <c r="X58" s="4">
        <v>14258.057619479059</v>
      </c>
      <c r="Y58" s="4">
        <v>14732.037867976054</v>
      </c>
      <c r="Z58" s="4">
        <v>15216.877262255883</v>
      </c>
      <c r="AA58" s="4">
        <v>15712.665027979258</v>
      </c>
      <c r="AB58" s="4">
        <v>16219.486860342548</v>
      </c>
      <c r="AC58" s="4">
        <v>16737.424850846015</v>
      </c>
      <c r="AD58" s="4">
        <v>17266.557417456337</v>
      </c>
      <c r="AE58" s="4">
        <v>17806.95923822614</v>
      </c>
      <c r="AF58" s="4">
        <v>18358.701188427087</v>
      </c>
      <c r="AG58" s="4">
        <v>18921.850281247131</v>
      </c>
      <c r="AH58" s="4">
        <v>19496.469612096498</v>
      </c>
      <c r="AI58" s="4">
        <v>20082.618306560882</v>
      </c>
      <c r="AJ58" s="4">
        <v>20680.351472034523</v>
      </c>
      <c r="AK58" s="4">
        <v>21289.720153059738</v>
      </c>
      <c r="AL58" s="4">
        <v>21910.771290393801</v>
      </c>
      <c r="AM58" s="4">
        <v>22543.547683818208</v>
      </c>
      <c r="AN58" s="4">
        <v>23188.087958699612</v>
      </c>
      <c r="AO58" s="4">
        <v>23844.426536306295</v>
      </c>
      <c r="AP58" s="4">
        <v>24512.593607878345</v>
      </c>
      <c r="AQ58" s="4">
        <v>25192.615112444484</v>
      </c>
      <c r="AR58" s="4">
        <v>25884.512718373135</v>
      </c>
      <c r="AS58" s="4">
        <v>26588.303808640259</v>
      </c>
      <c r="AT58" s="4">
        <v>27304.001469791452</v>
      </c>
      <c r="AU58" s="4">
        <v>28031.614484570975</v>
      </c>
      <c r="AV58" s="4">
        <v>28771.14732818562</v>
      </c>
      <c r="AW58" s="4">
        <v>29522.60016816694</v>
      </c>
      <c r="AX58" s="4">
        <v>30285.968867790751</v>
      </c>
      <c r="AY58" s="4">
        <v>31061.244993008797</v>
      </c>
      <c r="AZ58" s="4">
        <v>31848.415822843341</v>
      </c>
      <c r="BA58" s="4">
        <v>32647.464363191539</v>
      </c>
      <c r="BB58" s="4">
        <v>33458.369363982798</v>
      </c>
      <c r="BC58" s="4">
        <v>34281.105339628812</v>
      </c>
      <c r="BD58" s="4">
        <v>35115.642592702563</v>
      </c>
      <c r="BE58" s="4">
        <v>35961.947240779453</v>
      </c>
      <c r="BF58" s="4">
        <v>36819.981246370771</v>
      </c>
      <c r="BG58" s="4">
        <v>37689.702449876902</v>
      </c>
      <c r="BH58" s="4">
        <v>38571.064605484971</v>
      </c>
      <c r="BI58" s="4">
        <v>39464.017419933371</v>
      </c>
      <c r="BJ58" s="4">
        <v>40368.506594063227</v>
      </c>
      <c r="BK58" s="4">
        <v>41284.473867074827</v>
      </c>
      <c r="BL58" s="4">
        <v>42211.857063405194</v>
      </c>
      <c r="BM58" s="4">
        <v>43150.590142141227</v>
      </c>
      <c r="BN58" s="4">
        <v>44100.603248881329</v>
      </c>
      <c r="BO58" s="4">
        <v>45061.822769957122</v>
      </c>
      <c r="BP58" s="4">
        <v>46034.171388925519</v>
      </c>
      <c r="BQ58" s="4">
        <v>47017.568145240635</v>
      </c>
      <c r="BR58" s="4">
        <v>48011.928495013934</v>
      </c>
      <c r="BS58" s="4">
        <v>49017.164373770473</v>
      </c>
      <c r="BT58" s="4">
        <v>50033.18426110853</v>
      </c>
      <c r="BU58" s="4">
        <v>51059.893247169435</v>
      </c>
    </row>
    <row r="59" spans="1:73" x14ac:dyDescent="0.25">
      <c r="A59" s="3" t="s">
        <v>62</v>
      </c>
      <c r="B59" s="3" t="str">
        <f>VLOOKUP(A59,'storage capacity'!$A$2:$C$195,3,FALSE)</f>
        <v>Sub-saharan africa</v>
      </c>
      <c r="C59" s="4">
        <v>195458.99999999627</v>
      </c>
      <c r="D59" s="4">
        <v>206800.77497505065</v>
      </c>
      <c r="E59" s="4">
        <v>218680.67293774147</v>
      </c>
      <c r="F59" s="4">
        <v>231117.40118701468</v>
      </c>
      <c r="G59" s="4">
        <v>244129.9862997781</v>
      </c>
      <c r="H59" s="4">
        <v>257737.76566601344</v>
      </c>
      <c r="I59" s="4">
        <v>271960.37844562775</v>
      </c>
      <c r="J59" s="4">
        <v>286817.75595332059</v>
      </c>
      <c r="K59" s="4">
        <v>302330.11147899937</v>
      </c>
      <c r="L59" s="4">
        <v>318517.92955251556</v>
      </c>
      <c r="M59" s="4">
        <v>335401.95466271782</v>
      </c>
      <c r="N59" s="4">
        <v>353003.17944201728</v>
      </c>
      <c r="O59" s="4">
        <v>371342.83232883574</v>
      </c>
      <c r="P59" s="4">
        <v>390442.36472145293</v>
      </c>
      <c r="Q59" s="4">
        <v>410323.43763788231</v>
      </c>
      <c r="R59" s="4">
        <v>431007.90789748204</v>
      </c>
      <c r="S59" s="4">
        <v>452517.81384104973</v>
      </c>
      <c r="T59" s="4">
        <v>474875.36060714483</v>
      </c>
      <c r="U59" s="4">
        <v>498102.90498334065</v>
      </c>
      <c r="V59" s="4">
        <v>522222.93985201459</v>
      </c>
      <c r="W59" s="4">
        <v>547258.07825114636</v>
      </c>
      <c r="X59" s="4">
        <v>573231.037071403</v>
      </c>
      <c r="Y59" s="4">
        <v>600164.62041154841</v>
      </c>
      <c r="Z59" s="4">
        <v>628081.70261491695</v>
      </c>
      <c r="AA59" s="4">
        <v>657005.21101033944</v>
      </c>
      <c r="AB59" s="4">
        <v>686958.10838150093</v>
      </c>
      <c r="AC59" s="4">
        <v>717963.37518924219</v>
      </c>
      <c r="AD59" s="4">
        <v>750043.99157179287</v>
      </c>
      <c r="AE59" s="4">
        <v>783222.91914833721</v>
      </c>
      <c r="AF59" s="4">
        <v>817523.08265167056</v>
      </c>
      <c r="AG59" s="4">
        <v>852967.35141599737</v>
      </c>
      <c r="AH59" s="4">
        <v>889578.52074615995</v>
      </c>
      <c r="AI59" s="4">
        <v>927379.29319475649</v>
      </c>
      <c r="AJ59" s="4">
        <v>966392.25977372611</v>
      </c>
      <c r="AK59" s="4">
        <v>1006639.8811270331</v>
      </c>
      <c r="AL59" s="4">
        <v>1048144.4686910755</v>
      </c>
      <c r="AM59" s="4">
        <v>1090928.1658693864</v>
      </c>
      <c r="AN59" s="4">
        <v>1135012.9292480752</v>
      </c>
      <c r="AO59" s="4">
        <v>1180420.5098782815</v>
      </c>
      <c r="AP59" s="4">
        <v>1227172.4346516873</v>
      </c>
      <c r="AQ59" s="4">
        <v>1275289.9877948475</v>
      </c>
      <c r="AR59" s="4">
        <v>1324794.1925077697</v>
      </c>
      <c r="AS59" s="4">
        <v>1375705.7927717841</v>
      </c>
      <c r="AT59" s="4">
        <v>1428045.2353513187</v>
      </c>
      <c r="AU59" s="4">
        <v>1481832.6520137105</v>
      </c>
      <c r="AV59" s="4">
        <v>1537087.8419906639</v>
      </c>
      <c r="AW59" s="4">
        <v>1593830.2547044018</v>
      </c>
      <c r="AX59" s="4">
        <v>1652078.9727809464</v>
      </c>
      <c r="AY59" s="4">
        <v>1711852.6953723254</v>
      </c>
      <c r="AZ59" s="4">
        <v>1773169.7218088193</v>
      </c>
      <c r="BA59" s="4">
        <v>1836047.935601651</v>
      </c>
      <c r="BB59" s="4">
        <v>1900504.7888157757</v>
      </c>
      <c r="BC59" s="4">
        <v>1966557.2868316537</v>
      </c>
      <c r="BD59" s="4">
        <v>2034221.9735140922</v>
      </c>
      <c r="BE59" s="4">
        <v>2103514.9168054126</v>
      </c>
      <c r="BF59" s="4">
        <v>2174451.6947593638</v>
      </c>
      <c r="BG59" s="4">
        <v>2247047.3820313243</v>
      </c>
      <c r="BH59" s="4">
        <v>2321316.536839467</v>
      </c>
      <c r="BI59" s="4">
        <v>2397273.1884106533</v>
      </c>
      <c r="BJ59" s="4">
        <v>2474930.8249239246</v>
      </c>
      <c r="BK59" s="4">
        <v>2554302.3819635324</v>
      </c>
      <c r="BL59" s="4">
        <v>2635400.2314925306</v>
      </c>
      <c r="BM59" s="4">
        <v>2718236.171357017</v>
      </c>
      <c r="BN59" s="4">
        <v>2802821.4153301786</v>
      </c>
      <c r="BO59" s="4">
        <v>2889166.5837043612</v>
      </c>
      <c r="BP59" s="4">
        <v>2977281.6944384542</v>
      </c>
      <c r="BQ59" s="4">
        <v>3067176.1548669389</v>
      </c>
      <c r="BR59" s="4">
        <v>3158858.753976041</v>
      </c>
      <c r="BS59" s="4">
        <v>3252337.6552514946</v>
      </c>
      <c r="BT59" s="4">
        <v>3347620.3901015259</v>
      </c>
      <c r="BU59" s="4">
        <v>3444713.8518577577</v>
      </c>
    </row>
    <row r="60" spans="1:73" x14ac:dyDescent="0.25">
      <c r="A60" s="3" t="s">
        <v>63</v>
      </c>
      <c r="B60" s="3" t="str">
        <f>VLOOKUP(A60,'storage capacity'!$A$2:$C$195,3,FALSE)</f>
        <v>Other Asia pacific</v>
      </c>
      <c r="C60" s="4">
        <v>7876.5333333333256</v>
      </c>
      <c r="D60" s="4">
        <v>8304.4077426864042</v>
      </c>
      <c r="E60" s="4">
        <v>8751.0142602342839</v>
      </c>
      <c r="F60" s="4">
        <v>9216.9327849050951</v>
      </c>
      <c r="G60" s="4">
        <v>9702.7503371859275</v>
      </c>
      <c r="H60" s="4">
        <v>10209.0607187322</v>
      </c>
      <c r="I60" s="4">
        <v>10736.464157511933</v>
      </c>
      <c r="J60" s="4">
        <v>11285.566938882523</v>
      </c>
      <c r="K60" s="4">
        <v>11856.98102302838</v>
      </c>
      <c r="L60" s="4">
        <v>12451.323649217495</v>
      </c>
      <c r="M60" s="4">
        <v>13069.216927363543</v>
      </c>
      <c r="N60" s="4">
        <v>13711.287417407579</v>
      </c>
      <c r="O60" s="4">
        <v>14378.165697059443</v>
      </c>
      <c r="P60" s="4">
        <v>15070.485918463803</v>
      </c>
      <c r="Q60" s="4">
        <v>15788.885354379137</v>
      </c>
      <c r="R60" s="4">
        <v>16534.003934479926</v>
      </c>
      <c r="S60" s="4">
        <v>17306.48377241271</v>
      </c>
      <c r="T60" s="4">
        <v>18106.968684255637</v>
      </c>
      <c r="U60" s="4">
        <v>18936.103699048355</v>
      </c>
      <c r="V60" s="4">
        <v>19794.534562074925</v>
      </c>
      <c r="W60" s="4">
        <v>20682.907231596342</v>
      </c>
      <c r="X60" s="4">
        <v>21601.867369741783</v>
      </c>
      <c r="Y60" s="4">
        <v>22552.059828278361</v>
      </c>
      <c r="Z60" s="4">
        <v>23534.128129988167</v>
      </c>
      <c r="AA60" s="4">
        <v>24548.71394638882</v>
      </c>
      <c r="AB60" s="4">
        <v>25596.456572539231</v>
      </c>
      <c r="AC60" s="4">
        <v>26677.992399676452</v>
      </c>
      <c r="AD60" s="4">
        <v>27793.954386431535</v>
      </c>
      <c r="AE60" s="4">
        <v>28944.97152937315</v>
      </c>
      <c r="AF60" s="4">
        <v>30131.668333626541</v>
      </c>
      <c r="AG60" s="4">
        <v>31354.664284312868</v>
      </c>
      <c r="AH60" s="4">
        <v>32614.573319549694</v>
      </c>
      <c r="AI60" s="4">
        <v>33912.003305747647</v>
      </c>
      <c r="AJ60" s="4">
        <v>35247.55551593101</v>
      </c>
      <c r="AK60" s="4">
        <v>36621.824111801165</v>
      </c>
      <c r="AL60" s="4">
        <v>38035.395630251733</v>
      </c>
      <c r="AM60" s="4">
        <v>39488.848475032653</v>
      </c>
      <c r="AN60" s="4">
        <v>40982.752414247479</v>
      </c>
      <c r="AO60" s="4">
        <v>42517.66808435414</v>
      </c>
      <c r="AP60" s="4">
        <v>44094.146501323936</v>
      </c>
      <c r="AQ60" s="4">
        <v>45712.728579597067</v>
      </c>
      <c r="AR60" s="4">
        <v>47373.944659455236</v>
      </c>
      <c r="AS60" s="4">
        <v>49078.314043413338</v>
      </c>
      <c r="AT60" s="4">
        <v>50826.344542212595</v>
      </c>
      <c r="AU60" s="4">
        <v>52618.532030976756</v>
      </c>
      <c r="AV60" s="4">
        <v>54455.360016071878</v>
      </c>
      <c r="AW60" s="4">
        <v>56337.299213187733</v>
      </c>
      <c r="AX60" s="4">
        <v>58264.80713713634</v>
      </c>
      <c r="AY60" s="4">
        <v>60238.327703839328</v>
      </c>
      <c r="AZ60" s="4">
        <v>62258.290844951902</v>
      </c>
      <c r="BA60" s="4">
        <v>64325.11213554658</v>
      </c>
      <c r="BB60" s="4">
        <v>66439.192435254867</v>
      </c>
      <c r="BC60" s="4">
        <v>68600.917543239542</v>
      </c>
      <c r="BD60" s="4">
        <v>70810.657867344722</v>
      </c>
      <c r="BE60" s="4">
        <v>73068.768107744792</v>
      </c>
      <c r="BF60" s="4">
        <v>75375.586955387073</v>
      </c>
      <c r="BG60" s="4">
        <v>77731.436805497433</v>
      </c>
      <c r="BH60" s="4">
        <v>80136.623486390876</v>
      </c>
      <c r="BI60" s="4">
        <v>82591.436003803828</v>
      </c>
      <c r="BJ60" s="4">
        <v>85096.146300937849</v>
      </c>
      <c r="BK60" s="4">
        <v>87651.009034379123</v>
      </c>
      <c r="BL60" s="4">
        <v>90256.261366031569</v>
      </c>
      <c r="BM60" s="4">
        <v>92912.122771176131</v>
      </c>
      <c r="BN60" s="4">
        <v>95618.794862743394</v>
      </c>
      <c r="BO60" s="4">
        <v>98376.461231861453</v>
      </c>
      <c r="BP60" s="4">
        <v>101185.28730471629</v>
      </c>
      <c r="BQ60" s="4">
        <v>104045.42021573789</v>
      </c>
      <c r="BR60" s="4">
        <v>106956.98869710119</v>
      </c>
      <c r="BS60" s="4">
        <v>109920.10298450792</v>
      </c>
      <c r="BT60" s="4">
        <v>112934.85473919235</v>
      </c>
      <c r="BU60" s="4">
        <v>116001.31698607195</v>
      </c>
    </row>
    <row r="61" spans="1:73" x14ac:dyDescent="0.25">
      <c r="A61" s="3" t="s">
        <v>64</v>
      </c>
      <c r="B61" s="3" t="str">
        <f>VLOOKUP(A61,'storage capacity'!$A$2:$C$195,3,FALSE)</f>
        <v>Country specific</v>
      </c>
      <c r="C61" s="4">
        <v>378051.13333333284</v>
      </c>
      <c r="D61" s="4">
        <v>391718.46797236882</v>
      </c>
      <c r="E61" s="4">
        <v>405738.29080817261</v>
      </c>
      <c r="F61" s="4">
        <v>420114.67493535997</v>
      </c>
      <c r="G61" s="4">
        <v>434851.59471925767</v>
      </c>
      <c r="H61" s="4">
        <v>449952.92232596659</v>
      </c>
      <c r="I61" s="4">
        <v>465422.42434563156</v>
      </c>
      <c r="J61" s="4">
        <v>481263.75851284084</v>
      </c>
      <c r="K61" s="4">
        <v>497480.47052788618</v>
      </c>
      <c r="L61" s="4">
        <v>514075.99098241521</v>
      </c>
      <c r="M61" s="4">
        <v>531053.6323928074</v>
      </c>
      <c r="N61" s="4">
        <v>548416.58634439961</v>
      </c>
      <c r="O61" s="4">
        <v>566167.9207494799</v>
      </c>
      <c r="P61" s="4">
        <v>584310.57722175913</v>
      </c>
      <c r="Q61" s="4">
        <v>602847.36856981728</v>
      </c>
      <c r="R61" s="4">
        <v>621780.97641181061</v>
      </c>
      <c r="S61" s="4">
        <v>641113.94891351147</v>
      </c>
      <c r="T61" s="4">
        <v>660848.69865153951</v>
      </c>
      <c r="U61" s="4">
        <v>680987.50060343009</v>
      </c>
      <c r="V61" s="4">
        <v>701532.49026597454</v>
      </c>
      <c r="W61" s="4">
        <v>722485.66190305341</v>
      </c>
      <c r="X61" s="4">
        <v>743848.86692397727</v>
      </c>
      <c r="Y61" s="4">
        <v>765623.81239314156</v>
      </c>
      <c r="Z61" s="4">
        <v>787812.05967159523</v>
      </c>
      <c r="AA61" s="4">
        <v>810415.02319092443</v>
      </c>
      <c r="AB61" s="4">
        <v>833433.96935965051</v>
      </c>
      <c r="AC61" s="4">
        <v>856870.01560215</v>
      </c>
      <c r="AD61" s="4">
        <v>880724.12952990783</v>
      </c>
      <c r="AE61" s="4">
        <v>904997.12824473437</v>
      </c>
      <c r="AF61" s="4">
        <v>929689.67777338868</v>
      </c>
      <c r="AG61" s="4">
        <v>954802.2926328748</v>
      </c>
      <c r="AH61" s="4">
        <v>980335.33552550711</v>
      </c>
      <c r="AI61" s="4">
        <v>1006289.0171626674</v>
      </c>
      <c r="AJ61" s="4">
        <v>1032663.3962160215</v>
      </c>
      <c r="AK61" s="4">
        <v>1059458.379394799</v>
      </c>
      <c r="AL61" s="4">
        <v>1086673.7216475946</v>
      </c>
      <c r="AM61" s="4">
        <v>1114309.0264870031</v>
      </c>
      <c r="AN61" s="4">
        <v>1142363.7464352569</v>
      </c>
      <c r="AO61" s="4">
        <v>1170837.1835889104</v>
      </c>
      <c r="AP61" s="4">
        <v>1199728.49030048</v>
      </c>
      <c r="AQ61" s="4">
        <v>1229036.6699748361</v>
      </c>
      <c r="AR61" s="4">
        <v>1258760.5779780238</v>
      </c>
      <c r="AS61" s="4">
        <v>1288898.922656086</v>
      </c>
      <c r="AT61" s="4">
        <v>1319450.2664613589</v>
      </c>
      <c r="AU61" s="4">
        <v>1350413.0271836144</v>
      </c>
      <c r="AV61" s="4">
        <v>1381785.4792833438</v>
      </c>
      <c r="AW61" s="4">
        <v>1413565.7553243819</v>
      </c>
      <c r="AX61" s="4">
        <v>1445751.8475030102</v>
      </c>
      <c r="AY61" s="4">
        <v>1478341.6092705983</v>
      </c>
      <c r="AZ61" s="4">
        <v>1511332.7570467868</v>
      </c>
      <c r="BA61" s="4">
        <v>1544722.8720201536</v>
      </c>
      <c r="BB61" s="4">
        <v>1578509.4020332617</v>
      </c>
      <c r="BC61" s="4">
        <v>1612689.6635489364</v>
      </c>
      <c r="BD61" s="4">
        <v>1647260.8436945842</v>
      </c>
      <c r="BE61" s="4">
        <v>1682220.0023813378</v>
      </c>
      <c r="BF61" s="4">
        <v>1717564.0744947777</v>
      </c>
      <c r="BG61" s="4">
        <v>1753289.8721539653</v>
      </c>
      <c r="BH61" s="4">
        <v>1789394.0870355037</v>
      </c>
      <c r="BI61" s="4">
        <v>1825873.29275934</v>
      </c>
      <c r="BJ61" s="4">
        <v>1862723.9473330053</v>
      </c>
      <c r="BK61" s="4">
        <v>1899942.3956509999</v>
      </c>
      <c r="BL61" s="4">
        <v>1937524.8720460336</v>
      </c>
      <c r="BM61" s="4">
        <v>1975467.5028888364</v>
      </c>
      <c r="BN61" s="4">
        <v>2013766.3092332748</v>
      </c>
      <c r="BO61" s="4">
        <v>2052417.2095035252</v>
      </c>
      <c r="BP61" s="4">
        <v>2091416.0222200777</v>
      </c>
      <c r="BQ61" s="4">
        <v>2130758.4687613738</v>
      </c>
      <c r="BR61" s="4">
        <v>2170440.1761579085</v>
      </c>
      <c r="BS61" s="4">
        <v>2210456.6799156652</v>
      </c>
      <c r="BT61" s="4">
        <v>2250803.4268657872</v>
      </c>
      <c r="BU61" s="4">
        <v>2291475.7780374326</v>
      </c>
    </row>
    <row r="62" spans="1:73" x14ac:dyDescent="0.25">
      <c r="A62" s="3" t="s">
        <v>65</v>
      </c>
      <c r="B62" s="3" t="str">
        <f>VLOOKUP(A62,'storage capacity'!$A$2:$C$195,3,FALSE)</f>
        <v>Country specific</v>
      </c>
      <c r="C62" s="4">
        <v>3845393.1333333254</v>
      </c>
      <c r="D62" s="4">
        <v>3976520.9472278063</v>
      </c>
      <c r="E62" s="4">
        <v>4110764.2237483948</v>
      </c>
      <c r="F62" s="4">
        <v>4248151.663941931</v>
      </c>
      <c r="G62" s="4">
        <v>4388710.9916937407</v>
      </c>
      <c r="H62" s="4">
        <v>4532468.9298121436</v>
      </c>
      <c r="I62" s="4">
        <v>4679451.1770544518</v>
      </c>
      <c r="J62" s="4">
        <v>4829682.3861173028</v>
      </c>
      <c r="K62" s="4">
        <v>4983186.1426124293</v>
      </c>
      <c r="L62" s="4">
        <v>5139984.9450471811</v>
      </c>
      <c r="M62" s="4">
        <v>5300100.1858273698</v>
      </c>
      <c r="N62" s="4">
        <v>5463552.1332982071</v>
      </c>
      <c r="O62" s="4">
        <v>5630359.9148373529</v>
      </c>
      <c r="P62" s="4">
        <v>5800541.5010123253</v>
      </c>
      <c r="Q62" s="4">
        <v>5974113.6908127544</v>
      </c>
      <c r="R62" s="4">
        <v>6151092.0979662286</v>
      </c>
      <c r="S62" s="4">
        <v>6331491.1383447582</v>
      </c>
      <c r="T62" s="4">
        <v>6515324.0184671693</v>
      </c>
      <c r="U62" s="4">
        <v>6702602.7251010509</v>
      </c>
      <c r="V62" s="4">
        <v>6893338.0159662375</v>
      </c>
      <c r="W62" s="4">
        <v>7087539.4115401739</v>
      </c>
      <c r="X62" s="4">
        <v>7285215.1879639011</v>
      </c>
      <c r="Y62" s="4">
        <v>7486372.3710458549</v>
      </c>
      <c r="Z62" s="4">
        <v>7691016.7313591428</v>
      </c>
      <c r="AA62" s="4">
        <v>7899152.7804264734</v>
      </c>
      <c r="AB62" s="4">
        <v>8110783.7679854585</v>
      </c>
      <c r="AC62" s="4">
        <v>8325911.6803256273</v>
      </c>
      <c r="AD62" s="4">
        <v>8544537.2396871168</v>
      </c>
      <c r="AE62" s="4">
        <v>8766659.9047096986</v>
      </c>
      <c r="AF62" s="4">
        <v>8992277.8719195295</v>
      </c>
      <c r="AG62" s="4">
        <v>9221388.0782398302</v>
      </c>
      <c r="AH62" s="4">
        <v>9453986.2045104709</v>
      </c>
      <c r="AI62" s="4">
        <v>9690066.6800004039</v>
      </c>
      <c r="AJ62" s="4">
        <v>9929622.6878957525</v>
      </c>
      <c r="AK62" s="4">
        <v>10172646.171745408</v>
      </c>
      <c r="AL62" s="4">
        <v>10419127.842845021</v>
      </c>
      <c r="AM62" s="4">
        <v>10669057.188539315</v>
      </c>
      <c r="AN62" s="4">
        <v>10922422.481421905</v>
      </c>
      <c r="AO62" s="4">
        <v>11179210.789410906</v>
      </c>
      <c r="AP62" s="4">
        <v>11439407.986677954</v>
      </c>
      <c r="AQ62" s="4">
        <v>11702998.765407503</v>
      </c>
      <c r="AR62" s="4">
        <v>11969966.648362707</v>
      </c>
      <c r="AS62" s="4">
        <v>12240294.002233539</v>
      </c>
      <c r="AT62" s="4">
        <v>12513962.051742317</v>
      </c>
      <c r="AU62" s="4">
        <v>12790950.894481327</v>
      </c>
      <c r="AV62" s="4">
        <v>13071239.516456779</v>
      </c>
      <c r="AW62" s="4">
        <v>13354805.808312992</v>
      </c>
      <c r="AX62" s="4">
        <v>13641626.582210351</v>
      </c>
      <c r="AY62" s="4">
        <v>13931677.589330342</v>
      </c>
      <c r="AZ62" s="4">
        <v>14224933.537980676</v>
      </c>
      <c r="BA62" s="4">
        <v>14521368.11227341</v>
      </c>
      <c r="BB62" s="4">
        <v>14820953.991348786</v>
      </c>
      <c r="BC62" s="4">
        <v>15123662.869117426</v>
      </c>
      <c r="BD62" s="4">
        <v>15429465.474493487</v>
      </c>
      <c r="BE62" s="4">
        <v>15738331.592091367</v>
      </c>
      <c r="BF62" s="4">
        <v>16050230.083358582</v>
      </c>
      <c r="BG62" s="4">
        <v>16365128.908117538</v>
      </c>
      <c r="BH62" s="4">
        <v>16682995.146488965</v>
      </c>
      <c r="BI62" s="4">
        <v>17003795.021170016</v>
      </c>
      <c r="BJ62" s="4">
        <v>17327493.920040175</v>
      </c>
      <c r="BK62" s="4">
        <v>17654056.419068307</v>
      </c>
      <c r="BL62" s="4">
        <v>17983446.305494502</v>
      </c>
      <c r="BM62" s="4">
        <v>18315626.601260588</v>
      </c>
      <c r="BN62" s="4">
        <v>18650559.586663511</v>
      </c>
      <c r="BO62" s="4">
        <v>18988206.824206166</v>
      </c>
      <c r="BP62" s="4">
        <v>19328529.182620529</v>
      </c>
      <c r="BQ62" s="4">
        <v>19671486.861038458</v>
      </c>
      <c r="BR62" s="4">
        <v>20017039.413285788</v>
      </c>
      <c r="BS62" s="4">
        <v>20365145.772275973</v>
      </c>
      <c r="BT62" s="4">
        <v>20715764.274479762</v>
      </c>
      <c r="BU62" s="4">
        <v>21068852.684448063</v>
      </c>
    </row>
    <row r="63" spans="1:73" x14ac:dyDescent="0.25">
      <c r="A63" s="3" t="s">
        <v>66</v>
      </c>
      <c r="B63" s="3" t="str">
        <f>VLOOKUP(A63,'storage capacity'!$A$2:$C$195,3,FALSE)</f>
        <v>Sub-saharan africa</v>
      </c>
      <c r="C63" s="4">
        <v>24259.066666666651</v>
      </c>
      <c r="D63" s="4">
        <v>24947.024461708123</v>
      </c>
      <c r="E63" s="4">
        <v>25647.417233432254</v>
      </c>
      <c r="F63" s="4">
        <v>26360.273109873495</v>
      </c>
      <c r="G63" s="4">
        <v>27085.615730759691</v>
      </c>
      <c r="H63" s="4">
        <v>27823.46423128057</v>
      </c>
      <c r="I63" s="4">
        <v>28573.833229746499</v>
      </c>
      <c r="J63" s="4">
        <v>29336.732819109784</v>
      </c>
      <c r="K63" s="4">
        <v>30112.168562315677</v>
      </c>
      <c r="L63" s="4">
        <v>30900.141491445531</v>
      </c>
      <c r="M63" s="4">
        <v>31700.648110609865</v>
      </c>
      <c r="N63" s="4">
        <v>32513.680402544647</v>
      </c>
      <c r="O63" s="4">
        <v>33339.225838859806</v>
      </c>
      <c r="P63" s="4">
        <v>34177.267393884846</v>
      </c>
      <c r="Q63" s="4">
        <v>35027.783562052558</v>
      </c>
      <c r="R63" s="4">
        <v>35890.748378758064</v>
      </c>
      <c r="S63" s="4">
        <v>36766.131444626837</v>
      </c>
      <c r="T63" s="4">
        <v>37653.897953122054</v>
      </c>
      <c r="U63" s="4">
        <v>38554.008721418402</v>
      </c>
      <c r="V63" s="4">
        <v>39466.420224466528</v>
      </c>
      <c r="W63" s="4">
        <v>40391.084632169484</v>
      </c>
      <c r="X63" s="4">
        <v>41327.949849590041</v>
      </c>
      <c r="Y63" s="4">
        <v>42276.959560105199</v>
      </c>
      <c r="Z63" s="4">
        <v>43238.053271422083</v>
      </c>
      <c r="AA63" s="4">
        <v>44211.166364367462</v>
      </c>
      <c r="AB63" s="4">
        <v>45196.23014436118</v>
      </c>
      <c r="AC63" s="4">
        <v>46193.171895482206</v>
      </c>
      <c r="AD63" s="4">
        <v>47201.914937034569</v>
      </c>
      <c r="AE63" s="4">
        <v>48222.378682519084</v>
      </c>
      <c r="AF63" s="4">
        <v>49254.478700915737</v>
      </c>
      <c r="AG63" s="4">
        <v>50298.126780180704</v>
      </c>
      <c r="AH63" s="4">
        <v>51353.230992861121</v>
      </c>
      <c r="AI63" s="4">
        <v>52419.695763730117</v>
      </c>
      <c r="AJ63" s="4">
        <v>53497.421939344378</v>
      </c>
      <c r="AK63" s="4">
        <v>54586.306859426011</v>
      </c>
      <c r="AL63" s="4">
        <v>55686.244429970509</v>
      </c>
      <c r="AM63" s="4">
        <v>56797.12519798251</v>
      </c>
      <c r="AN63" s="4">
        <v>57918.83642774148</v>
      </c>
      <c r="AO63" s="4">
        <v>59051.262178499361</v>
      </c>
      <c r="AP63" s="4">
        <v>60194.283383513095</v>
      </c>
      <c r="AQ63" s="4">
        <v>61347.777930315227</v>
      </c>
      <c r="AR63" s="4">
        <v>62511.620742126557</v>
      </c>
      <c r="AS63" s="4">
        <v>63685.683860315781</v>
      </c>
      <c r="AT63" s="4">
        <v>64869.836527811749</v>
      </c>
      <c r="AU63" s="4">
        <v>66063.945273375182</v>
      </c>
      <c r="AV63" s="4">
        <v>67267.873996637863</v>
      </c>
      <c r="AW63" s="4">
        <v>68481.484053818422</v>
      </c>
      <c r="AX63" s="4">
        <v>69704.634344025195</v>
      </c>
      <c r="AY63" s="4">
        <v>70937.18139605828</v>
      </c>
      <c r="AZ63" s="4">
        <v>72178.979455624096</v>
      </c>
      <c r="BA63" s="4">
        <v>73429.880572877577</v>
      </c>
      <c r="BB63" s="4">
        <v>74689.73469020857</v>
      </c>
      <c r="BC63" s="4">
        <v>75958.389730191149</v>
      </c>
      <c r="BD63" s="4">
        <v>77235.691683615718</v>
      </c>
      <c r="BE63" s="4">
        <v>78521.484697526132</v>
      </c>
      <c r="BF63" s="4">
        <v>79815.611163185749</v>
      </c>
      <c r="BG63" s="4">
        <v>81117.911803898256</v>
      </c>
      <c r="BH63" s="4">
        <v>82428.225762611139</v>
      </c>
      <c r="BI63" s="4">
        <v>83746.390689231703</v>
      </c>
      <c r="BJ63" s="4">
        <v>85072.242827587514</v>
      </c>
      <c r="BK63" s="4">
        <v>86405.617101965196</v>
      </c>
      <c r="BL63" s="4">
        <v>87746.347203163925</v>
      </c>
      <c r="BM63" s="4">
        <v>89094.265674001537</v>
      </c>
      <c r="BN63" s="4">
        <v>90449.203994213865</v>
      </c>
      <c r="BO63" s="4">
        <v>91810.992664689678</v>
      </c>
      <c r="BP63" s="4">
        <v>93179.461290985972</v>
      </c>
      <c r="BQ63" s="4">
        <v>94554.438666070317</v>
      </c>
      <c r="BR63" s="4">
        <v>95935.752852239617</v>
      </c>
      <c r="BS63" s="4">
        <v>97323.231262165937</v>
      </c>
      <c r="BT63" s="4">
        <v>98716.700739023174</v>
      </c>
      <c r="BU63" s="4">
        <v>100115.98763564987</v>
      </c>
    </row>
    <row r="64" spans="1:73" x14ac:dyDescent="0.25">
      <c r="A64" s="3" t="s">
        <v>67</v>
      </c>
      <c r="B64" s="3" t="str">
        <f>VLOOKUP(A64,'storage capacity'!$A$2:$C$195,3,FALSE)</f>
        <v>Sub-saharan africa</v>
      </c>
      <c r="C64" s="4">
        <v>4140.7333333333372</v>
      </c>
      <c r="D64" s="4">
        <v>4455.5453217726435</v>
      </c>
      <c r="E64" s="4">
        <v>4790.9043946032389</v>
      </c>
      <c r="F64" s="4">
        <v>5147.8991973411903</v>
      </c>
      <c r="G64" s="4">
        <v>5527.6595465425762</v>
      </c>
      <c r="H64" s="4">
        <v>5931.357051252483</v>
      </c>
      <c r="I64" s="4">
        <v>6360.205695197189</v>
      </c>
      <c r="J64" s="4">
        <v>6815.4623773334579</v>
      </c>
      <c r="K64" s="4">
        <v>7298.4274084106273</v>
      </c>
      <c r="L64" s="4">
        <v>7810.4449612507688</v>
      </c>
      <c r="M64" s="4">
        <v>8352.9034725094116</v>
      </c>
      <c r="N64" s="4">
        <v>8927.235993744207</v>
      </c>
      <c r="O64" s="4">
        <v>9534.9204896911888</v>
      </c>
      <c r="P64" s="4">
        <v>10177.48008172791</v>
      </c>
      <c r="Q64" s="4">
        <v>10856.483234589425</v>
      </c>
      <c r="R64" s="4">
        <v>11573.543884496648</v>
      </c>
      <c r="S64" s="4">
        <v>12330.321506956836</v>
      </c>
      <c r="T64" s="4">
        <v>13128.521122602415</v>
      </c>
      <c r="U64" s="4">
        <v>13969.893239546995</v>
      </c>
      <c r="V64" s="4">
        <v>14856.233730855611</v>
      </c>
      <c r="W64" s="4">
        <v>15789.383645849872</v>
      </c>
      <c r="X64" s="4">
        <v>16771.228954097263</v>
      </c>
      <c r="Y64" s="4">
        <v>17803.700221067007</v>
      </c>
      <c r="Z64" s="4">
        <v>18888.772214572215</v>
      </c>
      <c r="AA64" s="4">
        <v>20028.463441259151</v>
      </c>
      <c r="AB64" s="4">
        <v>21224.835612548777</v>
      </c>
      <c r="AC64" s="4">
        <v>22479.993039583002</v>
      </c>
      <c r="AD64" s="4">
        <v>23796.081956877693</v>
      </c>
      <c r="AE64" s="4">
        <v>25175.289774536039</v>
      </c>
      <c r="AF64" s="4">
        <v>26619.844259028836</v>
      </c>
      <c r="AG64" s="4">
        <v>28132.012642702295</v>
      </c>
      <c r="AH64" s="4">
        <v>29714.100662328408</v>
      </c>
      <c r="AI64" s="4">
        <v>31368.451527167388</v>
      </c>
      <c r="AJ64" s="4">
        <v>33097.444817165793</v>
      </c>
      <c r="AK64" s="4">
        <v>34903.495312066902</v>
      </c>
      <c r="AL64" s="4">
        <v>36789.051752361913</v>
      </c>
      <c r="AM64" s="4">
        <v>38756.595533159998</v>
      </c>
      <c r="AN64" s="4">
        <v>40808.639332203216</v>
      </c>
      <c r="AO64" s="4">
        <v>42947.725673396839</v>
      </c>
      <c r="AP64" s="4">
        <v>45176.425427367554</v>
      </c>
      <c r="AQ64" s="4">
        <v>47497.336250699962</v>
      </c>
      <c r="AR64" s="4">
        <v>49913.080965636123</v>
      </c>
      <c r="AS64" s="4">
        <v>52426.305882152745</v>
      </c>
      <c r="AT64" s="4">
        <v>55039.679064455675</v>
      </c>
      <c r="AU64" s="4">
        <v>57755.888544051872</v>
      </c>
      <c r="AV64" s="4">
        <v>60577.640481673421</v>
      </c>
      <c r="AW64" s="4">
        <v>63507.657280437998</v>
      </c>
      <c r="AX64" s="4">
        <v>66548.675652732956</v>
      </c>
      <c r="AY64" s="4">
        <v>69703.444643407958</v>
      </c>
      <c r="AZ64" s="4">
        <v>72974.723611951515</v>
      </c>
      <c r="BA64" s="4">
        <v>76365.280176411572</v>
      </c>
      <c r="BB64" s="4">
        <v>79877.888121897427</v>
      </c>
      <c r="BC64" s="4">
        <v>83515.32527657118</v>
      </c>
      <c r="BD64" s="4">
        <v>87280.371358100747</v>
      </c>
      <c r="BE64" s="4">
        <v>91175.805793602689</v>
      </c>
      <c r="BF64" s="4">
        <v>95204.405516152692</v>
      </c>
      <c r="BG64" s="4">
        <v>99368.942740983824</v>
      </c>
      <c r="BH64" s="4">
        <v>103672.18272452705</v>
      </c>
      <c r="BI64" s="4">
        <v>108116.88150947657</v>
      </c>
      <c r="BJ64" s="4">
        <v>112705.78365908255</v>
      </c>
      <c r="BK64" s="4">
        <v>117441.61998388672</v>
      </c>
      <c r="BL64" s="4">
        <v>122327.10526412264</v>
      </c>
      <c r="BM64" s="4">
        <v>127364.93597100067</v>
      </c>
      <c r="BN64" s="4">
        <v>132557.78799008971</v>
      </c>
      <c r="BO64" s="4">
        <v>137908.31434999284</v>
      </c>
      <c r="BP64" s="4">
        <v>143419.14295949155</v>
      </c>
      <c r="BQ64" s="4">
        <v>149092.87435630546</v>
      </c>
      <c r="BR64" s="4">
        <v>154932.07947057934</v>
      </c>
      <c r="BS64" s="4">
        <v>160939.29740616752</v>
      </c>
      <c r="BT64" s="4">
        <v>167117.03324274003</v>
      </c>
      <c r="BU64" s="4">
        <v>173467.75586168029</v>
      </c>
    </row>
    <row r="65" spans="1:73" x14ac:dyDescent="0.25">
      <c r="A65" s="3" t="s">
        <v>68</v>
      </c>
      <c r="B65" s="3" t="str">
        <f>VLOOKUP(A65,'storage capacity'!$A$2:$C$195,3,FALSE)</f>
        <v>Other eurasia</v>
      </c>
      <c r="C65" s="4">
        <v>52115.200000000186</v>
      </c>
      <c r="D65" s="4">
        <v>56338.665048236173</v>
      </c>
      <c r="E65" s="4">
        <v>60858.746307994239</v>
      </c>
      <c r="F65" s="4">
        <v>65692.648809219201</v>
      </c>
      <c r="G65" s="4">
        <v>70858.321122054418</v>
      </c>
      <c r="H65" s="4">
        <v>76374.471946342484</v>
      </c>
      <c r="I65" s="4">
        <v>82260.5862193457</v>
      </c>
      <c r="J65" s="4">
        <v>88536.940691315875</v>
      </c>
      <c r="K65" s="4">
        <v>95224.618918397333</v>
      </c>
      <c r="L65" s="4">
        <v>102345.52562235245</v>
      </c>
      <c r="M65" s="4">
        <v>109922.40036676149</v>
      </c>
      <c r="N65" s="4">
        <v>117978.83049966623</v>
      </c>
      <c r="O65" s="4">
        <v>126539.26331310473</v>
      </c>
      <c r="P65" s="4">
        <v>135629.01737062042</v>
      </c>
      <c r="Q65" s="4">
        <v>145274.29295462527</v>
      </c>
      <c r="R65" s="4">
        <v>155502.18158645072</v>
      </c>
      <c r="S65" s="4">
        <v>166340.67457303294</v>
      </c>
      <c r="T65" s="4">
        <v>177818.67053544626</v>
      </c>
      <c r="U65" s="4">
        <v>189965.98187592012</v>
      </c>
      <c r="V65" s="4">
        <v>202813.34014154598</v>
      </c>
      <c r="W65" s="4">
        <v>216392.40024459694</v>
      </c>
      <c r="X65" s="4">
        <v>230735.74350124341</v>
      </c>
      <c r="Y65" s="4">
        <v>245876.87945244246</v>
      </c>
      <c r="Z65" s="4">
        <v>261850.24643290634</v>
      </c>
      <c r="AA65" s="4">
        <v>278691.21085630858</v>
      </c>
      <c r="AB65" s="4">
        <v>296436.06518725568</v>
      </c>
      <c r="AC65" s="4">
        <v>315122.0245730367</v>
      </c>
      <c r="AD65" s="4">
        <v>334787.22211074881</v>
      </c>
      <c r="AE65" s="4">
        <v>355470.70272808033</v>
      </c>
      <c r="AF65" s="4">
        <v>377212.4156588043</v>
      </c>
      <c r="AG65" s="4">
        <v>400053.20549688529</v>
      </c>
      <c r="AH65" s="4">
        <v>424034.80181602482</v>
      </c>
      <c r="AI65" s="4">
        <v>449199.80734445184</v>
      </c>
      <c r="AJ65" s="4">
        <v>475591.68468780024</v>
      </c>
      <c r="AK65" s="4">
        <v>503254.74159599323</v>
      </c>
      <c r="AL65" s="4">
        <v>532234.11477316392</v>
      </c>
      <c r="AM65" s="4">
        <v>562575.75223277567</v>
      </c>
      <c r="AN65" s="4">
        <v>594326.39420325391</v>
      </c>
      <c r="AO65" s="4">
        <v>627533.55259258929</v>
      </c>
      <c r="AP65" s="4">
        <v>662245.48902352201</v>
      </c>
      <c r="AQ65" s="4">
        <v>698511.19145404198</v>
      </c>
      <c r="AR65" s="4">
        <v>736380.34940104745</v>
      </c>
      <c r="AS65" s="4">
        <v>775903.32778807345</v>
      </c>
      <c r="AT65" s="4">
        <v>817131.1394410287</v>
      </c>
      <c r="AU65" s="4">
        <v>860115.41625885223</v>
      </c>
      <c r="AV65" s="4">
        <v>904908.37908891717</v>
      </c>
      <c r="AW65" s="4">
        <v>951562.80633984786</v>
      </c>
      <c r="AX65" s="4">
        <v>1000132.0013671874</v>
      </c>
      <c r="AY65" s="4">
        <v>1050669.758670026</v>
      </c>
      <c r="AZ65" s="4">
        <v>1103230.3289392972</v>
      </c>
      <c r="BA65" s="4">
        <v>1157868.3830009259</v>
      </c>
      <c r="BB65" s="4">
        <v>1214638.974699402</v>
      </c>
      <c r="BC65" s="4">
        <v>1273597.5027696202</v>
      </c>
      <c r="BD65" s="4">
        <v>1334799.6717469725</v>
      </c>
      <c r="BE65" s="4">
        <v>1398301.4519677132</v>
      </c>
      <c r="BF65" s="4">
        <v>1464159.0387135153</v>
      </c>
      <c r="BG65" s="4">
        <v>1532428.8105558981</v>
      </c>
      <c r="BH65" s="4">
        <v>1603167.2869578439</v>
      </c>
      <c r="BI65" s="4">
        <v>1676431.0851914098</v>
      </c>
      <c r="BJ65" s="4">
        <v>1752276.8766314888</v>
      </c>
      <c r="BK65" s="4">
        <v>1830761.342487083</v>
      </c>
      <c r="BL65" s="4">
        <v>1911941.1290325075</v>
      </c>
      <c r="BM65" s="4">
        <v>1995872.8024018554</v>
      </c>
      <c r="BN65" s="4">
        <v>2082612.8030108167</v>
      </c>
      <c r="BO65" s="4">
        <v>2172217.3996705622</v>
      </c>
      <c r="BP65" s="4">
        <v>2264742.6434588647</v>
      </c>
      <c r="BQ65" s="4">
        <v>2360244.3214139435</v>
      </c>
      <c r="BR65" s="4">
        <v>2458777.9101167084</v>
      </c>
      <c r="BS65" s="4">
        <v>2560398.5292270766</v>
      </c>
      <c r="BT65" s="4">
        <v>2665160.8950399416</v>
      </c>
      <c r="BU65" s="4">
        <v>2773119.2741261055</v>
      </c>
    </row>
    <row r="66" spans="1:73" x14ac:dyDescent="0.25">
      <c r="A66" s="3" t="s">
        <v>69</v>
      </c>
      <c r="B66" s="3" t="str">
        <f>VLOOKUP(A66,'storage capacity'!$A$2:$C$195,3,FALSE)</f>
        <v>Country specific</v>
      </c>
      <c r="C66" s="4">
        <v>5784681.9333333373</v>
      </c>
      <c r="D66" s="4">
        <v>6010213.5472328039</v>
      </c>
      <c r="E66" s="4">
        <v>6242194.8808724731</v>
      </c>
      <c r="F66" s="4">
        <v>6480720.8425715417</v>
      </c>
      <c r="G66" s="4">
        <v>6725884.9233105425</v>
      </c>
      <c r="H66" s="4">
        <v>6977779.1153443083</v>
      </c>
      <c r="I66" s="4">
        <v>7236493.8319899151</v>
      </c>
      <c r="J66" s="4">
        <v>7502117.8286943426</v>
      </c>
      <c r="K66" s="4">
        <v>7774738.1254836768</v>
      </c>
      <c r="L66" s="4">
        <v>8054439.9308926202</v>
      </c>
      <c r="M66" s="4">
        <v>8341306.5674698493</v>
      </c>
      <c r="N66" s="4">
        <v>8635419.3989514057</v>
      </c>
      <c r="O66" s="4">
        <v>8936857.7591907494</v>
      </c>
      <c r="P66" s="4">
        <v>9245698.8829305358</v>
      </c>
      <c r="Q66" s="4">
        <v>9562017.8384973407</v>
      </c>
      <c r="R66" s="4">
        <v>9885887.4624967854</v>
      </c>
      <c r="S66" s="4">
        <v>10217378.296582488</v>
      </c>
      <c r="T66" s="4">
        <v>10556558.52636829</v>
      </c>
      <c r="U66" s="4">
        <v>10903493.922549061</v>
      </c>
      <c r="V66" s="4">
        <v>11258247.784291239</v>
      </c>
      <c r="W66" s="4">
        <v>11620880.88495004</v>
      </c>
      <c r="X66" s="4">
        <v>11991451.420166031</v>
      </c>
      <c r="Y66" s="4">
        <v>12370014.958389454</v>
      </c>
      <c r="Z66" s="4">
        <v>12756624.393876381</v>
      </c>
      <c r="AA66" s="4">
        <v>13151329.902196532</v>
      </c>
      <c r="AB66" s="4">
        <v>13554178.898288166</v>
      </c>
      <c r="AC66" s="4">
        <v>13965215.997091286</v>
      </c>
      <c r="AD66" s="4">
        <v>14384482.976786014</v>
      </c>
      <c r="AE66" s="4">
        <v>14812018.744658805</v>
      </c>
      <c r="AF66" s="4">
        <v>15247859.305614945</v>
      </c>
      <c r="AG66" s="4">
        <v>15692037.733351581</v>
      </c>
      <c r="AH66" s="4">
        <v>16144584.144201474</v>
      </c>
      <c r="AI66" s="4">
        <v>16605525.673653582</v>
      </c>
      <c r="AJ66" s="4">
        <v>17074886.455552571</v>
      </c>
      <c r="AK66" s="4">
        <v>17552687.603975523</v>
      </c>
      <c r="AL66" s="4">
        <v>18038947.197780196</v>
      </c>
      <c r="AM66" s="4">
        <v>18533680.26781553</v>
      </c>
      <c r="AN66" s="4">
        <v>19036898.786781386</v>
      </c>
      <c r="AO66" s="4">
        <v>19548611.66172098</v>
      </c>
      <c r="AP66" s="4">
        <v>20068824.729126081</v>
      </c>
      <c r="AQ66" s="4">
        <v>20597540.752631586</v>
      </c>
      <c r="AR66" s="4">
        <v>21134759.423273005</v>
      </c>
      <c r="AS66" s="4">
        <v>21680477.362277146</v>
      </c>
      <c r="AT66" s="4">
        <v>22234688.126353409</v>
      </c>
      <c r="AU66" s="4">
        <v>22797382.215450134</v>
      </c>
      <c r="AV66" s="4">
        <v>23368547.08293777</v>
      </c>
      <c r="AW66" s="4">
        <v>23948167.148177952</v>
      </c>
      <c r="AX66" s="4">
        <v>24536223.81143517</v>
      </c>
      <c r="AY66" s="4">
        <v>25132695.471085202</v>
      </c>
      <c r="AZ66" s="4">
        <v>25737557.543072384</v>
      </c>
      <c r="BA66" s="4">
        <v>26350782.482565615</v>
      </c>
      <c r="BB66" s="4">
        <v>26972339.807761062</v>
      </c>
      <c r="BC66" s="4">
        <v>27602196.125777576</v>
      </c>
      <c r="BD66" s="4">
        <v>28240315.160589308</v>
      </c>
      <c r="BE66" s="4">
        <v>28886657.782938205</v>
      </c>
      <c r="BF66" s="4">
        <v>29541182.042167846</v>
      </c>
      <c r="BG66" s="4">
        <v>30203843.199918501</v>
      </c>
      <c r="BH66" s="4">
        <v>30874593.765622314</v>
      </c>
      <c r="BI66" s="4">
        <v>31553383.533736341</v>
      </c>
      <c r="BJ66" s="4">
        <v>32240159.622650158</v>
      </c>
      <c r="BK66" s="4">
        <v>32934866.515204102</v>
      </c>
      <c r="BL66" s="4">
        <v>33637446.100753307</v>
      </c>
      <c r="BM66" s="4">
        <v>34347837.718712233</v>
      </c>
      <c r="BN66" s="4">
        <v>35065978.203513831</v>
      </c>
      <c r="BO66" s="4">
        <v>35791801.930917226</v>
      </c>
      <c r="BP66" s="4">
        <v>36525240.865597375</v>
      </c>
      <c r="BQ66" s="4">
        <v>37266224.6099502</v>
      </c>
      <c r="BR66" s="4">
        <v>38014680.454046473</v>
      </c>
      <c r="BS66" s="4">
        <v>38770533.426667951</v>
      </c>
      <c r="BT66" s="4">
        <v>39533706.347359248</v>
      </c>
      <c r="BU66" s="4">
        <v>40304119.879429251</v>
      </c>
    </row>
    <row r="67" spans="1:73" x14ac:dyDescent="0.25">
      <c r="A67" s="3" t="s">
        <v>70</v>
      </c>
      <c r="B67" s="3" t="str">
        <f>VLOOKUP(A67,'storage capacity'!$A$2:$C$195,3,FALSE)</f>
        <v>Sub-saharan africa</v>
      </c>
      <c r="C67" s="4">
        <v>95486.933333333582</v>
      </c>
      <c r="D67" s="4">
        <v>99184.633734341056</v>
      </c>
      <c r="E67" s="4">
        <v>102987.11745288737</v>
      </c>
      <c r="F67" s="4">
        <v>106895.89600420689</v>
      </c>
      <c r="G67" s="4">
        <v>110912.45721982984</v>
      </c>
      <c r="H67" s="4">
        <v>115038.26395090645</v>
      </c>
      <c r="I67" s="4">
        <v>119274.75279157211</v>
      </c>
      <c r="J67" s="4">
        <v>123623.33282400717</v>
      </c>
      <c r="K67" s="4">
        <v>128085.38438679642</v>
      </c>
      <c r="L67" s="4">
        <v>132662.25786814259</v>
      </c>
      <c r="M67" s="4">
        <v>137355.27252543438</v>
      </c>
      <c r="N67" s="4">
        <v>142165.71533261382</v>
      </c>
      <c r="O67" s="4">
        <v>147094.8398567301</v>
      </c>
      <c r="P67" s="4">
        <v>152143.86516500718</v>
      </c>
      <c r="Q67" s="4">
        <v>157313.97476369038</v>
      </c>
      <c r="R67" s="4">
        <v>162606.31556987506</v>
      </c>
      <c r="S67" s="4">
        <v>168021.99691745549</v>
      </c>
      <c r="T67" s="4">
        <v>173562.08959826577</v>
      </c>
      <c r="U67" s="4">
        <v>179227.6249394191</v>
      </c>
      <c r="V67" s="4">
        <v>185019.59391778312</v>
      </c>
      <c r="W67" s="4">
        <v>190938.94631246166</v>
      </c>
      <c r="X67" s="4">
        <v>196986.5898960832</v>
      </c>
      <c r="Y67" s="4">
        <v>203163.38966562878</v>
      </c>
      <c r="Z67" s="4">
        <v>209470.1671134615</v>
      </c>
      <c r="AA67" s="4">
        <v>215907.69953915104</v>
      </c>
      <c r="AB67" s="4">
        <v>222476.71940261731</v>
      </c>
      <c r="AC67" s="4">
        <v>229177.91371904832</v>
      </c>
      <c r="AD67" s="4">
        <v>236011.92349597899</v>
      </c>
      <c r="AE67" s="4">
        <v>242979.34321284932</v>
      </c>
      <c r="AF67" s="4">
        <v>250080.72034329342</v>
      </c>
      <c r="AG67" s="4">
        <v>257316.55492034467</v>
      </c>
      <c r="AH67" s="4">
        <v>264687.29914467596</v>
      </c>
      <c r="AI67" s="4">
        <v>272193.35703593027</v>
      </c>
      <c r="AJ67" s="4">
        <v>279835.08412713348</v>
      </c>
      <c r="AK67" s="4">
        <v>287612.78720211907</v>
      </c>
      <c r="AL67" s="4">
        <v>295526.72407583398</v>
      </c>
      <c r="AM67" s="4">
        <v>303577.10341733543</v>
      </c>
      <c r="AN67" s="4">
        <v>311764.08461523167</v>
      </c>
      <c r="AO67" s="4">
        <v>320087.77768526279</v>
      </c>
      <c r="AP67" s="4">
        <v>328548.24321966385</v>
      </c>
      <c r="AQ67" s="4">
        <v>337145.49237790063</v>
      </c>
      <c r="AR67" s="4">
        <v>345879.48691831646</v>
      </c>
      <c r="AS67" s="4">
        <v>354750.13927018089</v>
      </c>
      <c r="AT67" s="4">
        <v>363757.31264558434</v>
      </c>
      <c r="AU67" s="4">
        <v>372900.82119057613</v>
      </c>
      <c r="AV67" s="4">
        <v>382180.43017490307</v>
      </c>
      <c r="AW67" s="4">
        <v>391595.85621966299</v>
      </c>
      <c r="AX67" s="4">
        <v>401146.76756214979</v>
      </c>
      <c r="AY67" s="4">
        <v>410832.78435712954</v>
      </c>
      <c r="AZ67" s="4">
        <v>420653.47901375295</v>
      </c>
      <c r="BA67" s="4">
        <v>430608.37656727631</v>
      </c>
      <c r="BB67" s="4">
        <v>440696.95508473425</v>
      </c>
      <c r="BC67" s="4">
        <v>450918.64610367693</v>
      </c>
      <c r="BD67" s="4">
        <v>461272.83510306053</v>
      </c>
      <c r="BE67" s="4">
        <v>471758.86200535478</v>
      </c>
      <c r="BF67" s="4">
        <v>482376.02170890808</v>
      </c>
      <c r="BG67" s="4">
        <v>493123.56464959402</v>
      </c>
      <c r="BH67" s="4">
        <v>504000.6973907412</v>
      </c>
      <c r="BI67" s="4">
        <v>515006.58324033528</v>
      </c>
      <c r="BJ67" s="4">
        <v>526140.34289446694</v>
      </c>
      <c r="BK67" s="4">
        <v>537401.05510598782</v>
      </c>
      <c r="BL67" s="4">
        <v>548787.75737732602</v>
      </c>
      <c r="BM67" s="4">
        <v>560299.44667640422</v>
      </c>
      <c r="BN67" s="4">
        <v>571935.08017459803</v>
      </c>
      <c r="BO67" s="4">
        <v>583693.57600566745</v>
      </c>
      <c r="BP67" s="4">
        <v>595573.81404458883</v>
      </c>
      <c r="BQ67" s="4">
        <v>607574.6367052173</v>
      </c>
      <c r="BR67" s="4">
        <v>619694.84975570685</v>
      </c>
      <c r="BS67" s="4">
        <v>631933.22315061977</v>
      </c>
      <c r="BT67" s="4">
        <v>644288.49187865702</v>
      </c>
      <c r="BU67" s="4">
        <v>656759.35682495043</v>
      </c>
    </row>
    <row r="68" spans="1:73" x14ac:dyDescent="0.25">
      <c r="A68" s="3" t="s">
        <v>71</v>
      </c>
      <c r="B68" s="3" t="str">
        <f>VLOOKUP(A68,'storage capacity'!$A$2:$C$195,3,FALSE)</f>
        <v>Other eurasia</v>
      </c>
      <c r="C68" s="4">
        <v>322501.2666666694</v>
      </c>
      <c r="D68" s="4">
        <v>335364.01644504647</v>
      </c>
      <c r="E68" s="4">
        <v>348606.03077281063</v>
      </c>
      <c r="F68" s="4">
        <v>362233.2637781293</v>
      </c>
      <c r="G68" s="4">
        <v>376251.59474638681</v>
      </c>
      <c r="H68" s="4">
        <v>390666.82302830118</v>
      </c>
      <c r="I68" s="4">
        <v>405484.66300455428</v>
      </c>
      <c r="J68" s="4">
        <v>420710.73911366687</v>
      </c>
      <c r="K68" s="4">
        <v>436350.58094970149</v>
      </c>
      <c r="L68" s="4">
        <v>452409.61843621219</v>
      </c>
      <c r="M68" s="4">
        <v>468893.17708268727</v>
      </c>
      <c r="N68" s="4">
        <v>485806.47332954768</v>
      </c>
      <c r="O68" s="4">
        <v>503154.60998756951</v>
      </c>
      <c r="P68" s="4">
        <v>520942.57177739579</v>
      </c>
      <c r="Q68" s="4">
        <v>539175.22097459203</v>
      </c>
      <c r="R68" s="4">
        <v>557857.29316547979</v>
      </c>
      <c r="S68" s="4">
        <v>576993.39311875566</v>
      </c>
      <c r="T68" s="4">
        <v>596587.99077767134</v>
      </c>
      <c r="U68" s="4">
        <v>616645.41737730848</v>
      </c>
      <c r="V68" s="4">
        <v>637169.8616912415</v>
      </c>
      <c r="W68" s="4">
        <v>658165.36641162843</v>
      </c>
      <c r="X68" s="4">
        <v>679635.8246665214</v>
      </c>
      <c r="Y68" s="4">
        <v>701584.976677928</v>
      </c>
      <c r="Z68" s="4">
        <v>724016.40656390146</v>
      </c>
      <c r="AA68" s="4">
        <v>746933.53928767156</v>
      </c>
      <c r="AB68" s="4">
        <v>770339.63775657176</v>
      </c>
      <c r="AC68" s="4">
        <v>794237.80007325171</v>
      </c>
      <c r="AD68" s="4">
        <v>818630.95694140368</v>
      </c>
      <c r="AE68" s="4">
        <v>843521.86922797037</v>
      </c>
      <c r="AF68" s="4">
        <v>868913.12568353885</v>
      </c>
      <c r="AG68" s="4">
        <v>894807.14082236739</v>
      </c>
      <c r="AH68" s="4">
        <v>921206.15296323434</v>
      </c>
      <c r="AI68" s="4">
        <v>948112.22243204527</v>
      </c>
      <c r="AJ68" s="4">
        <v>975527.22992688045</v>
      </c>
      <c r="AK68" s="4">
        <v>1003452.8750459217</v>
      </c>
      <c r="AL68" s="4">
        <v>1031890.6749784474</v>
      </c>
      <c r="AM68" s="4">
        <v>1060841.9633588546</v>
      </c>
      <c r="AN68" s="4">
        <v>1090307.8892834226</v>
      </c>
      <c r="AO68" s="4">
        <v>1120289.4164893108</v>
      </c>
      <c r="AP68" s="4">
        <v>1150787.3226950592</v>
      </c>
      <c r="AQ68" s="4">
        <v>1181802.1991016387</v>
      </c>
      <c r="AR68" s="4">
        <v>1213334.4500528905</v>
      </c>
      <c r="AS68" s="4">
        <v>1245384.2928539873</v>
      </c>
      <c r="AT68" s="4">
        <v>1277951.757746354</v>
      </c>
      <c r="AU68" s="4">
        <v>1311036.6880372867</v>
      </c>
      <c r="AV68" s="4">
        <v>1344638.7403823382</v>
      </c>
      <c r="AW68" s="4">
        <v>1378757.385218343</v>
      </c>
      <c r="AX68" s="4">
        <v>1413391.9073448053</v>
      </c>
      <c r="AY68" s="4">
        <v>1448541.4066511963</v>
      </c>
      <c r="AZ68" s="4">
        <v>1484204.7989875614</v>
      </c>
      <c r="BA68" s="4">
        <v>1520380.8171756899</v>
      </c>
      <c r="BB68" s="4">
        <v>1557068.012157961</v>
      </c>
      <c r="BC68" s="4">
        <v>1594264.7542808489</v>
      </c>
      <c r="BD68" s="4">
        <v>1631969.234709949</v>
      </c>
      <c r="BE68" s="4">
        <v>1670179.4669732747</v>
      </c>
      <c r="BF68" s="4">
        <v>1708893.2886294595</v>
      </c>
      <c r="BG68" s="4">
        <v>1748108.3630574134</v>
      </c>
      <c r="BH68" s="4">
        <v>1787822.1813638802</v>
      </c>
      <c r="BI68" s="4">
        <v>1828032.0644052657</v>
      </c>
      <c r="BJ68" s="4">
        <v>1868735.1649200316</v>
      </c>
      <c r="BK68" s="4">
        <v>1909928.4697678788</v>
      </c>
      <c r="BL68" s="4">
        <v>1951608.8022718891</v>
      </c>
      <c r="BM68" s="4">
        <v>1993772.8246597368</v>
      </c>
      <c r="BN68" s="4">
        <v>2036417.0406000423</v>
      </c>
      <c r="BO68" s="4">
        <v>2079537.7978298939</v>
      </c>
      <c r="BP68" s="4">
        <v>2123131.2908695415</v>
      </c>
      <c r="BQ68" s="4">
        <v>2167193.5638202378</v>
      </c>
      <c r="BR68" s="4">
        <v>2211720.5132411858</v>
      </c>
      <c r="BS68" s="4">
        <v>2256707.8911015359</v>
      </c>
      <c r="BT68" s="4">
        <v>2302151.307803384</v>
      </c>
      <c r="BU68" s="4">
        <v>2348046.235271709</v>
      </c>
    </row>
    <row r="69" spans="1:73" x14ac:dyDescent="0.25">
      <c r="A69" s="3" t="s">
        <v>72</v>
      </c>
      <c r="B69" s="3" t="str">
        <f>VLOOKUP(A69,'storage capacity'!$A$2:$C$195,3,FALSE)</f>
        <v>Other latin america</v>
      </c>
      <c r="C69" s="4">
        <v>1882.1333333333314</v>
      </c>
      <c r="D69" s="4">
        <v>1981.6611548343453</v>
      </c>
      <c r="E69" s="4">
        <v>2085.4041309874206</v>
      </c>
      <c r="F69" s="4">
        <v>2193.4864689783226</v>
      </c>
      <c r="G69" s="4">
        <v>2306.0336587396987</v>
      </c>
      <c r="H69" s="4">
        <v>2423.1723944202122</v>
      </c>
      <c r="I69" s="4">
        <v>2545.0304930854772</v>
      </c>
      <c r="J69" s="4">
        <v>2671.7368107499515</v>
      </c>
      <c r="K69" s="4">
        <v>2803.4211558447155</v>
      </c>
      <c r="L69" s="4">
        <v>2940.2142002315641</v>
      </c>
      <c r="M69" s="4">
        <v>3082.247387879087</v>
      </c>
      <c r="N69" s="4">
        <v>3229.652841321355</v>
      </c>
      <c r="O69" s="4">
        <v>3382.5632660244914</v>
      </c>
      <c r="P69" s="4">
        <v>3541.1118527907406</v>
      </c>
      <c r="Q69" s="4">
        <v>3705.4321783336923</v>
      </c>
      <c r="R69" s="4">
        <v>3875.6581041620034</v>
      </c>
      <c r="S69" s="4">
        <v>4051.9236739123417</v>
      </c>
      <c r="T69" s="4">
        <v>4234.3630092752983</v>
      </c>
      <c r="U69" s="4">
        <v>4423.1102046607066</v>
      </c>
      <c r="V69" s="4">
        <v>4618.2992207511434</v>
      </c>
      <c r="W69" s="4">
        <v>4820.0637770943667</v>
      </c>
      <c r="X69" s="4">
        <v>5028.5372438871</v>
      </c>
      <c r="Y69" s="4">
        <v>5243.8525331038436</v>
      </c>
      <c r="Z69" s="4">
        <v>5466.1419891253317</v>
      </c>
      <c r="AA69" s="4">
        <v>5695.5372790218407</v>
      </c>
      <c r="AB69" s="4">
        <v>5932.1692826467943</v>
      </c>
      <c r="AC69" s="4">
        <v>6176.1679826960071</v>
      </c>
      <c r="AD69" s="4">
        <v>6427.6623548874741</v>
      </c>
      <c r="AE69" s="4">
        <v>6686.7802584158289</v>
      </c>
      <c r="AF69" s="4">
        <v>6953.6483268345191</v>
      </c>
      <c r="AG69" s="4">
        <v>7228.3918595173136</v>
      </c>
      <c r="AH69" s="4">
        <v>7511.1347138490573</v>
      </c>
      <c r="AI69" s="4">
        <v>7801.9991982935526</v>
      </c>
      <c r="AJ69" s="4">
        <v>8101.1059664841414</v>
      </c>
      <c r="AK69" s="4">
        <v>8408.573912479982</v>
      </c>
      <c r="AL69" s="4">
        <v>8724.520067328147</v>
      </c>
      <c r="AM69" s="4">
        <v>9049.0594970685524</v>
      </c>
      <c r="AN69" s="4">
        <v>9382.3052023153923</v>
      </c>
      <c r="AO69" s="4">
        <v>9724.3680195451325</v>
      </c>
      <c r="AP69" s="4">
        <v>10075.356524217341</v>
      </c>
      <c r="AQ69" s="4">
        <v>10435.376935850572</v>
      </c>
      <c r="AR69" s="4">
        <v>10804.533025171379</v>
      </c>
      <c r="AS69" s="4">
        <v>11182.926023450056</v>
      </c>
      <c r="AT69" s="4">
        <v>11570.654534132271</v>
      </c>
      <c r="AU69" s="4">
        <v>11967.814446870916</v>
      </c>
      <c r="AV69" s="4">
        <v>12374.498854057783</v>
      </c>
      <c r="AW69" s="4">
        <v>12790.797969949635</v>
      </c>
      <c r="AX69" s="4">
        <v>13216.799052478185</v>
      </c>
      <c r="AY69" s="4">
        <v>13652.586327828356</v>
      </c>
      <c r="AZ69" s="4">
        <v>14098.240917863906</v>
      </c>
      <c r="BA69" s="4">
        <v>14553.840770474231</v>
      </c>
      <c r="BB69" s="4">
        <v>15019.460592910733</v>
      </c>
      <c r="BC69" s="4">
        <v>15495.17178817578</v>
      </c>
      <c r="BD69" s="4">
        <v>15981.042394521848</v>
      </c>
      <c r="BE69" s="4">
        <v>16477.137028112928</v>
      </c>
      <c r="BF69" s="4">
        <v>16983.516828894873</v>
      </c>
      <c r="BG69" s="4">
        <v>17500.239409715927</v>
      </c>
      <c r="BH69" s="4">
        <v>18027.35880873321</v>
      </c>
      <c r="BI69" s="4">
        <v>18564.92544513557</v>
      </c>
      <c r="BJ69" s="4">
        <v>19112.98607820789</v>
      </c>
      <c r="BK69" s="4">
        <v>19671.583769756555</v>
      </c>
      <c r="BL69" s="4">
        <v>20240.757849910715</v>
      </c>
      <c r="BM69" s="4">
        <v>20820.543886308675</v>
      </c>
      <c r="BN69" s="4">
        <v>21410.973656673741</v>
      </c>
      <c r="BO69" s="4">
        <v>22012.075124778916</v>
      </c>
      <c r="BP69" s="4">
        <v>22623.872419794858</v>
      </c>
      <c r="BQ69" s="4">
        <v>23246.385819010859</v>
      </c>
      <c r="BR69" s="4">
        <v>23879.63173391388</v>
      </c>
      <c r="BS69" s="4">
        <v>24523.622699606185</v>
      </c>
      <c r="BT69" s="4">
        <v>25178.367367537649</v>
      </c>
      <c r="BU69" s="4">
        <v>25843.870501524696</v>
      </c>
    </row>
    <row r="70" spans="1:73" x14ac:dyDescent="0.25">
      <c r="A70" s="3" t="s">
        <v>73</v>
      </c>
      <c r="B70" s="3" t="str">
        <f>VLOOKUP(A70,'storage capacity'!$A$2:$C$195,3,FALSE)</f>
        <v>Other latin america</v>
      </c>
      <c r="C70" s="4">
        <v>170166.26666666567</v>
      </c>
      <c r="D70" s="4">
        <v>183564.85827971139</v>
      </c>
      <c r="E70" s="4">
        <v>197873.89562646236</v>
      </c>
      <c r="F70" s="4">
        <v>213144.09025472961</v>
      </c>
      <c r="G70" s="4">
        <v>229428.22017713671</v>
      </c>
      <c r="H70" s="4">
        <v>246781.1693082081</v>
      </c>
      <c r="I70" s="4">
        <v>265259.96526218118</v>
      </c>
      <c r="J70" s="4">
        <v>284923.81537972763</v>
      </c>
      <c r="K70" s="4">
        <v>305834.14085254708</v>
      </c>
      <c r="L70" s="4">
        <v>328054.60881599149</v>
      </c>
      <c r="M70" s="4">
        <v>351651.16228148848</v>
      </c>
      <c r="N70" s="4">
        <v>376692.04778255831</v>
      </c>
      <c r="O70" s="4">
        <v>403247.84061066381</v>
      </c>
      <c r="P70" s="4">
        <v>431391.4675199872</v>
      </c>
      <c r="Q70" s="4">
        <v>461198.22678349278</v>
      </c>
      <c r="R70" s="4">
        <v>492745.80548630003</v>
      </c>
      <c r="S70" s="4">
        <v>526114.29394645011</v>
      </c>
      <c r="T70" s="4">
        <v>561386.19715759286</v>
      </c>
      <c r="U70" s="4">
        <v>598646.44315293792</v>
      </c>
      <c r="V70" s="4">
        <v>637982.38819498639</v>
      </c>
      <c r="W70" s="4">
        <v>679483.81870108459</v>
      </c>
      <c r="X70" s="4">
        <v>723242.94982068916</v>
      </c>
      <c r="Y70" s="4">
        <v>769354.42058639869</v>
      </c>
      <c r="Z70" s="4">
        <v>817915.28556726477</v>
      </c>
      <c r="AA70" s="4">
        <v>869025.00295962801</v>
      </c>
      <c r="AB70" s="4">
        <v>922785.41905771592</v>
      </c>
      <c r="AC70" s="4">
        <v>979300.74905345717</v>
      </c>
      <c r="AD70" s="4">
        <v>1038677.5541224018</v>
      </c>
      <c r="AE70" s="4">
        <v>1101024.7147602569</v>
      </c>
      <c r="AF70" s="4">
        <v>1166453.400342331</v>
      </c>
      <c r="AG70" s="4">
        <v>1235077.0348861027</v>
      </c>
      <c r="AH70" s="4">
        <v>1307011.259005171</v>
      </c>
      <c r="AI70" s="4">
        <v>1382373.8880509723</v>
      </c>
      <c r="AJ70" s="4">
        <v>1461284.8664468376</v>
      </c>
      <c r="AK70" s="4">
        <v>1543866.2182272018</v>
      </c>
      <c r="AL70" s="4">
        <v>1630241.9938030182</v>
      </c>
      <c r="AM70" s="4">
        <v>1720538.2129826618</v>
      </c>
      <c r="AN70" s="4">
        <v>1814882.8042858068</v>
      </c>
      <c r="AO70" s="4">
        <v>1913405.5405958919</v>
      </c>
      <c r="AP70" s="4">
        <v>2016237.9712048331</v>
      </c>
      <c r="AQ70" s="4">
        <v>2123513.3503115848</v>
      </c>
      <c r="AR70" s="4">
        <v>2235366.562043943</v>
      </c>
      <c r="AS70" s="4">
        <v>2351934.0420806361</v>
      </c>
      <c r="AT70" s="4">
        <v>2473353.6959582088</v>
      </c>
      <c r="AU70" s="4">
        <v>2599764.8141544675</v>
      </c>
      <c r="AV70" s="4">
        <v>2731307.9840473053</v>
      </c>
      <c r="AW70" s="4">
        <v>2868124.9988545198</v>
      </c>
      <c r="AX70" s="4">
        <v>3010358.7636667863</v>
      </c>
      <c r="AY70" s="4">
        <v>3158153.1986922133</v>
      </c>
      <c r="AZ70" s="4">
        <v>3311653.1398368911</v>
      </c>
      <c r="BA70" s="4">
        <v>3471004.2367514996</v>
      </c>
      <c r="BB70" s="4">
        <v>3636352.848479405</v>
      </c>
      <c r="BC70" s="4">
        <v>3807845.9368466754</v>
      </c>
      <c r="BD70" s="4">
        <v>3985630.9577391264</v>
      </c>
      <c r="BE70" s="4">
        <v>4169855.7504158113</v>
      </c>
      <c r="BF70" s="4">
        <v>4360668.425012337</v>
      </c>
      <c r="BG70" s="4">
        <v>4558217.2483909465</v>
      </c>
      <c r="BH70" s="4">
        <v>4762650.5284975283</v>
      </c>
      <c r="BI70" s="4">
        <v>4974116.4973885324</v>
      </c>
      <c r="BJ70" s="4">
        <v>5192763.193093189</v>
      </c>
      <c r="BK70" s="4">
        <v>5418738.3404785087</v>
      </c>
      <c r="BL70" s="4">
        <v>5652189.2312861606</v>
      </c>
      <c r="BM70" s="4">
        <v>5893262.6035116306</v>
      </c>
      <c r="BN70" s="4">
        <v>6142104.5202969182</v>
      </c>
      <c r="BO70" s="4">
        <v>6398860.2485085502</v>
      </c>
      <c r="BP70" s="4">
        <v>6663674.13717278</v>
      </c>
      <c r="BQ70" s="4">
        <v>6936689.495939618</v>
      </c>
      <c r="BR70" s="4">
        <v>7218048.4737466713</v>
      </c>
      <c r="BS70" s="4">
        <v>7507891.9378528055</v>
      </c>
      <c r="BT70" s="4">
        <v>7806359.3534102822</v>
      </c>
      <c r="BU70" s="4">
        <v>8113588.663742329</v>
      </c>
    </row>
    <row r="71" spans="1:73" x14ac:dyDescent="0.25">
      <c r="A71" s="3" t="s">
        <v>74</v>
      </c>
      <c r="B71" s="3" t="str">
        <f>VLOOKUP(A71,'storage capacity'!$A$2:$C$195,3,FALSE)</f>
        <v>Sub-saharan africa</v>
      </c>
      <c r="C71" s="4">
        <v>38434.200000000186</v>
      </c>
      <c r="D71" s="4">
        <v>41154.180820366062</v>
      </c>
      <c r="E71" s="4">
        <v>44037.529418337966</v>
      </c>
      <c r="F71" s="4">
        <v>47092.037872002475</v>
      </c>
      <c r="G71" s="4">
        <v>50325.747832198787</v>
      </c>
      <c r="H71" s="4">
        <v>53746.952149944009</v>
      </c>
      <c r="I71" s="4">
        <v>57364.196196081226</v>
      </c>
      <c r="J71" s="4">
        <v>61186.278862408166</v>
      </c>
      <c r="K71" s="4">
        <v>65222.253234072115</v>
      </c>
      <c r="L71" s="4">
        <v>69481.426923581312</v>
      </c>
      <c r="M71" s="4">
        <v>73973.362057383158</v>
      </c>
      <c r="N71" s="4">
        <v>78707.874906592464</v>
      </c>
      <c r="O71" s="4">
        <v>83695.03515411845</v>
      </c>
      <c r="P71" s="4">
        <v>88945.164791133197</v>
      </c>
      <c r="Q71" s="4">
        <v>94468.836636546708</v>
      </c>
      <c r="R71" s="4">
        <v>100276.87247390095</v>
      </c>
      <c r="S71" s="4">
        <v>106380.34080086554</v>
      </c>
      <c r="T71" s="4">
        <v>112790.554187309</v>
      </c>
      <c r="U71" s="4">
        <v>119519.06623872819</v>
      </c>
      <c r="V71" s="4">
        <v>126577.66816264371</v>
      </c>
      <c r="W71" s="4">
        <v>133978.38493640631</v>
      </c>
      <c r="X71" s="4">
        <v>141733.47107570825</v>
      </c>
      <c r="Y71" s="4">
        <v>149855.40600394865</v>
      </c>
      <c r="Z71" s="4">
        <v>158356.88902346345</v>
      </c>
      <c r="AA71" s="4">
        <v>167250.83389049405</v>
      </c>
      <c r="AB71" s="4">
        <v>176550.36299663148</v>
      </c>
      <c r="AC71" s="4">
        <v>186268.80116033394</v>
      </c>
      <c r="AD71" s="4">
        <v>196419.66903296957</v>
      </c>
      <c r="AE71" s="4">
        <v>207016.67612468335</v>
      </c>
      <c r="AF71" s="4">
        <v>218073.7134562236</v>
      </c>
      <c r="AG71" s="4">
        <v>229604.84584368498</v>
      </c>
      <c r="AH71" s="4">
        <v>241624.30382393397</v>
      </c>
      <c r="AI71" s="4">
        <v>254146.47522927052</v>
      </c>
      <c r="AJ71" s="4">
        <v>267185.89642065042</v>
      </c>
      <c r="AK71" s="4">
        <v>280757.24318953831</v>
      </c>
      <c r="AL71" s="4">
        <v>294875.32133918512</v>
      </c>
      <c r="AM71" s="4">
        <v>309555.05695681897</v>
      </c>
      <c r="AN71" s="4">
        <v>324811.48638890649</v>
      </c>
      <c r="AO71" s="4">
        <v>340659.74593228044</v>
      </c>
      <c r="AP71" s="4">
        <v>357115.0612545344</v>
      </c>
      <c r="AQ71" s="4">
        <v>374192.73655765993</v>
      </c>
      <c r="AR71" s="4">
        <v>391908.14349943923</v>
      </c>
      <c r="AS71" s="4">
        <v>410276.70988761063</v>
      </c>
      <c r="AT71" s="4">
        <v>429313.90816228965</v>
      </c>
      <c r="AU71" s="4">
        <v>449035.24368255766</v>
      </c>
      <c r="AV71" s="4">
        <v>469456.24283351924</v>
      </c>
      <c r="AW71" s="4">
        <v>490592.44097048172</v>
      </c>
      <c r="AX71" s="4">
        <v>512459.370217219</v>
      </c>
      <c r="AY71" s="4">
        <v>535072.54713555484</v>
      </c>
      <c r="AZ71" s="4">
        <v>558447.46028372936</v>
      </c>
      <c r="BA71" s="4">
        <v>582599.55768120138</v>
      </c>
      <c r="BB71" s="4">
        <v>607544.23419768969</v>
      </c>
      <c r="BC71" s="4">
        <v>633296.8188843634</v>
      </c>
      <c r="BD71" s="4">
        <v>659872.5622651584</v>
      </c>
      <c r="BE71" s="4">
        <v>687286.62360622559</v>
      </c>
      <c r="BF71" s="4">
        <v>715554.05818150402</v>
      </c>
      <c r="BG71" s="4">
        <v>744689.80455236067</v>
      </c>
      <c r="BH71" s="4">
        <v>774708.67187915021</v>
      </c>
      <c r="BI71" s="4">
        <v>805625.32728241908</v>
      </c>
      <c r="BJ71" s="4">
        <v>837454.28327131679</v>
      </c>
      <c r="BK71" s="4">
        <v>870209.88525657589</v>
      </c>
      <c r="BL71" s="4">
        <v>903906.29916518927</v>
      </c>
      <c r="BM71" s="4">
        <v>938557.49917364423</v>
      </c>
      <c r="BN71" s="4">
        <v>974177.25557627587</v>
      </c>
      <c r="BO71" s="4">
        <v>1010779.1228049659</v>
      </c>
      <c r="BP71" s="4">
        <v>1048376.4276160585</v>
      </c>
      <c r="BQ71" s="4">
        <v>1086982.2574599702</v>
      </c>
      <c r="BR71" s="4">
        <v>1126609.4490485592</v>
      </c>
      <c r="BS71" s="4">
        <v>1167270.5771348746</v>
      </c>
      <c r="BT71" s="4">
        <v>1208977.9435194437</v>
      </c>
      <c r="BU71" s="4">
        <v>1251743.5662967651</v>
      </c>
    </row>
    <row r="72" spans="1:73" x14ac:dyDescent="0.25">
      <c r="A72" s="3" t="s">
        <v>75</v>
      </c>
      <c r="B72" s="3" t="str">
        <f>VLOOKUP(A72,'storage capacity'!$A$2:$C$195,3,FALSE)</f>
        <v>Sub-saharan africa</v>
      </c>
      <c r="C72" s="4">
        <v>3304.8666666666395</v>
      </c>
      <c r="D72" s="4">
        <v>3550.3306676925158</v>
      </c>
      <c r="E72" s="4">
        <v>3811.3891835025684</v>
      </c>
      <c r="F72" s="4">
        <v>4088.8409871751792</v>
      </c>
      <c r="G72" s="4">
        <v>4383.5135303558573</v>
      </c>
      <c r="H72" s="4">
        <v>4696.2632981426859</v>
      </c>
      <c r="I72" s="4">
        <v>5027.9761338236758</v>
      </c>
      <c r="J72" s="4">
        <v>5379.5675319314305</v>
      </c>
      <c r="K72" s="4">
        <v>5751.9828981207675</v>
      </c>
      <c r="L72" s="4">
        <v>6146.1977744202877</v>
      </c>
      <c r="M72" s="4">
        <v>6563.2180284592214</v>
      </c>
      <c r="N72" s="4">
        <v>7004.0800053260709</v>
      </c>
      <c r="O72" s="4">
        <v>7469.8506407755331</v>
      </c>
      <c r="P72" s="4">
        <v>7961.6275345646791</v>
      </c>
      <c r="Q72" s="4">
        <v>8480.5389827683321</v>
      </c>
      <c r="R72" s="4">
        <v>9027.7439679966556</v>
      </c>
      <c r="S72" s="4">
        <v>9604.4321065151489</v>
      </c>
      <c r="T72" s="4">
        <v>10211.823551348063</v>
      </c>
      <c r="U72" s="4">
        <v>10851.168850530756</v>
      </c>
      <c r="V72" s="4">
        <v>11523.748759764065</v>
      </c>
      <c r="W72" s="4">
        <v>12230.87400881459</v>
      </c>
      <c r="X72" s="4">
        <v>12973.885021098065</v>
      </c>
      <c r="Y72" s="4">
        <v>13754.151585978874</v>
      </c>
      <c r="Z72" s="4">
        <v>14573.072483416736</v>
      </c>
      <c r="AA72" s="4">
        <v>15432.075060691323</v>
      </c>
      <c r="AB72" s="4">
        <v>16332.614761036895</v>
      </c>
      <c r="AC72" s="4">
        <v>17276.174604121526</v>
      </c>
      <c r="AD72" s="4">
        <v>18264.26461840883</v>
      </c>
      <c r="AE72" s="4">
        <v>19298.421225544</v>
      </c>
      <c r="AF72" s="4">
        <v>20380.206577010209</v>
      </c>
      <c r="AG72" s="4">
        <v>21511.207843405307</v>
      </c>
      <c r="AH72" s="4">
        <v>22693.036456792561</v>
      </c>
      <c r="AI72" s="4">
        <v>23927.327306681986</v>
      </c>
      <c r="AJ72" s="4">
        <v>25215.737890300723</v>
      </c>
      <c r="AK72" s="4">
        <v>26559.947417911495</v>
      </c>
      <c r="AL72" s="4">
        <v>27961.655874036955</v>
      </c>
      <c r="AM72" s="4">
        <v>29422.583035544863</v>
      </c>
      <c r="AN72" s="4">
        <v>30944.467447643598</v>
      </c>
      <c r="AO72" s="4">
        <v>32529.065358929922</v>
      </c>
      <c r="AP72" s="4">
        <v>34178.149616720373</v>
      </c>
      <c r="AQ72" s="4">
        <v>35893.508523984179</v>
      </c>
      <c r="AR72" s="4">
        <v>37676.944659278946</v>
      </c>
      <c r="AS72" s="4">
        <v>39530.273661170184</v>
      </c>
      <c r="AT72" s="4">
        <v>41455.322978692071</v>
      </c>
      <c r="AU72" s="4">
        <v>43453.93058947895</v>
      </c>
      <c r="AV72" s="4">
        <v>45527.943687265761</v>
      </c>
      <c r="AW72" s="4">
        <v>47679.217340519499</v>
      </c>
      <c r="AX72" s="4">
        <v>49909.613124023701</v>
      </c>
      <c r="AY72" s="4">
        <v>52220.997725293368</v>
      </c>
      <c r="AZ72" s="4">
        <v>54615.241527748556</v>
      </c>
      <c r="BA72" s="4">
        <v>57094.217172620796</v>
      </c>
      <c r="BB72" s="4">
        <v>59659.798101608219</v>
      </c>
      <c r="BC72" s="4">
        <v>62313.857082331488</v>
      </c>
      <c r="BD72" s="4">
        <v>65058.26471867456</v>
      </c>
      <c r="BE72" s="4">
        <v>67894.887948121017</v>
      </c>
      <c r="BF72" s="4">
        <v>70825.588528218592</v>
      </c>
      <c r="BG72" s="4">
        <v>73852.221514321558</v>
      </c>
      <c r="BH72" s="4">
        <v>76976.633730772694</v>
      </c>
      <c r="BI72" s="4">
        <v>80200.662237693643</v>
      </c>
      <c r="BJ72" s="4">
        <v>83526.132795555241</v>
      </c>
      <c r="BK72" s="4">
        <v>86954.858329696523</v>
      </c>
      <c r="BL72" s="4">
        <v>90488.637396954466</v>
      </c>
      <c r="BM72" s="4">
        <v>94129.252656554716</v>
      </c>
      <c r="BN72" s="4">
        <v>97878.469347397244</v>
      </c>
      <c r="BO72" s="4">
        <v>101738.03377385049</v>
      </c>
      <c r="BP72" s="4">
        <v>105709.67180214256</v>
      </c>
      <c r="BQ72" s="4">
        <v>109795.0873694092</v>
      </c>
      <c r="BR72" s="4">
        <v>113995.96100742478</v>
      </c>
      <c r="BS72" s="4">
        <v>118313.94838300628</v>
      </c>
      <c r="BT72" s="4">
        <v>122750.67885703906</v>
      </c>
      <c r="BU72" s="4">
        <v>127307.75406402916</v>
      </c>
    </row>
    <row r="73" spans="1:73" x14ac:dyDescent="0.25">
      <c r="A73" s="3" t="s">
        <v>76</v>
      </c>
      <c r="B73" s="3" t="str">
        <f>VLOOKUP(A73,'storage capacity'!$A$2:$C$195,3,FALSE)</f>
        <v>Other latin america</v>
      </c>
      <c r="C73" s="4">
        <v>38136.06666666735</v>
      </c>
      <c r="D73" s="4">
        <v>40987.657601867315</v>
      </c>
      <c r="E73" s="4">
        <v>44021.825586605395</v>
      </c>
      <c r="F73" s="4">
        <v>47248.01428396417</v>
      </c>
      <c r="G73" s="4">
        <v>50676.011590939372</v>
      </c>
      <c r="H73" s="4">
        <v>54315.954169599958</v>
      </c>
      <c r="I73" s="4">
        <v>58178.331625813858</v>
      </c>
      <c r="J73" s="4">
        <v>62273.990316664414</v>
      </c>
      <c r="K73" s="4">
        <v>66614.136768127981</v>
      </c>
      <c r="L73" s="4">
        <v>71210.340685091229</v>
      </c>
      <c r="M73" s="4">
        <v>76074.537536356045</v>
      </c>
      <c r="N73" s="4">
        <v>81219.030697909067</v>
      </c>
      <c r="O73" s="4">
        <v>86656.493138420643</v>
      </c>
      <c r="P73" s="4">
        <v>92399.968631682787</v>
      </c>
      <c r="Q73" s="4">
        <v>98462.872481494545</v>
      </c>
      <c r="R73" s="4">
        <v>104858.9917453556</v>
      </c>
      <c r="S73" s="4">
        <v>111602.48494423003</v>
      </c>
      <c r="T73" s="4">
        <v>118707.88124659257</v>
      </c>
      <c r="U73" s="4">
        <v>126190.07911596262</v>
      </c>
      <c r="V73" s="4">
        <v>134064.34441216811</v>
      </c>
      <c r="W73" s="4">
        <v>142346.30793765446</v>
      </c>
      <c r="X73" s="4">
        <v>151051.9624212645</v>
      </c>
      <c r="Y73" s="4">
        <v>160197.65893305503</v>
      </c>
      <c r="Z73" s="4">
        <v>169800.10272488656</v>
      </c>
      <c r="AA73" s="4">
        <v>179876.34849271557</v>
      </c>
      <c r="AB73" s="4">
        <v>190443.79505773433</v>
      </c>
      <c r="AC73" s="4">
        <v>201520.17946473471</v>
      </c>
      <c r="AD73" s="4">
        <v>213123.5704973173</v>
      </c>
      <c r="AE73" s="4">
        <v>225272.36161082253</v>
      </c>
      <c r="AF73" s="4">
        <v>237985.26328511877</v>
      </c>
      <c r="AG73" s="4">
        <v>251281.2948006448</v>
      </c>
      <c r="AH73" s="4">
        <v>265179.77544236218</v>
      </c>
      <c r="AI73" s="4">
        <v>279700.31513752637</v>
      </c>
      <c r="AJ73" s="4">
        <v>294862.80453442718</v>
      </c>
      <c r="AK73" s="4">
        <v>310687.40453047818</v>
      </c>
      <c r="AL73" s="4">
        <v>327194.53525924642</v>
      </c>
      <c r="AM73" s="4">
        <v>344404.8645472037</v>
      </c>
      <c r="AN73" s="4">
        <v>362339.2958521457</v>
      </c>
      <c r="AO73" s="4">
        <v>381018.95569636434</v>
      </c>
      <c r="AP73" s="4">
        <v>400465.18060876417</v>
      </c>
      <c r="AQ73" s="4">
        <v>420699.50359118736</v>
      </c>
      <c r="AR73" s="4">
        <v>441743.6401252455</v>
      </c>
      <c r="AS73" s="4">
        <v>463619.47373695363</v>
      </c>
      <c r="AT73" s="4">
        <v>486349.04113741318</v>
      </c>
      <c r="AU73" s="4">
        <v>509954.51695869898</v>
      </c>
      <c r="AV73" s="4">
        <v>534458.19810496585</v>
      </c>
      <c r="AW73" s="4">
        <v>559882.48773960152</v>
      </c>
      <c r="AX73" s="4">
        <v>586249.878930012</v>
      </c>
      <c r="AY73" s="4">
        <v>613582.93797233212</v>
      </c>
      <c r="AZ73" s="4">
        <v>641904.28741900821</v>
      </c>
      <c r="BA73" s="4">
        <v>671236.58883279318</v>
      </c>
      <c r="BB73" s="4">
        <v>701602.52529123705</v>
      </c>
      <c r="BC73" s="4">
        <v>733024.78366623563</v>
      </c>
      <c r="BD73" s="4">
        <v>765526.03670362441</v>
      </c>
      <c r="BE73" s="4">
        <v>799128.92492816935</v>
      </c>
      <c r="BF73" s="4">
        <v>833856.03839960927</v>
      </c>
      <c r="BG73" s="4">
        <v>869729.89834565215</v>
      </c>
      <c r="BH73" s="4">
        <v>906772.93869801331</v>
      </c>
      <c r="BI73" s="4">
        <v>945007.48755770712</v>
      </c>
      <c r="BJ73" s="4">
        <v>984455.74861587759</v>
      </c>
      <c r="BK73" s="4">
        <v>1025139.7825564573</v>
      </c>
      <c r="BL73" s="4">
        <v>1067081.4884668998</v>
      </c>
      <c r="BM73" s="4">
        <v>1110302.5852831269</v>
      </c>
      <c r="BN73" s="4">
        <v>1154824.5932946682</v>
      </c>
      <c r="BO73" s="4">
        <v>1200668.815735765</v>
      </c>
      <c r="BP73" s="4">
        <v>1247856.3204879323</v>
      </c>
      <c r="BQ73" s="4">
        <v>1296407.9219191673</v>
      </c>
      <c r="BR73" s="4">
        <v>1346344.1628846144</v>
      </c>
      <c r="BS73" s="4">
        <v>1397685.2969130881</v>
      </c>
      <c r="BT73" s="4">
        <v>1450451.2706033876</v>
      </c>
      <c r="BU73" s="4">
        <v>1504661.7062538343</v>
      </c>
    </row>
    <row r="74" spans="1:73" x14ac:dyDescent="0.25">
      <c r="A74" s="3" t="s">
        <v>77</v>
      </c>
      <c r="B74" s="3" t="str">
        <f>VLOOKUP(A74,'storage capacity'!$A$2:$C$195,3,FALSE)</f>
        <v>Other latin america</v>
      </c>
      <c r="C74" s="4">
        <v>41370.533333333209</v>
      </c>
      <c r="D74" s="4">
        <v>43407.20486532263</v>
      </c>
      <c r="E74" s="4">
        <v>45522.77237669412</v>
      </c>
      <c r="F74" s="4">
        <v>47719.261037524368</v>
      </c>
      <c r="G74" s="4">
        <v>49998.706295289994</v>
      </c>
      <c r="H74" s="4">
        <v>52363.152398738646</v>
      </c>
      <c r="I74" s="4">
        <v>54814.650891780591</v>
      </c>
      <c r="J74" s="4">
        <v>57355.259079465774</v>
      </c>
      <c r="K74" s="4">
        <v>59987.038468167237</v>
      </c>
      <c r="L74" s="4">
        <v>62712.053182143536</v>
      </c>
      <c r="M74" s="4">
        <v>65532.368358698448</v>
      </c>
      <c r="N74" s="4">
        <v>68450.048524197278</v>
      </c>
      <c r="O74" s="4">
        <v>71467.155953234265</v>
      </c>
      <c r="P74" s="4">
        <v>74585.749013275708</v>
      </c>
      <c r="Q74" s="4">
        <v>77807.880497127844</v>
      </c>
      <c r="R74" s="4">
        <v>81135.595945597845</v>
      </c>
      <c r="S74" s="4">
        <v>84570.931962729985</v>
      </c>
      <c r="T74" s="4">
        <v>88115.914526007298</v>
      </c>
      <c r="U74" s="4">
        <v>91772.55729391241</v>
      </c>
      <c r="V74" s="4">
        <v>95542.859913238644</v>
      </c>
      <c r="W74" s="4">
        <v>99428.806328535618</v>
      </c>
      <c r="X74" s="4">
        <v>103432.36309606055</v>
      </c>
      <c r="Y74" s="4">
        <v>107555.47770458955</v>
      </c>
      <c r="Z74" s="4">
        <v>111800.07690542053</v>
      </c>
      <c r="AA74" s="4">
        <v>116168.06505387246</v>
      </c>
      <c r="AB74" s="4">
        <v>120661.32246455419</v>
      </c>
      <c r="AC74" s="4">
        <v>125281.70378263968</v>
      </c>
      <c r="AD74" s="4">
        <v>130031.03637334636</v>
      </c>
      <c r="AE74" s="4">
        <v>134911.11873176898</v>
      </c>
      <c r="AF74" s="4">
        <v>139923.71891517247</v>
      </c>
      <c r="AG74" s="4">
        <v>145070.57299979596</v>
      </c>
      <c r="AH74" s="4">
        <v>150353.38356416332</v>
      </c>
      <c r="AI74" s="4">
        <v>155773.81820083794</v>
      </c>
      <c r="AJ74" s="4">
        <v>161333.50805849597</v>
      </c>
      <c r="AK74" s="4">
        <v>167034.04641612803</v>
      </c>
      <c r="AL74" s="4">
        <v>172876.98729111094</v>
      </c>
      <c r="AM74" s="4">
        <v>178863.84408282134</v>
      </c>
      <c r="AN74" s="4">
        <v>184996.0882533894</v>
      </c>
      <c r="AO74" s="4">
        <v>191275.14804711723</v>
      </c>
      <c r="AP74" s="4">
        <v>197702.40725000895</v>
      </c>
      <c r="AQ74" s="4">
        <v>204279.20399078194</v>
      </c>
      <c r="AR74" s="4">
        <v>211006.82958464822</v>
      </c>
      <c r="AS74" s="4">
        <v>217886.52742107474</v>
      </c>
      <c r="AT74" s="4">
        <v>224919.49189664912</v>
      </c>
      <c r="AU74" s="4">
        <v>232106.86739409427</v>
      </c>
      <c r="AV74" s="4">
        <v>239449.74730839257</v>
      </c>
      <c r="AW74" s="4">
        <v>246949.17312089633</v>
      </c>
      <c r="AX74" s="4">
        <v>254606.13352221667</v>
      </c>
      <c r="AY74" s="4">
        <v>262421.56358459999</v>
      </c>
      <c r="AZ74" s="4">
        <v>270396.34398441692</v>
      </c>
      <c r="BA74" s="4">
        <v>278531.30027530488</v>
      </c>
      <c r="BB74" s="4">
        <v>286827.20221242291</v>
      </c>
      <c r="BC74" s="4">
        <v>295284.76312819519</v>
      </c>
      <c r="BD74" s="4">
        <v>303904.63935983827</v>
      </c>
      <c r="BE74" s="4">
        <v>312687.42972888617</v>
      </c>
      <c r="BF74" s="4">
        <v>321633.67507284926</v>
      </c>
      <c r="BG74" s="4">
        <v>330743.8578290646</v>
      </c>
      <c r="BH74" s="4">
        <v>340018.40167071816</v>
      </c>
      <c r="BI74" s="4">
        <v>349457.67119494599</v>
      </c>
      <c r="BJ74" s="4">
        <v>359061.97166284657</v>
      </c>
      <c r="BK74" s="4">
        <v>368831.54879116715</v>
      </c>
      <c r="BL74" s="4">
        <v>378766.58859535493</v>
      </c>
      <c r="BM74" s="4">
        <v>388867.21728359838</v>
      </c>
      <c r="BN74" s="4">
        <v>399133.50120141829</v>
      </c>
      <c r="BO74" s="4">
        <v>409565.44682630314</v>
      </c>
      <c r="BP74" s="4">
        <v>420163.00081182516</v>
      </c>
      <c r="BQ74" s="4">
        <v>430926.0500806116</v>
      </c>
      <c r="BR74" s="4">
        <v>441854.42196549196</v>
      </c>
      <c r="BS74" s="4">
        <v>452947.8843980864</v>
      </c>
      <c r="BT74" s="4">
        <v>464206.14614404866</v>
      </c>
      <c r="BU74" s="4">
        <v>475628.8570841293</v>
      </c>
    </row>
    <row r="75" spans="1:73" x14ac:dyDescent="0.25">
      <c r="A75" s="3" t="s">
        <v>78</v>
      </c>
      <c r="B75" s="3" t="e">
        <f>VLOOKUP(A75,'storage capacity'!$A$2:$C$195,3,FALSE)</f>
        <v>#N/A</v>
      </c>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c r="AN75" s="4"/>
      <c r="AO75" s="4"/>
      <c r="AP75" s="4"/>
      <c r="AQ75" s="4"/>
      <c r="AR75" s="4"/>
      <c r="AS75" s="4"/>
      <c r="AT75" s="4"/>
      <c r="AU75" s="4"/>
      <c r="AV75" s="4"/>
      <c r="AW75" s="4"/>
      <c r="AX75" s="4"/>
      <c r="AY75" s="4"/>
      <c r="AZ75" s="4"/>
      <c r="BA75" s="4"/>
      <c r="BB75" s="4"/>
      <c r="BC75" s="4"/>
      <c r="BD75" s="4"/>
      <c r="BE75" s="4"/>
      <c r="BF75" s="4"/>
      <c r="BG75" s="4"/>
      <c r="BH75" s="4"/>
      <c r="BI75" s="4"/>
      <c r="BJ75" s="4"/>
      <c r="BK75" s="4"/>
      <c r="BL75" s="4"/>
      <c r="BM75" s="4"/>
      <c r="BN75" s="4"/>
      <c r="BO75" s="4"/>
      <c r="BP75" s="4"/>
      <c r="BQ75" s="4"/>
      <c r="BR75" s="4"/>
      <c r="BS75" s="4"/>
      <c r="BT75" s="4"/>
      <c r="BU75" s="4"/>
    </row>
    <row r="76" spans="1:73" x14ac:dyDescent="0.25">
      <c r="A76" s="3" t="s">
        <v>79</v>
      </c>
      <c r="B76" s="3" t="str">
        <f>VLOOKUP(A76,'storage capacity'!$A$2:$C$195,3,FALSE)</f>
        <v>Other latin america</v>
      </c>
      <c r="C76" s="4">
        <v>51868</v>
      </c>
      <c r="D76" s="4">
        <v>54172.737304195776</v>
      </c>
      <c r="E76" s="4">
        <v>56555.813367472256</v>
      </c>
      <c r="F76" s="4">
        <v>59018.84262654699</v>
      </c>
      <c r="G76" s="4">
        <v>61563.434884969414</v>
      </c>
      <c r="H76" s="4">
        <v>64191.193995622074</v>
      </c>
      <c r="I76" s="4">
        <v>66903.716537764732</v>
      </c>
      <c r="J76" s="4">
        <v>69702.590490497954</v>
      </c>
      <c r="K76" s="4">
        <v>72589.39390452423</v>
      </c>
      <c r="L76" s="4">
        <v>75565.69357408247</v>
      </c>
      <c r="M76" s="4">
        <v>78633.043710924685</v>
      </c>
      <c r="N76" s="4">
        <v>81792.984622193617</v>
      </c>
      <c r="O76" s="4">
        <v>85047.041394045184</v>
      </c>
      <c r="P76" s="4">
        <v>88396.722582841787</v>
      </c>
      <c r="Q76" s="4">
        <v>91843.518915720109</v>
      </c>
      <c r="R76" s="4">
        <v>95388.902002312097</v>
      </c>
      <c r="S76" s="4">
        <v>99034.323059368267</v>
      </c>
      <c r="T76" s="4">
        <v>102781.21165000056</v>
      </c>
      <c r="U76" s="4">
        <v>106630.97443922635</v>
      </c>
      <c r="V76" s="4">
        <v>110584.99396745663</v>
      </c>
      <c r="W76" s="4">
        <v>114644.62744352978</v>
      </c>
      <c r="X76" s="4">
        <v>118811.20555884864</v>
      </c>
      <c r="Y76" s="4">
        <v>123086.03132413089</v>
      </c>
      <c r="Z76" s="4">
        <v>127470.37893023454</v>
      </c>
      <c r="AA76" s="4">
        <v>131965.49263446778</v>
      </c>
      <c r="AB76" s="4">
        <v>136572.58567373952</v>
      </c>
      <c r="AC76" s="4">
        <v>141292.83920585117</v>
      </c>
      <c r="AD76" s="4">
        <v>146127.40128017252</v>
      </c>
      <c r="AE76" s="4">
        <v>151077.3858388862</v>
      </c>
      <c r="AF76" s="4">
        <v>156143.87174992415</v>
      </c>
      <c r="AG76" s="4">
        <v>161327.90187265852</v>
      </c>
      <c r="AH76" s="4">
        <v>166630.48215734615</v>
      </c>
      <c r="AI76" s="4">
        <v>172052.58077926241</v>
      </c>
      <c r="AJ76" s="4">
        <v>177595.12730839549</v>
      </c>
      <c r="AK76" s="4">
        <v>183259.01191550746</v>
      </c>
      <c r="AL76" s="4">
        <v>189045.08461530268</v>
      </c>
      <c r="AM76" s="4">
        <v>194954.15454737851</v>
      </c>
      <c r="AN76" s="4">
        <v>200986.98929556727</v>
      </c>
      <c r="AO76" s="4">
        <v>207144.3142462128</v>
      </c>
      <c r="AP76" s="4">
        <v>213426.81198585872</v>
      </c>
      <c r="AQ76" s="4">
        <v>219835.12173876064</v>
      </c>
      <c r="AR76" s="4">
        <v>226369.83884456925</v>
      </c>
      <c r="AS76" s="4">
        <v>233031.51427646712</v>
      </c>
      <c r="AT76" s="4">
        <v>239820.6541999779</v>
      </c>
      <c r="AU76" s="4">
        <v>246737.7195726042</v>
      </c>
      <c r="AV76" s="4">
        <v>253783.12578438842</v>
      </c>
      <c r="AW76" s="4">
        <v>260957.24233942936</v>
      </c>
      <c r="AX76" s="4">
        <v>268260.39257832873</v>
      </c>
      <c r="AY76" s="4">
        <v>275692.85344148194</v>
      </c>
      <c r="AZ76" s="4">
        <v>283254.85527307168</v>
      </c>
      <c r="BA76" s="4">
        <v>290946.58166556567</v>
      </c>
      <c r="BB76" s="4">
        <v>298768.16934446729</v>
      </c>
      <c r="BC76" s="4">
        <v>306719.70809301332</v>
      </c>
      <c r="BD76" s="4">
        <v>314801.24071646377</v>
      </c>
      <c r="BE76" s="4">
        <v>323012.76304557821</v>
      </c>
      <c r="BF76" s="4">
        <v>331354.22397882614</v>
      </c>
      <c r="BG76" s="4">
        <v>339825.52556283219</v>
      </c>
      <c r="BH76" s="4">
        <v>348426.52311051509</v>
      </c>
      <c r="BI76" s="4">
        <v>357157.02535633434</v>
      </c>
      <c r="BJ76" s="4">
        <v>366016.79464802117</v>
      </c>
      <c r="BK76" s="4">
        <v>375005.5471741308</v>
      </c>
      <c r="BL76" s="4">
        <v>384122.95322671655</v>
      </c>
      <c r="BM76" s="4">
        <v>393368.63749839371</v>
      </c>
      <c r="BN76" s="4">
        <v>402742.1794130262</v>
      </c>
      <c r="BO76" s="4">
        <v>412243.1134892425</v>
      </c>
      <c r="BP76" s="4">
        <v>421870.92973595491</v>
      </c>
      <c r="BQ76" s="4">
        <v>431625.07407903351</v>
      </c>
      <c r="BR76" s="4">
        <v>441504.94881826016</v>
      </c>
      <c r="BS76" s="4">
        <v>451509.91311366536</v>
      </c>
      <c r="BT76" s="4">
        <v>461639.28350033204</v>
      </c>
      <c r="BU76" s="4">
        <v>471892.33443073049</v>
      </c>
    </row>
    <row r="77" spans="1:73" x14ac:dyDescent="0.25">
      <c r="A77" s="3" t="s">
        <v>80</v>
      </c>
      <c r="B77" s="3" t="str">
        <f>VLOOKUP(A77,'storage capacity'!$A$2:$C$195,3,FALSE)</f>
        <v>Other eurasia</v>
      </c>
      <c r="C77" s="4">
        <v>327522.86666666716</v>
      </c>
      <c r="D77" s="4">
        <v>347455.42516646563</v>
      </c>
      <c r="E77" s="4">
        <v>368389.59352576663</v>
      </c>
      <c r="F77" s="4">
        <v>390363.08975567354</v>
      </c>
      <c r="G77" s="4">
        <v>413414.40719642187</v>
      </c>
      <c r="H77" s="4">
        <v>437582.801993737</v>
      </c>
      <c r="I77" s="4">
        <v>462908.27927197446</v>
      </c>
      <c r="J77" s="4">
        <v>489431.5780045659</v>
      </c>
      <c r="K77" s="4">
        <v>517194.15458510321</v>
      </c>
      <c r="L77" s="4">
        <v>546238.16510521283</v>
      </c>
      <c r="M77" s="4">
        <v>576606.44634818786</v>
      </c>
      <c r="N77" s="4">
        <v>608342.49551015557</v>
      </c>
      <c r="O77" s="4">
        <v>641490.44866334402</v>
      </c>
      <c r="P77" s="4">
        <v>676095.05797877815</v>
      </c>
      <c r="Q77" s="4">
        <v>712201.66772846191</v>
      </c>
      <c r="R77" s="4">
        <v>749856.18908978673</v>
      </c>
      <c r="S77" s="4">
        <v>789105.0737775442</v>
      </c>
      <c r="T77" s="4">
        <v>829995.28653149342</v>
      </c>
      <c r="U77" s="4">
        <v>872574.27648994524</v>
      </c>
      <c r="V77" s="4">
        <v>916889.94748226041</v>
      </c>
      <c r="W77" s="4">
        <v>962990.62727551884</v>
      </c>
      <c r="X77" s="4">
        <v>1010925.0358128846</v>
      </c>
      <c r="Y77" s="4">
        <v>1060742.2524833716</v>
      </c>
      <c r="Z77" s="4">
        <v>1112491.6824647977</v>
      </c>
      <c r="AA77" s="4">
        <v>1166223.0221836879</v>
      </c>
      <c r="AB77" s="4">
        <v>1221986.223937761</v>
      </c>
      <c r="AC77" s="4">
        <v>1279831.4597283925</v>
      </c>
      <c r="AD77" s="4">
        <v>1339809.0843520784</v>
      </c>
      <c r="AE77" s="4">
        <v>1401969.5978014583</v>
      </c>
      <c r="AF77" s="4">
        <v>1466363.6070278429</v>
      </c>
      <c r="AG77" s="4">
        <v>1533041.7871184659</v>
      </c>
      <c r="AH77" s="4">
        <v>1602054.841942824</v>
      </c>
      <c r="AI77" s="4">
        <v>1673453.4643234834</v>
      </c>
      <c r="AJ77" s="4">
        <v>1747288.2957876059</v>
      </c>
      <c r="AK77" s="4">
        <v>1823609.8859562082</v>
      </c>
      <c r="AL77" s="4">
        <v>1902468.6516287718</v>
      </c>
      <c r="AM77" s="4">
        <v>1983914.8356213148</v>
      </c>
      <c r="AN77" s="4">
        <v>2067998.4654163816</v>
      </c>
      <c r="AO77" s="4">
        <v>2154769.3116836296</v>
      </c>
      <c r="AP77" s="4">
        <v>2244276.8467297736</v>
      </c>
      <c r="AQ77" s="4">
        <v>2336570.2029366186</v>
      </c>
      <c r="AR77" s="4">
        <v>2431698.1312457304</v>
      </c>
      <c r="AS77" s="4">
        <v>2529708.9597480111</v>
      </c>
      <c r="AT77" s="4">
        <v>2630650.5524360202</v>
      </c>
      <c r="AU77" s="4">
        <v>2734570.2681763582</v>
      </c>
      <c r="AV77" s="4">
        <v>2841514.9199587614</v>
      </c>
      <c r="AW77" s="4">
        <v>2951530.734477811</v>
      </c>
      <c r="AX77" s="4">
        <v>3064663.3121022619</v>
      </c>
      <c r="AY77" s="4">
        <v>3180957.5872860341</v>
      </c>
      <c r="AZ77" s="4">
        <v>3300457.7894738209</v>
      </c>
      <c r="BA77" s="4">
        <v>3423207.4045530874</v>
      </c>
      <c r="BB77" s="4">
        <v>3549249.136902967</v>
      </c>
      <c r="BC77" s="4">
        <v>3678624.872089196</v>
      </c>
      <c r="BD77" s="4">
        <v>3811375.6402528002</v>
      </c>
      <c r="BE77" s="4">
        <v>3947541.5802387097</v>
      </c>
      <c r="BF77" s="4">
        <v>4087161.9045088999</v>
      </c>
      <c r="BG77" s="4">
        <v>4230274.8648829907</v>
      </c>
      <c r="BH77" s="4">
        <v>4376917.7191475146</v>
      </c>
      <c r="BI77" s="4">
        <v>4527126.6985732932</v>
      </c>
      <c r="BJ77" s="4">
        <v>4680936.9763785088</v>
      </c>
      <c r="BK77" s="4">
        <v>4838382.6371732149</v>
      </c>
      <c r="BL77" s="4">
        <v>4999496.6474190801</v>
      </c>
      <c r="BM77" s="4">
        <v>5164310.8269362208</v>
      </c>
      <c r="BN77" s="4">
        <v>5332855.8214869918</v>
      </c>
      <c r="BO77" s="4">
        <v>5505161.0764645962</v>
      </c>
      <c r="BP77" s="4">
        <v>5681254.811712333</v>
      </c>
      <c r="BQ77" s="4">
        <v>5861163.9974972783</v>
      </c>
      <c r="BR77" s="4">
        <v>6044914.3316601124</v>
      </c>
      <c r="BS77" s="4">
        <v>6232530.2179607721</v>
      </c>
      <c r="BT77" s="4">
        <v>6424034.7456375193</v>
      </c>
      <c r="BU77" s="4">
        <v>6619449.6701949807</v>
      </c>
    </row>
    <row r="78" spans="1:73" x14ac:dyDescent="0.25">
      <c r="A78" s="3" t="s">
        <v>81</v>
      </c>
      <c r="B78" s="3" t="str">
        <f>VLOOKUP(A78,'storage capacity'!$A$2:$C$195,3,FALSE)</f>
        <v>Country specific</v>
      </c>
      <c r="C78" s="4">
        <v>49642.066666666418</v>
      </c>
      <c r="D78" s="4">
        <v>53481.233675091855</v>
      </c>
      <c r="E78" s="4">
        <v>57575.949460823693</v>
      </c>
      <c r="F78" s="4">
        <v>61940.089208652258</v>
      </c>
      <c r="G78" s="4">
        <v>66588.072537674423</v>
      </c>
      <c r="H78" s="4">
        <v>71534.87278402214</v>
      </c>
      <c r="I78" s="4">
        <v>76796.025805821031</v>
      </c>
      <c r="J78" s="4">
        <v>82387.638277206846</v>
      </c>
      <c r="K78" s="4">
        <v>88326.395438615786</v>
      </c>
      <c r="L78" s="4">
        <v>94629.568271058321</v>
      </c>
      <c r="M78" s="4">
        <v>101315.02006268682</v>
      </c>
      <c r="N78" s="4">
        <v>108401.21233667275</v>
      </c>
      <c r="O78" s="4">
        <v>115907.21011021908</v>
      </c>
      <c r="P78" s="4">
        <v>123852.6864554466</v>
      </c>
      <c r="Q78" s="4">
        <v>132257.92633390598</v>
      </c>
      <c r="R78" s="4">
        <v>141143.82967757992</v>
      </c>
      <c r="S78" s="4">
        <v>150531.91369044658</v>
      </c>
      <c r="T78" s="4">
        <v>160444.31434597666</v>
      </c>
      <c r="U78" s="4">
        <v>170903.78705732417</v>
      </c>
      <c r="V78" s="4">
        <v>181933.70649844574</v>
      </c>
      <c r="W78" s="4">
        <v>193558.06555593773</v>
      </c>
      <c r="X78" s="4">
        <v>205801.47339301088</v>
      </c>
      <c r="Y78" s="4">
        <v>218689.15260872443</v>
      </c>
      <c r="Z78" s="4">
        <v>232246.93547736955</v>
      </c>
      <c r="AA78" s="4">
        <v>246501.25925472064</v>
      </c>
      <c r="AB78" s="4">
        <v>261479.1605397565</v>
      </c>
      <c r="AC78" s="4">
        <v>277208.26868238638</v>
      </c>
      <c r="AD78" s="4">
        <v>293716.79822969134</v>
      </c>
      <c r="AE78" s="4">
        <v>311033.54040520551</v>
      </c>
      <c r="AF78" s="4">
        <v>329187.85361780244</v>
      </c>
      <c r="AG78" s="4">
        <v>348209.65299882344</v>
      </c>
      <c r="AH78" s="4">
        <v>368129.39896816609</v>
      </c>
      <c r="AI78" s="4">
        <v>388978.08483215119</v>
      </c>
      <c r="AJ78" s="4">
        <v>410787.22341808607</v>
      </c>
      <c r="AK78" s="4">
        <v>433588.8327525428</v>
      </c>
      <c r="AL78" s="4">
        <v>457415.42079246085</v>
      </c>
      <c r="AM78" s="4">
        <v>482299.96922026208</v>
      </c>
      <c r="AN78" s="4">
        <v>508275.91631622106</v>
      </c>
      <c r="AO78" s="4">
        <v>535377.13892336376</v>
      </c>
      <c r="AP78" s="4">
        <v>563637.93352216436</v>
      </c>
      <c r="AQ78" s="4">
        <v>593092.9964342661</v>
      </c>
      <c r="AR78" s="4">
        <v>623777.40317636682</v>
      </c>
      <c r="AS78" s="4">
        <v>655726.58698727225</v>
      </c>
      <c r="AT78" s="4">
        <v>688976.31655292679</v>
      </c>
      <c r="AU78" s="4">
        <v>723562.67295598146</v>
      </c>
      <c r="AV78" s="4">
        <v>759522.02587813837</v>
      </c>
      <c r="AW78" s="4">
        <v>796891.00908512785</v>
      </c>
      <c r="AX78" s="4">
        <v>835706.49522571033</v>
      </c>
      <c r="AY78" s="4">
        <v>876005.5699775595</v>
      </c>
      <c r="AZ78" s="4">
        <v>917825.5055742634</v>
      </c>
      <c r="BA78" s="4">
        <v>961203.73374897696</v>
      </c>
      <c r="BB78" s="4">
        <v>1006177.818131469</v>
      </c>
      <c r="BC78" s="4">
        <v>1052785.4261364245</v>
      </c>
      <c r="BD78" s="4">
        <v>1101064.3003818935</v>
      </c>
      <c r="BE78" s="4">
        <v>1151052.2296777063</v>
      </c>
      <c r="BF78" s="4">
        <v>1202787.0196245154</v>
      </c>
      <c r="BG78" s="4">
        <v>1256306.4628648639</v>
      </c>
      <c r="BH78" s="4">
        <v>1311648.3090283195</v>
      </c>
      <c r="BI78" s="4">
        <v>1368850.2344132597</v>
      </c>
      <c r="BJ78" s="4">
        <v>1427949.8114483343</v>
      </c>
      <c r="BK78" s="4">
        <v>1488984.4779769799</v>
      </c>
      <c r="BL78" s="4">
        <v>1551991.5064086043</v>
      </c>
      <c r="BM78" s="4">
        <v>1617007.9727802062</v>
      </c>
      <c r="BN78" s="4">
        <v>1684070.7257722483</v>
      </c>
      <c r="BO78" s="4">
        <v>1753216.3557225561</v>
      </c>
      <c r="BP78" s="4">
        <v>1824481.1636818708</v>
      </c>
      <c r="BQ78" s="4">
        <v>1897901.1305544553</v>
      </c>
      <c r="BR78" s="4">
        <v>1973511.8863668272</v>
      </c>
      <c r="BS78" s="4">
        <v>2051348.6797072734</v>
      </c>
      <c r="BT78" s="4">
        <v>2131446.3473783126</v>
      </c>
      <c r="BU78" s="4">
        <v>2213839.2843036763</v>
      </c>
    </row>
    <row r="79" spans="1:73" x14ac:dyDescent="0.25">
      <c r="A79" s="3" t="s">
        <v>82</v>
      </c>
      <c r="B79" s="3" t="str">
        <f>VLOOKUP(A79,'storage capacity'!$A$2:$C$195,3,FALSE)</f>
        <v>Country specific</v>
      </c>
      <c r="C79" s="4">
        <v>6405675.6666666269</v>
      </c>
      <c r="D79" s="4">
        <v>6977262.140167064</v>
      </c>
      <c r="E79" s="4">
        <v>7593626.0930468263</v>
      </c>
      <c r="F79" s="4">
        <v>8257730.8562564654</v>
      </c>
      <c r="G79" s="4">
        <v>8972693.4241349343</v>
      </c>
      <c r="H79" s="4">
        <v>9741789.5163357221</v>
      </c>
      <c r="I79" s="4">
        <v>10568458.630609062</v>
      </c>
      <c r="J79" s="4">
        <v>11456309.075082567</v>
      </c>
      <c r="K79" s="4">
        <v>12409122.968314812</v>
      </c>
      <c r="L79" s="4">
        <v>13430861.195055431</v>
      </c>
      <c r="M79" s="4">
        <v>14525668.305333422</v>
      </c>
      <c r="N79" s="4">
        <v>15697877.34421416</v>
      </c>
      <c r="O79" s="4">
        <v>16952014.599317171</v>
      </c>
      <c r="P79" s="4">
        <v>18292804.252972532</v>
      </c>
      <c r="Q79" s="4">
        <v>19725172.925715368</v>
      </c>
      <c r="R79" s="4">
        <v>21254254.097676866</v>
      </c>
      <c r="S79" s="4">
        <v>22885392.394327715</v>
      </c>
      <c r="T79" s="4">
        <v>24624147.722966917</v>
      </c>
      <c r="U79" s="4">
        <v>26476299.246326789</v>
      </c>
      <c r="V79" s="4">
        <v>28447849.179684095</v>
      </c>
      <c r="W79" s="4">
        <v>30545026.397928625</v>
      </c>
      <c r="X79" s="4">
        <v>32774289.839144379</v>
      </c>
      <c r="Y79" s="4">
        <v>35142331.691405363</v>
      </c>
      <c r="Z79" s="4">
        <v>37656080.34967754</v>
      </c>
      <c r="AA79" s="4">
        <v>40322703.129951447</v>
      </c>
      <c r="AB79" s="4">
        <v>43149608.728005186</v>
      </c>
      <c r="AC79" s="4">
        <v>46144449.410515293</v>
      </c>
      <c r="AD79" s="4">
        <v>49315122.926592365</v>
      </c>
      <c r="AE79" s="4">
        <v>52669774.128218852</v>
      </c>
      <c r="AF79" s="4">
        <v>56216796.288506627</v>
      </c>
      <c r="AG79" s="4">
        <v>59964832.107171617</v>
      </c>
      <c r="AH79" s="4">
        <v>63922774.393139683</v>
      </c>
      <c r="AI79" s="4">
        <v>68099766.414751261</v>
      </c>
      <c r="AJ79" s="4">
        <v>72505201.90862073</v>
      </c>
      <c r="AK79" s="4">
        <v>77148724.738827214</v>
      </c>
      <c r="AL79" s="4">
        <v>82040228.198766291</v>
      </c>
      <c r="AM79" s="4">
        <v>87189853.948673546</v>
      </c>
      <c r="AN79" s="4">
        <v>92607990.582539946</v>
      </c>
      <c r="AO79" s="4">
        <v>98305271.818872735</v>
      </c>
      <c r="AP79" s="4">
        <v>104292574.31051253</v>
      </c>
      <c r="AQ79" s="4">
        <v>110581015.06949419</v>
      </c>
      <c r="AR79" s="4">
        <v>117181948.50373444</v>
      </c>
      <c r="AS79" s="4">
        <v>124106963.06313953</v>
      </c>
      <c r="AT79" s="4">
        <v>131367877.49355043</v>
      </c>
      <c r="AU79" s="4">
        <v>138976736.69777656</v>
      </c>
      <c r="AV79" s="4">
        <v>146945807.2038112</v>
      </c>
      <c r="AW79" s="4">
        <v>155287572.24116912</v>
      </c>
      <c r="AX79" s="4">
        <v>164014726.42713585</v>
      </c>
      <c r="AY79" s="4">
        <v>173140170.06556818</v>
      </c>
      <c r="AZ79" s="4">
        <v>182677003.06173214</v>
      </c>
      <c r="BA79" s="4">
        <v>192638518.45750609</v>
      </c>
      <c r="BB79" s="4">
        <v>203038195.59211072</v>
      </c>
      <c r="BC79" s="4">
        <v>213889692.8943508</v>
      </c>
      <c r="BD79" s="4">
        <v>225206840.31316429</v>
      </c>
      <c r="BE79" s="4">
        <v>237003631.39407015</v>
      </c>
      <c r="BF79" s="4">
        <v>249294215.00988388</v>
      </c>
      <c r="BG79" s="4">
        <v>262092886.75482804</v>
      </c>
      <c r="BH79" s="4">
        <v>275414080.01190221</v>
      </c>
      <c r="BI79" s="4">
        <v>289272356.70408851</v>
      </c>
      <c r="BJ79" s="4">
        <v>303682397.74065608</v>
      </c>
      <c r="BK79" s="4">
        <v>318658993.17048687</v>
      </c>
      <c r="BL79" s="4">
        <v>334217032.05497485</v>
      </c>
      <c r="BM79" s="4">
        <v>350371492.07364959</v>
      </c>
      <c r="BN79" s="4">
        <v>367137428.87624079</v>
      </c>
      <c r="BO79" s="4">
        <v>384529965.19543386</v>
      </c>
      <c r="BP79" s="4">
        <v>402564279.73506302</v>
      </c>
      <c r="BQ79" s="4">
        <v>421255595.84894979</v>
      </c>
      <c r="BR79" s="4">
        <v>440619170.02602041</v>
      </c>
      <c r="BS79" s="4">
        <v>460670280.19771886</v>
      </c>
      <c r="BT79" s="4">
        <v>481424213.88408327</v>
      </c>
      <c r="BU79" s="4">
        <v>502896256.19515949</v>
      </c>
    </row>
    <row r="80" spans="1:73" x14ac:dyDescent="0.25">
      <c r="A80" s="3" t="s">
        <v>83</v>
      </c>
      <c r="B80" s="3" t="str">
        <f>VLOOKUP(A80,'storage capacity'!$A$2:$C$195,3,FALSE)</f>
        <v>Country specific</v>
      </c>
      <c r="C80" s="4">
        <v>2062571.2666666806</v>
      </c>
      <c r="D80" s="4">
        <v>2209246.3663080642</v>
      </c>
      <c r="E80" s="4">
        <v>2364780.8788778726</v>
      </c>
      <c r="F80" s="4">
        <v>2529600.4284176864</v>
      </c>
      <c r="G80" s="4">
        <v>2704144.4340729201</v>
      </c>
      <c r="H80" s="4">
        <v>2888866.2083618925</v>
      </c>
      <c r="I80" s="4">
        <v>3084233.0386681533</v>
      </c>
      <c r="J80" s="4">
        <v>3290726.2513468387</v>
      </c>
      <c r="K80" s="4">
        <v>3508841.2578640906</v>
      </c>
      <c r="L80" s="4">
        <v>3739087.5824189377</v>
      </c>
      <c r="M80" s="4">
        <v>3981988.8705293718</v>
      </c>
      <c r="N80" s="4">
        <v>4238082.8780986173</v>
      </c>
      <c r="O80" s="4">
        <v>4507921.4405136351</v>
      </c>
      <c r="P80" s="4">
        <v>4792070.4213656634</v>
      </c>
      <c r="Q80" s="4">
        <v>5091109.640421927</v>
      </c>
      <c r="R80" s="4">
        <v>5405632.7805184443</v>
      </c>
      <c r="S80" s="4">
        <v>5736247.2730860133</v>
      </c>
      <c r="T80" s="4">
        <v>6083574.1620647777</v>
      </c>
      <c r="U80" s="4">
        <v>6448247.9460072108</v>
      </c>
      <c r="V80" s="4">
        <v>6830916.398214696</v>
      </c>
      <c r="W80" s="4">
        <v>7232240.364799032</v>
      </c>
      <c r="X80" s="4">
        <v>7652893.5406069765</v>
      </c>
      <c r="Y80" s="4">
        <v>8093562.2229932295</v>
      </c>
      <c r="Z80" s="4">
        <v>8554945.0434749257</v>
      </c>
      <c r="AA80" s="4">
        <v>9037752.6773485262</v>
      </c>
      <c r="AB80" s="4">
        <v>9542707.5313979331</v>
      </c>
      <c r="AC80" s="4">
        <v>10070543.409870461</v>
      </c>
      <c r="AD80" s="4">
        <v>10622005.158944871</v>
      </c>
      <c r="AE80" s="4">
        <v>11197848.289962908</v>
      </c>
      <c r="AF80" s="4">
        <v>11798838.58174241</v>
      </c>
      <c r="AG80" s="4">
        <v>12425751.662336113</v>
      </c>
      <c r="AH80" s="4">
        <v>13079372.570645489</v>
      </c>
      <c r="AI80" s="4">
        <v>13760495.298343191</v>
      </c>
      <c r="AJ80" s="4">
        <v>14469922.312600972</v>
      </c>
      <c r="AK80" s="4">
        <v>15208464.060161937</v>
      </c>
      <c r="AL80" s="4">
        <v>15976938.453336772</v>
      </c>
      <c r="AM80" s="4">
        <v>16776170.338542873</v>
      </c>
      <c r="AN80" s="4">
        <v>17606990.948043182</v>
      </c>
      <c r="AO80" s="4">
        <v>18470237.335577674</v>
      </c>
      <c r="AP80" s="4">
        <v>19366751.796614986</v>
      </c>
      <c r="AQ80" s="4">
        <v>20297381.273984294</v>
      </c>
      <c r="AR80" s="4">
        <v>21262976.749678493</v>
      </c>
      <c r="AS80" s="4">
        <v>22264392.623648413</v>
      </c>
      <c r="AT80" s="4">
        <v>23302486.080434885</v>
      </c>
      <c r="AU80" s="4">
        <v>24378116.444510065</v>
      </c>
      <c r="AV80" s="4">
        <v>25492144.525222223</v>
      </c>
      <c r="AW80" s="4">
        <v>26645431.952258658</v>
      </c>
      <c r="AX80" s="4">
        <v>27838840.502559692</v>
      </c>
      <c r="AY80" s="4">
        <v>29073231.41963286</v>
      </c>
      <c r="AZ80" s="4">
        <v>30349464.726230185</v>
      </c>
      <c r="BA80" s="4">
        <v>31668398.531363077</v>
      </c>
      <c r="BB80" s="4">
        <v>33030888.332638651</v>
      </c>
      <c r="BC80" s="4">
        <v>34437786.314908415</v>
      </c>
      <c r="BD80" s="4">
        <v>35889940.646225102</v>
      </c>
      <c r="BE80" s="4">
        <v>37388194.772105925</v>
      </c>
      <c r="BF80" s="4">
        <v>38933386.709100977</v>
      </c>
      <c r="BG80" s="4">
        <v>40526348.338663772</v>
      </c>
      <c r="BH80" s="4">
        <v>42167904.702316813</v>
      </c>
      <c r="BI80" s="4">
        <v>43858873.299099162</v>
      </c>
      <c r="BJ80" s="4">
        <v>45600063.38627483</v>
      </c>
      <c r="BK80" s="4">
        <v>47392275.284270644</v>
      </c>
      <c r="BL80" s="4">
        <v>49236299.686800234</v>
      </c>
      <c r="BM80" s="4">
        <v>51132916.977116846</v>
      </c>
      <c r="BN80" s="4">
        <v>53082896.551321775</v>
      </c>
      <c r="BO80" s="4">
        <v>55086996.149637729</v>
      </c>
      <c r="BP80" s="4">
        <v>57145961.196537405</v>
      </c>
      <c r="BQ80" s="4">
        <v>59260524.150596209</v>
      </c>
      <c r="BR80" s="4">
        <v>61431403.86491634</v>
      </c>
      <c r="BS80" s="4">
        <v>63659304.958945058</v>
      </c>
      <c r="BT80" s="4">
        <v>65944917.202485166</v>
      </c>
      <c r="BU80" s="4">
        <v>68288914.912669078</v>
      </c>
    </row>
    <row r="81" spans="1:73" x14ac:dyDescent="0.25">
      <c r="A81" s="3" t="s">
        <v>84</v>
      </c>
      <c r="B81" s="3" t="str">
        <f>VLOOKUP(A81,'storage capacity'!$A$2:$C$195,3,FALSE)</f>
        <v>Country specific</v>
      </c>
      <c r="C81" s="4">
        <v>658182.33333334327</v>
      </c>
      <c r="D81" s="4">
        <v>702711.65784067614</v>
      </c>
      <c r="E81" s="4">
        <v>749778.19415397046</v>
      </c>
      <c r="F81" s="4">
        <v>799494.98422886117</v>
      </c>
      <c r="G81" s="4">
        <v>851978.29377385078</v>
      </c>
      <c r="H81" s="4">
        <v>907347.61438974563</v>
      </c>
      <c r="I81" s="4">
        <v>965725.66125428595</v>
      </c>
      <c r="J81" s="4">
        <v>1027238.3662492954</v>
      </c>
      <c r="K81" s="4">
        <v>1092014.8664362882</v>
      </c>
      <c r="L81" s="4">
        <v>1160187.4877954428</v>
      </c>
      <c r="M81" s="4">
        <v>1231891.7241521599</v>
      </c>
      <c r="N81" s="4">
        <v>1307266.2112250319</v>
      </c>
      <c r="O81" s="4">
        <v>1386452.6957389475</v>
      </c>
      <c r="P81" s="4">
        <v>1469595.9995571892</v>
      </c>
      <c r="Q81" s="4">
        <v>1556843.9787967347</v>
      </c>
      <c r="R81" s="4">
        <v>1648347.4779015053</v>
      </c>
      <c r="S81" s="4">
        <v>1744260.2786589935</v>
      </c>
      <c r="T81" s="4">
        <v>1844739.0441564922</v>
      </c>
      <c r="U81" s="4">
        <v>1949943.2576840403</v>
      </c>
      <c r="V81" s="4">
        <v>2060035.1566021217</v>
      </c>
      <c r="W81" s="4">
        <v>2175179.6612031027</v>
      </c>
      <c r="X81" s="4">
        <v>2295544.2986063161</v>
      </c>
      <c r="Y81" s="4">
        <v>2421299.1217375784</v>
      </c>
      <c r="Z81" s="4">
        <v>2552616.623454703</v>
      </c>
      <c r="AA81" s="4">
        <v>2689671.6458912506</v>
      </c>
      <c r="AB81" s="4">
        <v>2832641.2851012736</v>
      </c>
      <c r="AC81" s="4">
        <v>2981704.7910981434</v>
      </c>
      <c r="AD81" s="4">
        <v>3137043.4633906833</v>
      </c>
      <c r="AE81" s="4">
        <v>3298840.5421297066</v>
      </c>
      <c r="AF81" s="4">
        <v>3467281.0949876797</v>
      </c>
      <c r="AG81" s="4">
        <v>3642551.8999035521</v>
      </c>
      <c r="AH81" s="4">
        <v>3824841.3238337864</v>
      </c>
      <c r="AI81" s="4">
        <v>4014339.1976592857</v>
      </c>
      <c r="AJ81" s="4">
        <v>4211236.687406186</v>
      </c>
      <c r="AK81" s="4">
        <v>4415726.1619463991</v>
      </c>
      <c r="AL81" s="4">
        <v>4628001.0573512437</v>
      </c>
      <c r="AM81" s="4">
        <v>4848255.7380785951</v>
      </c>
      <c r="AN81" s="4">
        <v>5076685.3551805755</v>
      </c>
      <c r="AO81" s="4">
        <v>5313485.7017249605</v>
      </c>
      <c r="AP81" s="4">
        <v>5558853.0656291842</v>
      </c>
      <c r="AQ81" s="4">
        <v>5812984.0801109839</v>
      </c>
      <c r="AR81" s="4">
        <v>6076075.5719644697</v>
      </c>
      <c r="AS81" s="4">
        <v>6348324.4078745814</v>
      </c>
      <c r="AT81" s="4">
        <v>6629927.3389866073</v>
      </c>
      <c r="AU81" s="4">
        <v>6921080.8439506078</v>
      </c>
      <c r="AV81" s="4">
        <v>7221980.9706632765</v>
      </c>
      <c r="AW81" s="4">
        <v>7532823.1769319102</v>
      </c>
      <c r="AX81" s="4">
        <v>7853802.1702867784</v>
      </c>
      <c r="AY81" s="4">
        <v>8185111.747169367</v>
      </c>
      <c r="AZ81" s="4">
        <v>8526944.6317244973</v>
      </c>
      <c r="BA81" s="4">
        <v>8879492.314424511</v>
      </c>
      <c r="BB81" s="4">
        <v>9242944.8907532655</v>
      </c>
      <c r="BC81" s="4">
        <v>9617490.9001768269</v>
      </c>
      <c r="BD81" s="4">
        <v>10003317.165626381</v>
      </c>
      <c r="BE81" s="4">
        <v>10400608.633717041</v>
      </c>
      <c r="BF81" s="4">
        <v>10809548.215923963</v>
      </c>
      <c r="BG81" s="4">
        <v>11230316.630934389</v>
      </c>
      <c r="BH81" s="4">
        <v>11663092.248391127</v>
      </c>
      <c r="BI81" s="4">
        <v>12108050.934239335</v>
      </c>
      <c r="BJ81" s="4">
        <v>12565365.897884523</v>
      </c>
      <c r="BK81" s="4">
        <v>13035207.541365283</v>
      </c>
      <c r="BL81" s="4">
        <v>13517743.31073951</v>
      </c>
      <c r="BM81" s="4">
        <v>14013137.549877811</v>
      </c>
      <c r="BN81" s="4">
        <v>14521551.356852332</v>
      </c>
      <c r="BO81" s="4">
        <v>15043142.443103526</v>
      </c>
      <c r="BP81" s="4">
        <v>15578064.99556133</v>
      </c>
      <c r="BQ81" s="4">
        <v>16126469.541890908</v>
      </c>
      <c r="BR81" s="4">
        <v>16688502.81902661</v>
      </c>
      <c r="BS81" s="4">
        <v>17264307.645150907</v>
      </c>
      <c r="BT81" s="4">
        <v>17854022.795268174</v>
      </c>
      <c r="BU81" s="4">
        <v>18457782.880515922</v>
      </c>
    </row>
    <row r="82" spans="1:73" x14ac:dyDescent="0.25">
      <c r="A82" s="3" t="s">
        <v>85</v>
      </c>
      <c r="B82" s="3" t="str">
        <f>VLOOKUP(A82,'storage capacity'!$A$2:$C$195,3,FALSE)</f>
        <v>Middle east</v>
      </c>
      <c r="C82" s="4">
        <v>357920.53333333135</v>
      </c>
      <c r="D82" s="4">
        <v>376963.45076320908</v>
      </c>
      <c r="E82" s="4">
        <v>396818.97277562588</v>
      </c>
      <c r="F82" s="4">
        <v>417511.31670077186</v>
      </c>
      <c r="G82" s="4">
        <v>439064.96072240203</v>
      </c>
      <c r="H82" s="4">
        <v>461504.62880411407</v>
      </c>
      <c r="I82" s="4">
        <v>484855.27506106906</v>
      </c>
      <c r="J82" s="4">
        <v>509142.06759590481</v>
      </c>
      <c r="K82" s="4">
        <v>534390.37181875284</v>
      </c>
      <c r="L82" s="4">
        <v>560625.73327238124</v>
      </c>
      <c r="M82" s="4">
        <v>587873.85998455004</v>
      </c>
      <c r="N82" s="4">
        <v>616160.60437066562</v>
      </c>
      <c r="O82" s="4">
        <v>645511.94471077656</v>
      </c>
      <c r="P82" s="4">
        <v>675953.96622583747</v>
      </c>
      <c r="Q82" s="4">
        <v>707512.84177900001</v>
      </c>
      <c r="R82" s="4">
        <v>740214.81222845335</v>
      </c>
      <c r="S82" s="4">
        <v>774086.16645903944</v>
      </c>
      <c r="T82" s="4">
        <v>809153.22112050175</v>
      </c>
      <c r="U82" s="4">
        <v>845442.30010079662</v>
      </c>
      <c r="V82" s="4">
        <v>882979.71376339416</v>
      </c>
      <c r="W82" s="4">
        <v>921791.73797793151</v>
      </c>
      <c r="X82" s="4">
        <v>961904.59297394019</v>
      </c>
      <c r="Y82" s="4">
        <v>1003344.422047667</v>
      </c>
      <c r="Z82" s="4">
        <v>1046137.2701522296</v>
      </c>
      <c r="AA82" s="4">
        <v>1090309.0624015108</v>
      </c>
      <c r="AB82" s="4">
        <v>1135885.5825182744</v>
      </c>
      <c r="AC82" s="4">
        <v>1182892.4512570139</v>
      </c>
      <c r="AD82" s="4">
        <v>1231355.1048319973</v>
      </c>
      <c r="AE82" s="4">
        <v>1281298.7733808563</v>
      </c>
      <c r="AF82" s="4">
        <v>1332748.459493896</v>
      </c>
      <c r="AG82" s="4">
        <v>1385728.9168390576</v>
      </c>
      <c r="AH82" s="4">
        <v>1440264.62891217</v>
      </c>
      <c r="AI82" s="4">
        <v>1496379.7879417615</v>
      </c>
      <c r="AJ82" s="4">
        <v>1554098.2739772871</v>
      </c>
      <c r="AK82" s="4">
        <v>1613443.6341891456</v>
      </c>
      <c r="AL82" s="4">
        <v>1674439.062408343</v>
      </c>
      <c r="AM82" s="4">
        <v>1737107.3789330649</v>
      </c>
      <c r="AN82" s="4">
        <v>1801471.0106288004</v>
      </c>
      <c r="AO82" s="4">
        <v>1867551.9713479781</v>
      </c>
      <c r="AP82" s="4">
        <v>1935371.8426943547</v>
      </c>
      <c r="AQ82" s="4">
        <v>2004951.7551566297</v>
      </c>
      <c r="AR82" s="4">
        <v>2076312.3696349636</v>
      </c>
      <c r="AS82" s="4">
        <v>2149473.8593832273</v>
      </c>
      <c r="AT82" s="4">
        <v>2224455.8923889468</v>
      </c>
      <c r="AU82" s="4">
        <v>2301277.6142119924</v>
      </c>
      <c r="AV82" s="4">
        <v>2379957.6313021346</v>
      </c>
      <c r="AW82" s="4">
        <v>2460513.9948146255</v>
      </c>
      <c r="AX82" s="4">
        <v>2542964.1849419842</v>
      </c>
      <c r="AY82" s="4">
        <v>2627325.0957791586</v>
      </c>
      <c r="AZ82" s="4">
        <v>2713613.0207382152</v>
      </c>
      <c r="BA82" s="4">
        <v>2801843.6385276821</v>
      </c>
      <c r="BB82" s="4">
        <v>2892031.9997106036</v>
      </c>
      <c r="BC82" s="4">
        <v>2984192.5138543309</v>
      </c>
      <c r="BD82" s="4">
        <v>3078338.9372839867</v>
      </c>
      <c r="BE82" s="4">
        <v>3174484.3614504943</v>
      </c>
      <c r="BF82" s="4">
        <v>3272641.2019229666</v>
      </c>
      <c r="BG82" s="4">
        <v>3372821.1880142121</v>
      </c>
      <c r="BH82" s="4">
        <v>3475035.3530470096</v>
      </c>
      <c r="BI82" s="4">
        <v>3579294.0252677784</v>
      </c>
      <c r="BJ82" s="4">
        <v>3685606.8194131949</v>
      </c>
      <c r="BK82" s="4">
        <v>3793982.6289342539</v>
      </c>
      <c r="BL82" s="4">
        <v>3904429.6188812717</v>
      </c>
      <c r="BM82" s="4">
        <v>4016955.2194522708</v>
      </c>
      <c r="BN82" s="4">
        <v>4131566.1202062042</v>
      </c>
      <c r="BO82" s="4">
        <v>4248268.2649414828</v>
      </c>
      <c r="BP82" s="4">
        <v>4367066.8472393015</v>
      </c>
      <c r="BQ82" s="4">
        <v>4487966.3066703063</v>
      </c>
      <c r="BR82" s="4">
        <v>4610970.3256622227</v>
      </c>
      <c r="BS82" s="4">
        <v>4736081.8270251667</v>
      </c>
      <c r="BT82" s="4">
        <v>4863302.9721304672</v>
      </c>
      <c r="BU82" s="4">
        <v>4992635.1597379828</v>
      </c>
    </row>
    <row r="83" spans="1:73" x14ac:dyDescent="0.25">
      <c r="A83" s="3" t="s">
        <v>86</v>
      </c>
      <c r="B83" s="3" t="str">
        <f>VLOOKUP(A83,'storage capacity'!$A$2:$C$195,3,FALSE)</f>
        <v>Country specific</v>
      </c>
      <c r="C83" s="4">
        <v>713611.39999999851</v>
      </c>
      <c r="D83" s="4">
        <v>742669.5834011829</v>
      </c>
      <c r="E83" s="4">
        <v>772608.59876913147</v>
      </c>
      <c r="F83" s="4">
        <v>803443.07727297011</v>
      </c>
      <c r="G83" s="4">
        <v>835187.49592343869</v>
      </c>
      <c r="H83" s="4">
        <v>867856.16511665168</v>
      </c>
      <c r="I83" s="4">
        <v>901463.21627921436</v>
      </c>
      <c r="J83" s="4">
        <v>936022.58963150915</v>
      </c>
      <c r="K83" s="4">
        <v>971548.02208567748</v>
      </c>
      <c r="L83" s="4">
        <v>1008053.0352944842</v>
      </c>
      <c r="M83" s="4">
        <v>1045550.9238668969</v>
      </c>
      <c r="N83" s="4">
        <v>1084054.7437658231</v>
      </c>
      <c r="O83" s="4">
        <v>1123577.3009030314</v>
      </c>
      <c r="P83" s="4">
        <v>1164131.1399458474</v>
      </c>
      <c r="Q83" s="4">
        <v>1205728.533349745</v>
      </c>
      <c r="R83" s="4">
        <v>1248381.4706304737</v>
      </c>
      <c r="S83" s="4">
        <v>1292101.6478888502</v>
      </c>
      <c r="T83" s="4">
        <v>1336900.4576008215</v>
      </c>
      <c r="U83" s="4">
        <v>1382788.9786848591</v>
      </c>
      <c r="V83" s="4">
        <v>1429777.9668581884</v>
      </c>
      <c r="W83" s="4">
        <v>1477877.8452927798</v>
      </c>
      <c r="X83" s="4">
        <v>1527098.6955814464</v>
      </c>
      <c r="Y83" s="4">
        <v>1577450.2490237933</v>
      </c>
      <c r="Z83" s="4">
        <v>1628941.8782411581</v>
      </c>
      <c r="AA83" s="4">
        <v>1681582.5891290668</v>
      </c>
      <c r="AB83" s="4">
        <v>1735381.0131551113</v>
      </c>
      <c r="AC83" s="4">
        <v>1790345.4000095278</v>
      </c>
      <c r="AD83" s="4">
        <v>1846483.6106151254</v>
      </c>
      <c r="AE83" s="4">
        <v>1903803.1105025914</v>
      </c>
      <c r="AF83" s="4">
        <v>1962310.9635565586</v>
      </c>
      <c r="AG83" s="4">
        <v>2022013.8261372012</v>
      </c>
      <c r="AH83" s="4">
        <v>2082917.9415814932</v>
      </c>
      <c r="AI83" s="4">
        <v>2145029.1350876419</v>
      </c>
      <c r="AJ83" s="4">
        <v>2208352.8089855928</v>
      </c>
      <c r="AK83" s="4">
        <v>2272893.9383958899</v>
      </c>
      <c r="AL83" s="4">
        <v>2338657.067278571</v>
      </c>
      <c r="AM83" s="4">
        <v>2405646.3048731829</v>
      </c>
      <c r="AN83" s="4">
        <v>2473865.3225304168</v>
      </c>
      <c r="AO83" s="4">
        <v>2543317.3509352892</v>
      </c>
      <c r="AP83" s="4">
        <v>2614005.1777212257</v>
      </c>
      <c r="AQ83" s="4">
        <v>2685931.1454738635</v>
      </c>
      <c r="AR83" s="4">
        <v>2759097.1501228428</v>
      </c>
      <c r="AS83" s="4">
        <v>2833504.6397193363</v>
      </c>
      <c r="AT83" s="4">
        <v>2909154.6135965604</v>
      </c>
      <c r="AU83" s="4">
        <v>2986047.6219100161</v>
      </c>
      <c r="AV83" s="4">
        <v>3064183.7655537254</v>
      </c>
      <c r="AW83" s="4">
        <v>3143562.6964482884</v>
      </c>
      <c r="AX83" s="4">
        <v>3224183.6181961102</v>
      </c>
      <c r="AY83" s="4">
        <v>3306045.2870987579</v>
      </c>
      <c r="AZ83" s="4">
        <v>3389146.0135309719</v>
      </c>
      <c r="BA83" s="4">
        <v>3473483.6636654804</v>
      </c>
      <c r="BB83" s="4">
        <v>3559055.6615423895</v>
      </c>
      <c r="BC83" s="4">
        <v>3645858.99147658</v>
      </c>
      <c r="BD83" s="4">
        <v>3733890.200796186</v>
      </c>
      <c r="BE83" s="4">
        <v>3823145.4029049478</v>
      </c>
      <c r="BF83" s="4">
        <v>3913620.2806609017</v>
      </c>
      <c r="BG83" s="4">
        <v>4005310.0900636264</v>
      </c>
      <c r="BH83" s="4">
        <v>4098209.6642419822</v>
      </c>
      <c r="BI83" s="4">
        <v>4192313.4177340618</v>
      </c>
      <c r="BJ83" s="4">
        <v>4287615.3510508351</v>
      </c>
      <c r="BK83" s="4">
        <v>4384109.0555147845</v>
      </c>
      <c r="BL83" s="4">
        <v>4481787.7183646411</v>
      </c>
      <c r="BM83" s="4">
        <v>4580644.1281171599</v>
      </c>
      <c r="BN83" s="4">
        <v>4680670.680176748</v>
      </c>
      <c r="BO83" s="4">
        <v>4781859.3826836077</v>
      </c>
      <c r="BP83" s="4">
        <v>4884201.8625909705</v>
      </c>
      <c r="BQ83" s="4">
        <v>4987689.3719618842</v>
      </c>
      <c r="BR83" s="4">
        <v>5092312.7944759652</v>
      </c>
      <c r="BS83" s="4">
        <v>5198062.6521364357</v>
      </c>
      <c r="BT83" s="4">
        <v>5304929.1121677672</v>
      </c>
      <c r="BU83" s="4">
        <v>5412901.9940941706</v>
      </c>
    </row>
    <row r="84" spans="1:73" x14ac:dyDescent="0.25">
      <c r="A84" s="3" t="s">
        <v>87</v>
      </c>
      <c r="B84" s="3" t="str">
        <f>VLOOKUP(A84,'storage capacity'!$A$2:$C$195,3,FALSE)</f>
        <v>Middle east</v>
      </c>
      <c r="C84" s="4">
        <v>684386.60000000149</v>
      </c>
      <c r="D84" s="4">
        <v>715123.28547541401</v>
      </c>
      <c r="E84" s="4">
        <v>746919.22406740789</v>
      </c>
      <c r="F84" s="4">
        <v>779796.78277839336</v>
      </c>
      <c r="G84" s="4">
        <v>813778.28378345945</v>
      </c>
      <c r="H84" s="4">
        <v>848885.98632496351</v>
      </c>
      <c r="I84" s="4">
        <v>885142.06850422651</v>
      </c>
      <c r="J84" s="4">
        <v>922568.60899619036</v>
      </c>
      <c r="K84" s="4">
        <v>961187.56871297781</v>
      </c>
      <c r="L84" s="4">
        <v>1001020.7724423179</v>
      </c>
      <c r="M84" s="4">
        <v>1042089.8904867733</v>
      </c>
      <c r="N84" s="4">
        <v>1084416.4203296124</v>
      </c>
      <c r="O84" s="4">
        <v>1128021.6683530326</v>
      </c>
      <c r="P84" s="4">
        <v>1172926.7316342413</v>
      </c>
      <c r="Q84" s="4">
        <v>1219152.4798446517</v>
      </c>
      <c r="R84" s="4">
        <v>1266719.5372771532</v>
      </c>
      <c r="S84" s="4">
        <v>1315648.2650260644</v>
      </c>
      <c r="T84" s="4">
        <v>1365958.743343978</v>
      </c>
      <c r="U84" s="4">
        <v>1417670.7541992667</v>
      </c>
      <c r="V84" s="4">
        <v>1470803.7640575285</v>
      </c>
      <c r="W84" s="4">
        <v>1525376.9069097158</v>
      </c>
      <c r="X84" s="4">
        <v>1581408.9675691323</v>
      </c>
      <c r="Y84" s="4">
        <v>1638918.3652588595</v>
      </c>
      <c r="Z84" s="4">
        <v>1697923.1375105404</v>
      </c>
      <c r="AA84" s="4">
        <v>1758440.9243947619</v>
      </c>
      <c r="AB84" s="4">
        <v>1820488.95310257</v>
      </c>
      <c r="AC84" s="4">
        <v>1884084.0228969119</v>
      </c>
      <c r="AD84" s="4">
        <v>1949242.4904520323</v>
      </c>
      <c r="AE84" s="4">
        <v>2015980.2555980557</v>
      </c>
      <c r="AF84" s="4">
        <v>2084312.7474871806</v>
      </c>
      <c r="AG84" s="4">
        <v>2154254.9111970719</v>
      </c>
      <c r="AH84" s="4">
        <v>2225821.1947861821</v>
      </c>
      <c r="AI84" s="4">
        <v>2299025.5368148796</v>
      </c>
      <c r="AJ84" s="4">
        <v>2373881.3543453687</v>
      </c>
      <c r="AK84" s="4">
        <v>2450401.5314324987</v>
      </c>
      <c r="AL84" s="4">
        <v>2528598.4081166666</v>
      </c>
      <c r="AM84" s="4">
        <v>2608483.7699291096</v>
      </c>
      <c r="AN84" s="4">
        <v>2690068.8379189679</v>
      </c>
      <c r="AO84" s="4">
        <v>2773364.2592105991</v>
      </c>
      <c r="AP84" s="4">
        <v>2858380.0980987074</v>
      </c>
      <c r="AQ84" s="4">
        <v>2945125.8276879401</v>
      </c>
      <c r="AR84" s="4">
        <v>3033610.3220827091</v>
      </c>
      <c r="AS84" s="4">
        <v>3123841.8491320843</v>
      </c>
      <c r="AT84" s="4">
        <v>3215828.0637337249</v>
      </c>
      <c r="AU84" s="4">
        <v>3309576.0016999277</v>
      </c>
      <c r="AV84" s="4">
        <v>3405092.0741880042</v>
      </c>
      <c r="AW84" s="4">
        <v>3502382.06269634</v>
      </c>
      <c r="AX84" s="4">
        <v>3601451.1146266479</v>
      </c>
      <c r="AY84" s="4">
        <v>3702303.7394121019</v>
      </c>
      <c r="AZ84" s="4">
        <v>3804943.8052102202</v>
      </c>
      <c r="BA84" s="4">
        <v>3909374.536158585</v>
      </c>
      <c r="BB84" s="4">
        <v>4015598.5101907104</v>
      </c>
      <c r="BC84" s="4">
        <v>4123617.6574086142</v>
      </c>
      <c r="BD84" s="4">
        <v>4233433.2590079298</v>
      </c>
      <c r="BE84" s="4">
        <v>4345045.9467506763</v>
      </c>
      <c r="BF84" s="4">
        <v>4458455.7029801281</v>
      </c>
      <c r="BG84" s="4">
        <v>4573661.8611715687</v>
      </c>
      <c r="BH84" s="4">
        <v>4690663.1070120716</v>
      </c>
      <c r="BI84" s="4">
        <v>4809457.4800018445</v>
      </c>
      <c r="BJ84" s="4">
        <v>4930042.3755690968</v>
      </c>
      <c r="BK84" s="4">
        <v>5052414.5476898281</v>
      </c>
      <c r="BL84" s="4">
        <v>5176570.1120034065</v>
      </c>
      <c r="BM84" s="4">
        <v>5302504.5494143013</v>
      </c>
      <c r="BN84" s="4">
        <v>5430212.7101698713</v>
      </c>
      <c r="BO84" s="4">
        <v>5559688.8184036436</v>
      </c>
      <c r="BP84" s="4">
        <v>5690926.4771331223</v>
      </c>
      <c r="BQ84" s="4">
        <v>5823918.6737007434</v>
      </c>
      <c r="BR84" s="4">
        <v>5958657.7856462663</v>
      </c>
      <c r="BS84" s="4">
        <v>6095135.5869985195</v>
      </c>
      <c r="BT84" s="4">
        <v>6233343.254974125</v>
      </c>
      <c r="BU84" s="4">
        <v>6373271.3770705555</v>
      </c>
    </row>
    <row r="85" spans="1:73" x14ac:dyDescent="0.25">
      <c r="A85" s="3" t="s">
        <v>88</v>
      </c>
      <c r="B85" s="3" t="str">
        <f>VLOOKUP(A85,'storage capacity'!$A$2:$C$195,3,FALSE)</f>
        <v>Country specific</v>
      </c>
      <c r="C85" s="4">
        <v>2855608.400000006</v>
      </c>
      <c r="D85" s="4">
        <v>2941771.7632731865</v>
      </c>
      <c r="E85" s="4">
        <v>3029647.3345926413</v>
      </c>
      <c r="F85" s="4">
        <v>3119242.8884728281</v>
      </c>
      <c r="G85" s="4">
        <v>3210565.5939830258</v>
      </c>
      <c r="H85" s="4">
        <v>3303622.0090414872</v>
      </c>
      <c r="I85" s="4">
        <v>3398418.0752646229</v>
      </c>
      <c r="J85" s="4">
        <v>3494959.1133720833</v>
      </c>
      <c r="K85" s="4">
        <v>3593249.8191477638</v>
      </c>
      <c r="L85" s="4">
        <v>3693294.2599559678</v>
      </c>
      <c r="M85" s="4">
        <v>3795095.8718111739</v>
      </c>
      <c r="N85" s="4">
        <v>3898657.4569990877</v>
      </c>
      <c r="O85" s="4">
        <v>4003981.1822459106</v>
      </c>
      <c r="P85" s="4">
        <v>4111068.577432035</v>
      </c>
      <c r="Q85" s="4">
        <v>4219920.5348456725</v>
      </c>
      <c r="R85" s="4">
        <v>4330537.3089712299</v>
      </c>
      <c r="S85" s="4">
        <v>4442918.5168066099</v>
      </c>
      <c r="T85" s="4">
        <v>4557063.1387029635</v>
      </c>
      <c r="U85" s="4">
        <v>4672969.5197198149</v>
      </c>
      <c r="V85" s="4">
        <v>4790635.3714879053</v>
      </c>
      <c r="W85" s="4">
        <v>4910057.7745715361</v>
      </c>
      <c r="X85" s="4">
        <v>5031233.1813216666</v>
      </c>
      <c r="Y85" s="4">
        <v>5154157.4192105085</v>
      </c>
      <c r="Z85" s="4">
        <v>5278825.6946378956</v>
      </c>
      <c r="AA85" s="4">
        <v>5405232.5971992379</v>
      </c>
      <c r="AB85" s="4">
        <v>5533372.1044044662</v>
      </c>
      <c r="AC85" s="4">
        <v>5663237.586836962</v>
      </c>
      <c r="AD85" s="4">
        <v>5794821.8137410991</v>
      </c>
      <c r="AE85" s="4">
        <v>5928116.9590266934</v>
      </c>
      <c r="AF85" s="4">
        <v>6063114.6076783231</v>
      </c>
      <c r="AG85" s="4">
        <v>6199805.7625572151</v>
      </c>
      <c r="AH85" s="4">
        <v>6338180.8515831064</v>
      </c>
      <c r="AI85" s="4">
        <v>6478229.7352832742</v>
      </c>
      <c r="AJ85" s="4">
        <v>6619941.7146957144</v>
      </c>
      <c r="AK85" s="4">
        <v>6763305.5396132413</v>
      </c>
      <c r="AL85" s="4">
        <v>6908309.4171551643</v>
      </c>
      <c r="AM85" s="4">
        <v>7054941.0206530178</v>
      </c>
      <c r="AN85" s="4">
        <v>7203187.4988367446</v>
      </c>
      <c r="AO85" s="4">
        <v>7353035.4853076143</v>
      </c>
      <c r="AP85" s="4">
        <v>7504471.1082841279</v>
      </c>
      <c r="AQ85" s="4">
        <v>7657480.0006070882</v>
      </c>
      <c r="AR85" s="4">
        <v>7812047.3099900065</v>
      </c>
      <c r="AS85" s="4">
        <v>7968157.7095010299</v>
      </c>
      <c r="AT85" s="4">
        <v>8125795.4082625676</v>
      </c>
      <c r="AU85" s="4">
        <v>8284944.1623548521</v>
      </c>
      <c r="AV85" s="4">
        <v>8445587.2859097421</v>
      </c>
      <c r="AW85" s="4">
        <v>8607707.6623811275</v>
      </c>
      <c r="AX85" s="4">
        <v>8771287.7559783999</v>
      </c>
      <c r="AY85" s="4">
        <v>8936309.6232495885</v>
      </c>
      <c r="AZ85" s="4">
        <v>9102754.9248008486</v>
      </c>
      <c r="BA85" s="4">
        <v>9270604.9371391851</v>
      </c>
      <c r="BB85" s="4">
        <v>9439840.5646253917</v>
      </c>
      <c r="BC85" s="4">
        <v>9610442.3515244201</v>
      </c>
      <c r="BD85" s="4">
        <v>9782390.4941405319</v>
      </c>
      <c r="BE85" s="4">
        <v>9955664.8530248217</v>
      </c>
      <c r="BF85" s="4">
        <v>10130244.965242889</v>
      </c>
      <c r="BG85" s="4">
        <v>10306110.056690635</v>
      </c>
      <c r="BH85" s="4">
        <v>10483239.054446464</v>
      </c>
      <c r="BI85" s="4">
        <v>10661610.599148335</v>
      </c>
      <c r="BJ85" s="4">
        <v>10841203.057384377</v>
      </c>
      <c r="BK85" s="4">
        <v>11021994.53408609</v>
      </c>
      <c r="BL85" s="4">
        <v>11203962.884913329</v>
      </c>
      <c r="BM85" s="4">
        <v>11387085.728620641</v>
      </c>
      <c r="BN85" s="4">
        <v>11571340.459394708</v>
      </c>
      <c r="BO85" s="4">
        <v>11756704.25915299</v>
      </c>
      <c r="BP85" s="4">
        <v>11943154.109793952</v>
      </c>
      <c r="BQ85" s="4">
        <v>12130666.805389509</v>
      </c>
      <c r="BR85" s="4">
        <v>12319218.964310655</v>
      </c>
      <c r="BS85" s="4">
        <v>12508787.041277539</v>
      </c>
      <c r="BT85" s="4">
        <v>12699347.339325508</v>
      </c>
      <c r="BU85" s="4">
        <v>12890876.02167902</v>
      </c>
    </row>
    <row r="86" spans="1:73" x14ac:dyDescent="0.25">
      <c r="A86" s="3" t="s">
        <v>89</v>
      </c>
      <c r="B86" s="3" t="str">
        <f>VLOOKUP(A86,'storage capacity'!$A$2:$C$195,3,FALSE)</f>
        <v>Other latin america</v>
      </c>
      <c r="C86" s="4">
        <v>26850.133333332837</v>
      </c>
      <c r="D86" s="4">
        <v>28141.381365976355</v>
      </c>
      <c r="E86" s="4">
        <v>29481.193270998865</v>
      </c>
      <c r="F86" s="4">
        <v>30870.757652115011</v>
      </c>
      <c r="G86" s="4">
        <v>32311.267057842138</v>
      </c>
      <c r="H86" s="4">
        <v>33803.917085611953</v>
      </c>
      <c r="I86" s="4">
        <v>35349.905471315877</v>
      </c>
      <c r="J86" s="4">
        <v>36950.431165554735</v>
      </c>
      <c r="K86" s="4">
        <v>38606.693397889314</v>
      </c>
      <c r="L86" s="4">
        <v>40319.890730410676</v>
      </c>
      <c r="M86" s="4">
        <v>42091.22010196888</v>
      </c>
      <c r="N86" s="4">
        <v>43921.875864415015</v>
      </c>
      <c r="O86" s="4">
        <v>45813.048812224755</v>
      </c>
      <c r="P86" s="4">
        <v>47765.925206881569</v>
      </c>
      <c r="Q86" s="4">
        <v>49781.685797404964</v>
      </c>
      <c r="R86" s="4">
        <v>51861.504838412722</v>
      </c>
      <c r="S86" s="4">
        <v>54006.549107107021</v>
      </c>
      <c r="T86" s="4">
        <v>56217.976920572029</v>
      </c>
      <c r="U86" s="4">
        <v>58496.937154765204</v>
      </c>
      <c r="V86" s="4">
        <v>60844.568266576585</v>
      </c>
      <c r="W86" s="4">
        <v>63261.997320319002</v>
      </c>
      <c r="X86" s="4">
        <v>65750.339019998442</v>
      </c>
      <c r="Y86" s="4">
        <v>68310.694748697249</v>
      </c>
      <c r="Z86" s="4">
        <v>70944.151616383431</v>
      </c>
      <c r="AA86" s="4">
        <v>73651.781517437805</v>
      </c>
      <c r="AB86" s="4">
        <v>76434.640199166286</v>
      </c>
      <c r="AC86" s="4">
        <v>79293.766342538045</v>
      </c>
      <c r="AD86" s="4">
        <v>82230.180656361787</v>
      </c>
      <c r="AE86" s="4">
        <v>85244.884986080782</v>
      </c>
      <c r="AF86" s="4">
        <v>88338.861438335036</v>
      </c>
      <c r="AG86" s="4">
        <v>91513.071522403421</v>
      </c>
      <c r="AH86" s="4">
        <v>94768.455309602476</v>
      </c>
      <c r="AI86" s="4">
        <v>98105.930611679723</v>
      </c>
      <c r="AJ86" s="4">
        <v>101526.3921791999</v>
      </c>
      <c r="AK86" s="4">
        <v>105030.7109208808</v>
      </c>
      <c r="AL86" s="4">
        <v>108619.73314479315</v>
      </c>
      <c r="AM86" s="4">
        <v>112294.27982229491</v>
      </c>
      <c r="AN86" s="4">
        <v>116055.14587552563</v>
      </c>
      <c r="AO86" s="4">
        <v>119903.09948924082</v>
      </c>
      <c r="AP86" s="4">
        <v>123838.88144771966</v>
      </c>
      <c r="AQ86" s="4">
        <v>127863.20449743225</v>
      </c>
      <c r="AR86" s="4">
        <v>131976.75273610474</v>
      </c>
      <c r="AS86" s="4">
        <v>136180.18102877261</v>
      </c>
      <c r="AT86" s="4">
        <v>140474.11445136374</v>
      </c>
      <c r="AU86" s="4">
        <v>144859.14776230432</v>
      </c>
      <c r="AV86" s="4">
        <v>149335.8449025919</v>
      </c>
      <c r="AW86" s="4">
        <v>153904.7385247309</v>
      </c>
      <c r="AX86" s="4">
        <v>158566.32955087777</v>
      </c>
      <c r="AY86" s="4">
        <v>163321.08676049413</v>
      </c>
      <c r="AZ86" s="4">
        <v>168169.44640775831</v>
      </c>
      <c r="BA86" s="4">
        <v>173111.81186893847</v>
      </c>
      <c r="BB86" s="4">
        <v>178148.55331988283</v>
      </c>
      <c r="BC86" s="4">
        <v>183280.00744373686</v>
      </c>
      <c r="BD86" s="4">
        <v>188506.47716895057</v>
      </c>
      <c r="BE86" s="4">
        <v>193828.23143759512</v>
      </c>
      <c r="BF86" s="4">
        <v>199245.50500396293</v>
      </c>
      <c r="BG86" s="4">
        <v>204758.4982633832</v>
      </c>
      <c r="BH86" s="4">
        <v>210367.37711114177</v>
      </c>
      <c r="BI86" s="4">
        <v>216072.27283135353</v>
      </c>
      <c r="BJ86" s="4">
        <v>221873.28201559585</v>
      </c>
      <c r="BK86" s="4">
        <v>227770.46651107198</v>
      </c>
      <c r="BL86" s="4">
        <v>233763.85339803668</v>
      </c>
      <c r="BM86" s="4">
        <v>239853.43499617898</v>
      </c>
      <c r="BN86" s="4">
        <v>246039.16889962286</v>
      </c>
      <c r="BO86" s="4">
        <v>252320.97804017225</v>
      </c>
      <c r="BP86" s="4">
        <v>258698.7507783953</v>
      </c>
      <c r="BQ86" s="4">
        <v>265172.34102211049</v>
      </c>
      <c r="BR86" s="4">
        <v>271741.56837180955</v>
      </c>
      <c r="BS86" s="4">
        <v>278406.2182925223</v>
      </c>
      <c r="BT86" s="4">
        <v>285166.04231160332</v>
      </c>
      <c r="BU86" s="4">
        <v>292020.75824189431</v>
      </c>
    </row>
    <row r="87" spans="1:73" x14ac:dyDescent="0.25">
      <c r="A87" s="3" t="s">
        <v>90</v>
      </c>
      <c r="B87" s="3" t="str">
        <f>VLOOKUP(A87,'storage capacity'!$A$2:$C$195,3,FALSE)</f>
        <v>Country specific</v>
      </c>
      <c r="C87" s="4">
        <v>4750463.7333333343</v>
      </c>
      <c r="D87" s="4">
        <v>4816244.5926857879</v>
      </c>
      <c r="E87" s="4">
        <v>4882269.4186151102</v>
      </c>
      <c r="F87" s="4">
        <v>4948530.0647425344</v>
      </c>
      <c r="G87" s="4">
        <v>5015018.3806553008</v>
      </c>
      <c r="H87" s="4">
        <v>5081726.2152685076</v>
      </c>
      <c r="I87" s="4">
        <v>5148645.4201298663</v>
      </c>
      <c r="J87" s="4">
        <v>5215767.8526660837</v>
      </c>
      <c r="K87" s="4">
        <v>5283085.3793696919</v>
      </c>
      <c r="L87" s="4">
        <v>5350589.8789252369</v>
      </c>
      <c r="M87" s="4">
        <v>5418273.2452738294</v>
      </c>
      <c r="N87" s="4">
        <v>5486127.3906151289</v>
      </c>
      <c r="O87" s="4">
        <v>5554144.2483459394</v>
      </c>
      <c r="P87" s="4">
        <v>5622315.7759346664</v>
      </c>
      <c r="Q87" s="4">
        <v>5690633.957730962</v>
      </c>
      <c r="R87" s="4">
        <v>5759090.8077099808</v>
      </c>
      <c r="S87" s="4">
        <v>5827678.3721507257</v>
      </c>
      <c r="T87" s="4">
        <v>5896388.7322480464</v>
      </c>
      <c r="U87" s="4">
        <v>5965214.0066579403</v>
      </c>
      <c r="V87" s="4">
        <v>6034146.3539758539</v>
      </c>
      <c r="W87" s="4">
        <v>6103177.9751477661</v>
      </c>
      <c r="X87" s="4">
        <v>6172301.1158138998</v>
      </c>
      <c r="Y87" s="4">
        <v>6241508.0685849739</v>
      </c>
      <c r="Z87" s="4">
        <v>6310791.1752509754</v>
      </c>
      <c r="AA87" s="4">
        <v>6380142.828922472</v>
      </c>
      <c r="AB87" s="4">
        <v>6449555.4761045789</v>
      </c>
      <c r="AC87" s="4">
        <v>6519021.618703722</v>
      </c>
      <c r="AD87" s="4">
        <v>6588533.8159674052</v>
      </c>
      <c r="AE87" s="4">
        <v>6658084.6863572467</v>
      </c>
      <c r="AF87" s="4">
        <v>6727666.9093555892</v>
      </c>
      <c r="AG87" s="4">
        <v>6797273.2272060541</v>
      </c>
      <c r="AH87" s="4">
        <v>6866896.446588438</v>
      </c>
      <c r="AI87" s="4">
        <v>6936529.4402284082</v>
      </c>
      <c r="AJ87" s="4">
        <v>7006165.1484424882</v>
      </c>
      <c r="AK87" s="4">
        <v>7075796.5806188835</v>
      </c>
      <c r="AL87" s="4">
        <v>7145416.8166346997</v>
      </c>
      <c r="AM87" s="4">
        <v>7215019.0082101915</v>
      </c>
      <c r="AN87" s="4">
        <v>7284596.3802006608</v>
      </c>
      <c r="AO87" s="4">
        <v>7354142.2318267217</v>
      </c>
      <c r="AP87" s="4">
        <v>7423649.9378436077</v>
      </c>
      <c r="AQ87" s="4">
        <v>7493112.9496502876</v>
      </c>
      <c r="AR87" s="4">
        <v>7562524.796339158</v>
      </c>
      <c r="AS87" s="4">
        <v>7631879.0856870972</v>
      </c>
      <c r="AT87" s="4">
        <v>7701169.5050887121</v>
      </c>
      <c r="AU87" s="4">
        <v>7770389.8224326242</v>
      </c>
      <c r="AV87" s="4">
        <v>7839533.8869216451</v>
      </c>
      <c r="AW87" s="4">
        <v>7908595.6298377505</v>
      </c>
      <c r="AX87" s="4">
        <v>7977569.0652527306</v>
      </c>
      <c r="AY87" s="4">
        <v>8046448.2906854544</v>
      </c>
      <c r="AZ87" s="4">
        <v>8115227.4877066743</v>
      </c>
      <c r="BA87" s="4">
        <v>8183900.9224923253</v>
      </c>
      <c r="BB87" s="4">
        <v>8252462.9463262772</v>
      </c>
      <c r="BC87" s="4">
        <v>8320907.996053502</v>
      </c>
      <c r="BD87" s="4">
        <v>8389230.5944846626</v>
      </c>
      <c r="BE87" s="4">
        <v>8457425.3507530876</v>
      </c>
      <c r="BF87" s="4">
        <v>8525486.9606251381</v>
      </c>
      <c r="BG87" s="4">
        <v>8593410.2067649737</v>
      </c>
      <c r="BH87" s="4">
        <v>8661189.9589547254</v>
      </c>
      <c r="BI87" s="4">
        <v>8728821.1742710769</v>
      </c>
      <c r="BJ87" s="4">
        <v>8796298.8972192779</v>
      </c>
      <c r="BK87" s="4">
        <v>8863618.2598256078</v>
      </c>
      <c r="BL87" s="4">
        <v>8930774.4816892892</v>
      </c>
      <c r="BM87" s="4">
        <v>8997762.8699948844</v>
      </c>
      <c r="BN87" s="4">
        <v>9064578.8194861822</v>
      </c>
      <c r="BO87" s="4">
        <v>9131217.8124025837</v>
      </c>
      <c r="BP87" s="4">
        <v>9197675.418379005</v>
      </c>
      <c r="BQ87" s="4">
        <v>9263947.2943102941</v>
      </c>
      <c r="BR87" s="4">
        <v>9330029.1841811612</v>
      </c>
      <c r="BS87" s="4">
        <v>9395916.9188626297</v>
      </c>
      <c r="BT87" s="4">
        <v>9461606.4158759806</v>
      </c>
      <c r="BU87" s="4">
        <v>9527093.6791251842</v>
      </c>
    </row>
    <row r="88" spans="1:73" x14ac:dyDescent="0.25">
      <c r="A88" s="3" t="s">
        <v>91</v>
      </c>
      <c r="B88" s="3" t="str">
        <f>VLOOKUP(A88,'storage capacity'!$A$2:$C$195,3,FALSE)</f>
        <v>Middle east</v>
      </c>
      <c r="C88" s="4">
        <v>71197.599999999627</v>
      </c>
      <c r="D88" s="4">
        <v>74932.564687402497</v>
      </c>
      <c r="E88" s="4">
        <v>78824.153423729862</v>
      </c>
      <c r="F88" s="4">
        <v>82876.913088437286</v>
      </c>
      <c r="G88" s="4">
        <v>87095.434873349644</v>
      </c>
      <c r="H88" s="4">
        <v>91484.351351183475</v>
      </c>
      <c r="I88" s="4">
        <v>96048.333446411401</v>
      </c>
      <c r="J88" s="4">
        <v>100792.08731223612</v>
      </c>
      <c r="K88" s="4">
        <v>105720.35111764344</v>
      </c>
      <c r="L88" s="4">
        <v>110837.8917486959</v>
      </c>
      <c r="M88" s="4">
        <v>116149.50142841053</v>
      </c>
      <c r="N88" s="4">
        <v>121659.99425973548</v>
      </c>
      <c r="O88" s="4">
        <v>127374.20269630045</v>
      </c>
      <c r="P88" s="4">
        <v>133296.97394576395</v>
      </c>
      <c r="Q88" s="4">
        <v>139433.16631071834</v>
      </c>
      <c r="R88" s="4">
        <v>145787.64547223717</v>
      </c>
      <c r="S88" s="4">
        <v>152365.28072126271</v>
      </c>
      <c r="T88" s="4">
        <v>159170.94114313155</v>
      </c>
      <c r="U88" s="4">
        <v>166209.49176062318</v>
      </c>
      <c r="V88" s="4">
        <v>173485.78964099183</v>
      </c>
      <c r="W88" s="4">
        <v>181004.67997250368</v>
      </c>
      <c r="X88" s="4">
        <v>188770.99211605036</v>
      </c>
      <c r="Y88" s="4">
        <v>196789.53563744723</v>
      </c>
      <c r="Z88" s="4">
        <v>205065.09632604779</v>
      </c>
      <c r="AA88" s="4">
        <v>213602.43220531708</v>
      </c>
      <c r="AB88" s="4">
        <v>222406.26954100639</v>
      </c>
      <c r="AC88" s="4">
        <v>231481.29885255688</v>
      </c>
      <c r="AD88" s="4">
        <v>240832.17093333544</v>
      </c>
      <c r="AE88" s="4">
        <v>250463.49288526791</v>
      </c>
      <c r="AF88" s="4">
        <v>260379.82417338638</v>
      </c>
      <c r="AG88" s="4">
        <v>270585.67270574643</v>
      </c>
      <c r="AH88" s="4">
        <v>281085.49094409985</v>
      </c>
      <c r="AI88" s="4">
        <v>291883.67205062608</v>
      </c>
      <c r="AJ88" s="4">
        <v>302984.54607593355</v>
      </c>
      <c r="AK88" s="4">
        <v>314392.37619344128</v>
      </c>
      <c r="AL88" s="4">
        <v>326111.35498513828</v>
      </c>
      <c r="AM88" s="4">
        <v>338145.60078360018</v>
      </c>
      <c r="AN88" s="4">
        <v>350499.15407501202</v>
      </c>
      <c r="AO88" s="4">
        <v>363175.97396781051</v>
      </c>
      <c r="AP88" s="4">
        <v>376179.93473141431</v>
      </c>
      <c r="AQ88" s="4">
        <v>389514.82240936009</v>
      </c>
      <c r="AR88" s="4">
        <v>403184.3315110032</v>
      </c>
      <c r="AS88" s="4">
        <v>417192.06178577832</v>
      </c>
      <c r="AT88" s="4">
        <v>431541.51508384605</v>
      </c>
      <c r="AU88" s="4">
        <v>446236.09230677556</v>
      </c>
      <c r="AV88" s="4">
        <v>461279.09045173577</v>
      </c>
      <c r="AW88" s="4">
        <v>476673.69975248229</v>
      </c>
      <c r="AX88" s="4">
        <v>492423.00092024164</v>
      </c>
      <c r="AY88" s="4">
        <v>508529.96248740435</v>
      </c>
      <c r="AZ88" s="4">
        <v>524997.43825674476</v>
      </c>
      <c r="BA88" s="4">
        <v>541828.16485869233</v>
      </c>
      <c r="BB88" s="4">
        <v>559024.75941898196</v>
      </c>
      <c r="BC88" s="4">
        <v>576589.71733881393</v>
      </c>
      <c r="BD88" s="4">
        <v>594525.41018945689</v>
      </c>
      <c r="BE88" s="4">
        <v>612834.08372302738</v>
      </c>
      <c r="BF88" s="4">
        <v>631517.85600098374</v>
      </c>
      <c r="BG88" s="4">
        <v>650578.71564167412</v>
      </c>
      <c r="BH88" s="4">
        <v>670018.52018808236</v>
      </c>
      <c r="BI88" s="4">
        <v>689838.99459672091</v>
      </c>
      <c r="BJ88" s="4">
        <v>710041.72984842793</v>
      </c>
      <c r="BK88" s="4">
        <v>730628.18168163591</v>
      </c>
      <c r="BL88" s="4">
        <v>751599.66944848909</v>
      </c>
      <c r="BM88" s="4">
        <v>772957.37509400619</v>
      </c>
      <c r="BN88" s="4">
        <v>794702.34225830005</v>
      </c>
      <c r="BO88" s="4">
        <v>816835.47550168936</v>
      </c>
      <c r="BP88" s="4">
        <v>839357.53965236573</v>
      </c>
      <c r="BQ88" s="4">
        <v>862269.1592761043</v>
      </c>
      <c r="BR88" s="4">
        <v>885570.81826734811</v>
      </c>
      <c r="BS88" s="4">
        <v>909262.85956082819</v>
      </c>
      <c r="BT88" s="4">
        <v>933345.48496273148</v>
      </c>
      <c r="BU88" s="4">
        <v>957818.75510027364</v>
      </c>
    </row>
    <row r="89" spans="1:73" x14ac:dyDescent="0.25">
      <c r="A89" s="3" t="s">
        <v>92</v>
      </c>
      <c r="B89" s="3" t="str">
        <f>VLOOKUP(A89,'storage capacity'!$A$2:$C$195,3,FALSE)</f>
        <v>Other eurasia</v>
      </c>
      <c r="C89" s="4">
        <v>419726.06666667014</v>
      </c>
      <c r="D89" s="4">
        <v>447942.75880874932</v>
      </c>
      <c r="E89" s="4">
        <v>477755.22290641442</v>
      </c>
      <c r="F89" s="4">
        <v>509233.86509624403</v>
      </c>
      <c r="G89" s="4">
        <v>542451.06495742535</v>
      </c>
      <c r="H89" s="4">
        <v>577481.17510501726</v>
      </c>
      <c r="I89" s="4">
        <v>614400.5180174337</v>
      </c>
      <c r="J89" s="4">
        <v>653287.38003863406</v>
      </c>
      <c r="K89" s="4">
        <v>694222.00250091939</v>
      </c>
      <c r="L89" s="4">
        <v>737286.56991985417</v>
      </c>
      <c r="M89" s="4">
        <v>782565.19521864434</v>
      </c>
      <c r="N89" s="4">
        <v>830143.90194529877</v>
      </c>
      <c r="O89" s="4">
        <v>880110.60345204698</v>
      </c>
      <c r="P89" s="4">
        <v>932555.07901277347</v>
      </c>
      <c r="Q89" s="4">
        <v>987568.94686063612</v>
      </c>
      <c r="R89" s="4">
        <v>1045245.6341345411</v>
      </c>
      <c r="S89" s="4">
        <v>1105680.3437297295</v>
      </c>
      <c r="T89" s="4">
        <v>1168970.0180543726</v>
      </c>
      <c r="U89" s="4">
        <v>1235213.2997007521</v>
      </c>
      <c r="V89" s="4">
        <v>1304510.4890462947</v>
      </c>
      <c r="W89" s="4">
        <v>1376963.4988064244</v>
      </c>
      <c r="X89" s="4">
        <v>1452675.805567858</v>
      </c>
      <c r="Y89" s="4">
        <v>1531752.3983375933</v>
      </c>
      <c r="Z89" s="4">
        <v>1614299.7241493959</v>
      </c>
      <c r="AA89" s="4">
        <v>1700425.6307760591</v>
      </c>
      <c r="AB89" s="4">
        <v>1790239.306602078</v>
      </c>
      <c r="AC89" s="4">
        <v>1883851.2177176296</v>
      </c>
      <c r="AD89" s="4">
        <v>1981373.0423008464</v>
      </c>
      <c r="AE89" s="4">
        <v>2082917.6023613208</v>
      </c>
      <c r="AF89" s="4">
        <v>2188598.7929235492</v>
      </c>
      <c r="AG89" s="4">
        <v>2298531.5087346015</v>
      </c>
      <c r="AH89" s="4">
        <v>2412831.5685856733</v>
      </c>
      <c r="AI89" s="4">
        <v>2531615.6373423412</v>
      </c>
      <c r="AJ89" s="4">
        <v>2655001.1457832479</v>
      </c>
      <c r="AK89" s="4">
        <v>2783106.2083516237</v>
      </c>
      <c r="AL89" s="4">
        <v>2916049.5389284696</v>
      </c>
      <c r="AM89" s="4">
        <v>3053950.3647403661</v>
      </c>
      <c r="AN89" s="4">
        <v>3196928.3385187476</v>
      </c>
      <c r="AO89" s="4">
        <v>3345103.4490310652</v>
      </c>
      <c r="AP89" s="4">
        <v>3498595.9301075479</v>
      </c>
      <c r="AQ89" s="4">
        <v>3657526.1682902626</v>
      </c>
      <c r="AR89" s="4">
        <v>3822014.609233866</v>
      </c>
      <c r="AS89" s="4">
        <v>3992181.6629898008</v>
      </c>
      <c r="AT89" s="4">
        <v>4168147.6083077756</v>
      </c>
      <c r="AU89" s="4">
        <v>4350032.4960900936</v>
      </c>
      <c r="AV89" s="4">
        <v>4537956.052135841</v>
      </c>
      <c r="AW89" s="4">
        <v>4732037.5793130659</v>
      </c>
      <c r="AX89" s="4">
        <v>4932395.8592978697</v>
      </c>
      <c r="AY89" s="4">
        <v>5139149.0540198321</v>
      </c>
      <c r="AZ89" s="4">
        <v>5352414.6069533676</v>
      </c>
      <c r="BA89" s="4">
        <v>5572309.1443944825</v>
      </c>
      <c r="BB89" s="4">
        <v>5798948.3768619662</v>
      </c>
      <c r="BC89" s="4">
        <v>6032447.0007613469</v>
      </c>
      <c r="BD89" s="4">
        <v>6272918.6004488915</v>
      </c>
      <c r="BE89" s="4">
        <v>6520475.5508316513</v>
      </c>
      <c r="BF89" s="4">
        <v>6775228.9206379773</v>
      </c>
      <c r="BG89" s="4">
        <v>7037288.3764910772</v>
      </c>
      <c r="BH89" s="4">
        <v>7306762.0879160818</v>
      </c>
      <c r="BI89" s="4">
        <v>7583756.6334087467</v>
      </c>
      <c r="BJ89" s="4">
        <v>7868376.9076913046</v>
      </c>
      <c r="BK89" s="4">
        <v>8160726.0302781714</v>
      </c>
      <c r="BL89" s="4">
        <v>8460905.2554711886</v>
      </c>
      <c r="BM89" s="4">
        <v>8769013.8839007784</v>
      </c>
      <c r="BN89" s="4">
        <v>9085149.1757260337</v>
      </c>
      <c r="BO89" s="4">
        <v>9409406.2656030357</v>
      </c>
      <c r="BP89" s="4">
        <v>9741878.0795269851</v>
      </c>
      <c r="BQ89" s="4">
        <v>10082655.253649728</v>
      </c>
      <c r="BR89" s="4">
        <v>10431826.05517015</v>
      </c>
      <c r="BS89" s="4">
        <v>10789476.305390697</v>
      </c>
      <c r="BT89" s="4">
        <v>11155689.305028908</v>
      </c>
      <c r="BU89" s="4">
        <v>11530545.761868387</v>
      </c>
    </row>
    <row r="90" spans="1:73" x14ac:dyDescent="0.25">
      <c r="A90" s="3" t="s">
        <v>93</v>
      </c>
      <c r="B90" s="3" t="str">
        <f>VLOOKUP(A90,'storage capacity'!$A$2:$C$195,3,FALSE)</f>
        <v>Sub-saharan africa</v>
      </c>
      <c r="C90" s="4">
        <v>139262.39999999944</v>
      </c>
      <c r="D90" s="4">
        <v>144829.85740400123</v>
      </c>
      <c r="E90" s="4">
        <v>150561.99128439673</v>
      </c>
      <c r="F90" s="4">
        <v>156461.40382088994</v>
      </c>
      <c r="G90" s="4">
        <v>162530.66509799688</v>
      </c>
      <c r="H90" s="4">
        <v>168772.31088061706</v>
      </c>
      <c r="I90" s="4">
        <v>175188.84041353906</v>
      </c>
      <c r="J90" s="4">
        <v>181782.71424782884</v>
      </c>
      <c r="K90" s="4">
        <v>188556.35209698472</v>
      </c>
      <c r="L90" s="4">
        <v>195512.13072567453</v>
      </c>
      <c r="M90" s="4">
        <v>202652.38187379416</v>
      </c>
      <c r="N90" s="4">
        <v>209979.39021850954</v>
      </c>
      <c r="O90" s="4">
        <v>217495.39137685925</v>
      </c>
      <c r="P90" s="4">
        <v>225202.56995140822</v>
      </c>
      <c r="Q90" s="4">
        <v>233103.05762135092</v>
      </c>
      <c r="R90" s="4">
        <v>241198.93128136813</v>
      </c>
      <c r="S90" s="4">
        <v>249492.21123044335</v>
      </c>
      <c r="T90" s="4">
        <v>257984.8594127433</v>
      </c>
      <c r="U90" s="4">
        <v>266678.77771256375</v>
      </c>
      <c r="V90" s="4">
        <v>275575.80630523607</v>
      </c>
      <c r="W90" s="4">
        <v>284677.72206578136</v>
      </c>
      <c r="X90" s="4">
        <v>293986.23703699006</v>
      </c>
      <c r="Y90" s="4">
        <v>303502.9969584925</v>
      </c>
      <c r="Z90" s="4">
        <v>313229.5798582749</v>
      </c>
      <c r="AA90" s="4">
        <v>323167.49470798054</v>
      </c>
      <c r="AB90" s="4">
        <v>333318.18014322332</v>
      </c>
      <c r="AC90" s="4">
        <v>343683.00325002545</v>
      </c>
      <c r="AD90" s="4">
        <v>354263.25841837743</v>
      </c>
      <c r="AE90" s="4">
        <v>365060.16626380372</v>
      </c>
      <c r="AF90" s="4">
        <v>376074.87261770427</v>
      </c>
      <c r="AG90" s="4">
        <v>387308.4475871285</v>
      </c>
      <c r="AH90" s="4">
        <v>398761.88468452613</v>
      </c>
      <c r="AI90" s="4">
        <v>410436.1000279084</v>
      </c>
      <c r="AJ90" s="4">
        <v>422331.93161174294</v>
      </c>
      <c r="AK90" s="4">
        <v>434450.1386487977</v>
      </c>
      <c r="AL90" s="4">
        <v>446791.40098304296</v>
      </c>
      <c r="AM90" s="4">
        <v>459356.31857361452</v>
      </c>
      <c r="AN90" s="4">
        <v>472145.41104974033</v>
      </c>
      <c r="AO90" s="4">
        <v>485159.11733643123</v>
      </c>
      <c r="AP90" s="4">
        <v>498397.79535063892</v>
      </c>
      <c r="AQ90" s="4">
        <v>511861.72176748916</v>
      </c>
      <c r="AR90" s="4">
        <v>525551.09185610455</v>
      </c>
      <c r="AS90" s="4">
        <v>539466.01938444306</v>
      </c>
      <c r="AT90" s="4">
        <v>553606.53659248876</v>
      </c>
      <c r="AU90" s="4">
        <v>567972.59423304989</v>
      </c>
      <c r="AV90" s="4">
        <v>582564.06167933671</v>
      </c>
      <c r="AW90" s="4">
        <v>597380.72709841491</v>
      </c>
      <c r="AX90" s="4">
        <v>612422.29768955428</v>
      </c>
      <c r="AY90" s="4">
        <v>627688.39998642332</v>
      </c>
      <c r="AZ90" s="4">
        <v>643178.58022200991</v>
      </c>
      <c r="BA90" s="4">
        <v>658892.30475508689</v>
      </c>
      <c r="BB90" s="4">
        <v>674828.96055697743</v>
      </c>
      <c r="BC90" s="4">
        <v>690987.85575731855</v>
      </c>
      <c r="BD90" s="4">
        <v>707368.22024746821</v>
      </c>
      <c r="BE90" s="4">
        <v>723969.206340148</v>
      </c>
      <c r="BF90" s="4">
        <v>740789.88948387024</v>
      </c>
      <c r="BG90" s="4">
        <v>757829.26903064956</v>
      </c>
      <c r="BH90" s="4">
        <v>775086.26905546326</v>
      </c>
      <c r="BI90" s="4">
        <v>792559.73922588513</v>
      </c>
      <c r="BJ90" s="4">
        <v>810248.4557202853</v>
      </c>
      <c r="BK90" s="4">
        <v>828151.12219295755</v>
      </c>
      <c r="BL90" s="4">
        <v>846266.37078450911</v>
      </c>
      <c r="BM90" s="4">
        <v>864592.7631758257</v>
      </c>
      <c r="BN90" s="4">
        <v>883128.79168390005</v>
      </c>
      <c r="BO90" s="4">
        <v>901872.88039780117</v>
      </c>
      <c r="BP90" s="4">
        <v>920823.38635304081</v>
      </c>
      <c r="BQ90" s="4">
        <v>939978.6007425891</v>
      </c>
      <c r="BR90" s="4">
        <v>959336.75016277493</v>
      </c>
      <c r="BS90" s="4">
        <v>978895.99789231142</v>
      </c>
      <c r="BT90" s="4">
        <v>998654.44520267344</v>
      </c>
      <c r="BU90" s="4">
        <v>1018610.1326980646</v>
      </c>
    </row>
    <row r="91" spans="1:73" x14ac:dyDescent="0.25">
      <c r="A91" s="3" t="s">
        <v>94</v>
      </c>
      <c r="B91" s="3" t="str">
        <f>VLOOKUP(A91,'storage capacity'!$A$2:$C$195,3,FALSE)</f>
        <v>Other Asia pacific</v>
      </c>
      <c r="C91" s="4">
        <v>416.53333333333285</v>
      </c>
      <c r="D91" s="4">
        <v>434.15589743589697</v>
      </c>
      <c r="E91" s="4">
        <v>452.34035021696201</v>
      </c>
      <c r="F91" s="4">
        <v>471.09699079282387</v>
      </c>
      <c r="G91" s="4">
        <v>490.43604590729365</v>
      </c>
      <c r="H91" s="4">
        <v>510.36766128208575</v>
      </c>
      <c r="I91" s="4">
        <v>530.90189299120107</v>
      </c>
      <c r="J91" s="4">
        <v>552.04869887134305</v>
      </c>
      <c r="K91" s="4">
        <v>573.81792998029039</v>
      </c>
      <c r="L91" s="4">
        <v>596.21932211500643</v>
      </c>
      <c r="M91" s="4">
        <v>619.2624874011052</v>
      </c>
      <c r="N91" s="4">
        <v>642.95690596510588</v>
      </c>
      <c r="O91" s="4">
        <v>667.31191770069904</v>
      </c>
      <c r="P91" s="4">
        <v>692.33671414002038</v>
      </c>
      <c r="Q91" s="4">
        <v>718.04033044067739</v>
      </c>
      <c r="R91" s="4">
        <v>744.43163749900623</v>
      </c>
      <c r="S91" s="4">
        <v>771.51933419975035</v>
      </c>
      <c r="T91" s="4">
        <v>799.31193981204865</v>
      </c>
      <c r="U91" s="4">
        <v>827.81778654130153</v>
      </c>
      <c r="V91" s="4">
        <v>857.04501224614978</v>
      </c>
      <c r="W91" s="4">
        <v>887.00155332945019</v>
      </c>
      <c r="X91" s="4">
        <v>917.695137811775</v>
      </c>
      <c r="Y91" s="4">
        <v>949.13327859558558</v>
      </c>
      <c r="Z91" s="4">
        <v>981.32326692785011</v>
      </c>
      <c r="AA91" s="4">
        <v>1014.2721660684799</v>
      </c>
      <c r="AB91" s="4">
        <v>1047.9868051715612</v>
      </c>
      <c r="AC91" s="4">
        <v>1082.4737733859461</v>
      </c>
      <c r="AD91" s="4">
        <v>1117.7394141813561</v>
      </c>
      <c r="AE91" s="4">
        <v>1153.7898199057304</v>
      </c>
      <c r="AF91" s="4">
        <v>1190.6308265791254</v>
      </c>
      <c r="AG91" s="4">
        <v>1228.2680089290473</v>
      </c>
      <c r="AH91" s="4">
        <v>1266.7066756716729</v>
      </c>
      <c r="AI91" s="4">
        <v>1305.9518650429766</v>
      </c>
      <c r="AJ91" s="4">
        <v>1346.0083405833614</v>
      </c>
      <c r="AK91" s="4">
        <v>1386.8805871789566</v>
      </c>
      <c r="AL91" s="4">
        <v>1428.5728073623191</v>
      </c>
      <c r="AM91" s="4">
        <v>1471.0889178748535</v>
      </c>
      <c r="AN91" s="4">
        <v>1514.4325464928427</v>
      </c>
      <c r="AO91" s="4">
        <v>1558.6070291185679</v>
      </c>
      <c r="AP91" s="4">
        <v>1603.6154071375834</v>
      </c>
      <c r="AQ91" s="4">
        <v>1649.4604250428081</v>
      </c>
      <c r="AR91" s="4">
        <v>1696.1445283256994</v>
      </c>
      <c r="AS91" s="4">
        <v>1743.6698616343801</v>
      </c>
      <c r="AT91" s="4">
        <v>1792.0382671982109</v>
      </c>
      <c r="AU91" s="4">
        <v>1841.2512835179275</v>
      </c>
      <c r="AV91" s="4">
        <v>1891.3101443200892</v>
      </c>
      <c r="AW91" s="4">
        <v>1942.2157777742423</v>
      </c>
      <c r="AX91" s="4">
        <v>1993.9688059708494</v>
      </c>
      <c r="AY91" s="4">
        <v>2046.5695446576985</v>
      </c>
      <c r="AZ91" s="4">
        <v>2100.018003232196</v>
      </c>
      <c r="BA91" s="4">
        <v>2154.3138849866205</v>
      </c>
      <c r="BB91" s="4">
        <v>2209.4565876031243</v>
      </c>
      <c r="BC91" s="4">
        <v>2265.4452038949794</v>
      </c>
      <c r="BD91" s="4">
        <v>2322.2785227902878</v>
      </c>
      <c r="BE91" s="4">
        <v>2379.9550305541143</v>
      </c>
      <c r="BF91" s="4">
        <v>2438.4729122447466</v>
      </c>
      <c r="BG91" s="4">
        <v>2497.830053399558</v>
      </c>
      <c r="BH91" s="4">
        <v>2558.0240419457109</v>
      </c>
      <c r="BI91" s="4">
        <v>2619.0521703307381</v>
      </c>
      <c r="BJ91" s="4">
        <v>2680.911437867836</v>
      </c>
      <c r="BK91" s="4">
        <v>2743.5985532905174</v>
      </c>
      <c r="BL91" s="4">
        <v>2807.1099375111039</v>
      </c>
      <c r="BM91" s="4">
        <v>2871.4417265773659</v>
      </c>
      <c r="BN91" s="4">
        <v>2936.5897748214907</v>
      </c>
      <c r="BO91" s="4">
        <v>3002.5496581954071</v>
      </c>
      <c r="BP91" s="4">
        <v>3069.3166777863858</v>
      </c>
      <c r="BQ91" s="4">
        <v>3136.885863506714</v>
      </c>
      <c r="BR91" s="4">
        <v>3205.2519779511663</v>
      </c>
      <c r="BS91" s="4">
        <v>3274.4095204158834</v>
      </c>
      <c r="BT91" s="4">
        <v>3344.3527310722225</v>
      </c>
      <c r="BU91" s="4">
        <v>3415.0755952890627</v>
      </c>
    </row>
    <row r="92" spans="1:73" x14ac:dyDescent="0.25">
      <c r="A92" s="3" t="s">
        <v>95</v>
      </c>
      <c r="B92" s="3" t="str">
        <f>VLOOKUP(A92,'storage capacity'!$A$2:$C$195,3,FALSE)</f>
        <v>Middle east</v>
      </c>
      <c r="C92" s="4">
        <v>189415.59999999963</v>
      </c>
      <c r="D92" s="4">
        <v>195468.68714773463</v>
      </c>
      <c r="E92" s="4">
        <v>201652.74541948736</v>
      </c>
      <c r="F92" s="4">
        <v>207968.65219240496</v>
      </c>
      <c r="G92" s="4">
        <v>214417.24038316868</v>
      </c>
      <c r="H92" s="4">
        <v>220999.2977507489</v>
      </c>
      <c r="I92" s="4">
        <v>227715.5662413656</v>
      </c>
      <c r="J92" s="4">
        <v>234566.74137611102</v>
      </c>
      <c r="K92" s="4">
        <v>241553.47168162014</v>
      </c>
      <c r="L92" s="4">
        <v>248676.35816410714</v>
      </c>
      <c r="M92" s="4">
        <v>255935.95382701574</v>
      </c>
      <c r="N92" s="4">
        <v>263332.76323246496</v>
      </c>
      <c r="O92" s="4">
        <v>270867.24210660462</v>
      </c>
      <c r="P92" s="4">
        <v>278539.79698892892</v>
      </c>
      <c r="Q92" s="4">
        <v>286350.78492553305</v>
      </c>
      <c r="R92" s="4">
        <v>294300.51320623391</v>
      </c>
      <c r="S92" s="4">
        <v>302389.23914541415</v>
      </c>
      <c r="T92" s="4">
        <v>310617.16990638961</v>
      </c>
      <c r="U92" s="4">
        <v>318984.46236904105</v>
      </c>
      <c r="V92" s="4">
        <v>327491.22304039373</v>
      </c>
      <c r="W92" s="4">
        <v>336137.50800777454</v>
      </c>
      <c r="X92" s="4">
        <v>344923.32293412136</v>
      </c>
      <c r="Y92" s="4">
        <v>353848.62309496972</v>
      </c>
      <c r="Z92" s="4">
        <v>362913.31345659081</v>
      </c>
      <c r="AA92" s="4">
        <v>372117.24879470828</v>
      </c>
      <c r="AB92" s="4">
        <v>381460.23385317507</v>
      </c>
      <c r="AC92" s="4">
        <v>390942.02354194893</v>
      </c>
      <c r="AD92" s="4">
        <v>400562.32317366276</v>
      </c>
      <c r="AE92" s="4">
        <v>410320.78873804735</v>
      </c>
      <c r="AF92" s="4">
        <v>420217.02721342753</v>
      </c>
      <c r="AG92" s="4">
        <v>430250.59691447561</v>
      </c>
      <c r="AH92" s="4">
        <v>440421.00787537574</v>
      </c>
      <c r="AI92" s="4">
        <v>450727.72226752067</v>
      </c>
      <c r="AJ92" s="4">
        <v>461170.15485083277</v>
      </c>
      <c r="AK92" s="4">
        <v>471747.67345777812</v>
      </c>
      <c r="AL92" s="4">
        <v>482459.59950911341</v>
      </c>
      <c r="AM92" s="4">
        <v>493305.20856038819</v>
      </c>
      <c r="AN92" s="4">
        <v>504283.73087820038</v>
      </c>
      <c r="AO92" s="4">
        <v>515394.35204518808</v>
      </c>
      <c r="AP92" s="4">
        <v>526636.21359272359</v>
      </c>
      <c r="AQ92" s="4">
        <v>538008.41366026062</v>
      </c>
      <c r="AR92" s="4">
        <v>549510.0076802749</v>
      </c>
      <c r="AS92" s="4">
        <v>561140.00908772845</v>
      </c>
      <c r="AT92" s="4">
        <v>572897.39005297783</v>
      </c>
      <c r="AU92" s="4">
        <v>584781.0822370419</v>
      </c>
      <c r="AV92" s="4">
        <v>596789.97756813944</v>
      </c>
      <c r="AW92" s="4">
        <v>608922.9290384046</v>
      </c>
      <c r="AX92" s="4">
        <v>621178.75151968619</v>
      </c>
      <c r="AY92" s="4">
        <v>633556.22259733779</v>
      </c>
      <c r="AZ92" s="4">
        <v>646054.08342090785</v>
      </c>
      <c r="BA92" s="4">
        <v>658671.03957064345</v>
      </c>
      <c r="BB92" s="4">
        <v>671405.76193872385</v>
      </c>
      <c r="BC92" s="4">
        <v>684256.88762415037</v>
      </c>
      <c r="BD92" s="4">
        <v>697223.02084022411</v>
      </c>
      <c r="BE92" s="4">
        <v>710302.73383355304</v>
      </c>
      <c r="BF92" s="4">
        <v>723494.56781354209</v>
      </c>
      <c r="BG92" s="4">
        <v>736797.03389132861</v>
      </c>
      <c r="BH92" s="4">
        <v>750208.61402714299</v>
      </c>
      <c r="BI92" s="4">
        <v>763727.76198508148</v>
      </c>
      <c r="BJ92" s="4">
        <v>777352.90429430222</v>
      </c>
      <c r="BK92" s="4">
        <v>791082.44121566101</v>
      </c>
      <c r="BL92" s="4">
        <v>804914.7477128309</v>
      </c>
      <c r="BM92" s="4">
        <v>818848.17442695843</v>
      </c>
      <c r="BN92" s="4">
        <v>832881.04865393322</v>
      </c>
      <c r="BO92" s="4">
        <v>847011.67532336572</v>
      </c>
      <c r="BP92" s="4">
        <v>861238.33797838539</v>
      </c>
      <c r="BQ92" s="4">
        <v>875559.2997553969</v>
      </c>
      <c r="BR92" s="4">
        <v>889972.80436294782</v>
      </c>
      <c r="BS92" s="4">
        <v>904477.07705888664</v>
      </c>
      <c r="BT92" s="4">
        <v>919070.32562501077</v>
      </c>
      <c r="BU92" s="4">
        <v>933750.74133842532</v>
      </c>
    </row>
    <row r="93" spans="1:73" x14ac:dyDescent="0.25">
      <c r="A93" s="3" t="s">
        <v>96</v>
      </c>
      <c r="B93" s="3" t="str">
        <f>VLOOKUP(A93,'storage capacity'!$A$2:$C$195,3,FALSE)</f>
        <v>Other eurasia</v>
      </c>
      <c r="C93" s="4">
        <v>24506.26666666707</v>
      </c>
      <c r="D93" s="4">
        <v>25954.729168278267</v>
      </c>
      <c r="E93" s="4">
        <v>27473.463454759858</v>
      </c>
      <c r="F93" s="4">
        <v>29064.990060187021</v>
      </c>
      <c r="G93" s="4">
        <v>30731.875925997178</v>
      </c>
      <c r="H93" s="4">
        <v>32476.73337166461</v>
      </c>
      <c r="I93" s="4">
        <v>34302.218983712861</v>
      </c>
      <c r="J93" s="4">
        <v>36211.032423614495</v>
      </c>
      <c r="K93" s="4">
        <v>38205.915155305149</v>
      </c>
      <c r="L93" s="4">
        <v>40289.649093214983</v>
      </c>
      <c r="M93" s="4">
        <v>42465.055171895161</v>
      </c>
      <c r="N93" s="4">
        <v>44734.991838489448</v>
      </c>
      <c r="O93" s="4">
        <v>47102.353469470625</v>
      </c>
      <c r="P93" s="4">
        <v>49570.068713228226</v>
      </c>
      <c r="Q93" s="4">
        <v>52141.098760256769</v>
      </c>
      <c r="R93" s="4">
        <v>54818.43554285253</v>
      </c>
      <c r="S93" s="4">
        <v>57605.099866381373</v>
      </c>
      <c r="T93" s="4">
        <v>60504.139474328971</v>
      </c>
      <c r="U93" s="4">
        <v>63518.627049488954</v>
      </c>
      <c r="V93" s="4">
        <v>66651.658153782468</v>
      </c>
      <c r="W93" s="4">
        <v>69906.349109334493</v>
      </c>
      <c r="X93" s="4">
        <v>73285.834823557685</v>
      </c>
      <c r="Y93" s="4">
        <v>76793.266561113298</v>
      </c>
      <c r="Z93" s="4">
        <v>80431.809665730165</v>
      </c>
      <c r="AA93" s="4">
        <v>84204.641234967014</v>
      </c>
      <c r="AB93" s="4">
        <v>88114.947751099971</v>
      </c>
      <c r="AC93" s="4">
        <v>92165.922671406282</v>
      </c>
      <c r="AD93" s="4">
        <v>96360.763981195938</v>
      </c>
      <c r="AE93" s="4">
        <v>100702.67171301588</v>
      </c>
      <c r="AF93" s="4">
        <v>105194.84543551652</v>
      </c>
      <c r="AG93" s="4">
        <v>109840.48171552592</v>
      </c>
      <c r="AH93" s="4">
        <v>114642.77155692611</v>
      </c>
      <c r="AI93" s="4">
        <v>119604.89781996461</v>
      </c>
      <c r="AJ93" s="4">
        <v>124730.03262466639</v>
      </c>
      <c r="AK93" s="4">
        <v>130021.33474203388</v>
      </c>
      <c r="AL93" s="4">
        <v>135481.94697673753</v>
      </c>
      <c r="AM93" s="4">
        <v>141114.99354500536</v>
      </c>
      <c r="AN93" s="4">
        <v>146923.57745141877</v>
      </c>
      <c r="AO93" s="4">
        <v>152910.77786831115</v>
      </c>
      <c r="AP93" s="4">
        <v>159079.6475214489</v>
      </c>
      <c r="AQ93" s="4">
        <v>165433.21008564785</v>
      </c>
      <c r="AR93" s="4">
        <v>171974.45759394634</v>
      </c>
      <c r="AS93" s="4">
        <v>178706.34786391415</v>
      </c>
      <c r="AT93" s="4">
        <v>185631.80194463008</v>
      </c>
      <c r="AU93" s="4">
        <v>192753.70158780555</v>
      </c>
      <c r="AV93" s="4">
        <v>200074.88674647102</v>
      </c>
      <c r="AW93" s="4">
        <v>207598.15310457337</v>
      </c>
      <c r="AX93" s="4">
        <v>215326.24964075963</v>
      </c>
      <c r="AY93" s="4">
        <v>223261.87622954193</v>
      </c>
      <c r="AZ93" s="4">
        <v>231407.68128295359</v>
      </c>
      <c r="BA93" s="4">
        <v>239766.25943571617</v>
      </c>
      <c r="BB93" s="4">
        <v>248340.14927684068</v>
      </c>
      <c r="BC93" s="4">
        <v>257131.8311304875</v>
      </c>
      <c r="BD93" s="4">
        <v>266143.72488880437</v>
      </c>
      <c r="BE93" s="4">
        <v>275378.18789935339</v>
      </c>
      <c r="BF93" s="4">
        <v>284837.51290962647</v>
      </c>
      <c r="BG93" s="4">
        <v>294523.92607103346</v>
      </c>
      <c r="BH93" s="4">
        <v>304439.58500462834</v>
      </c>
      <c r="BI93" s="4">
        <v>314586.5769307185</v>
      </c>
      <c r="BJ93" s="4">
        <v>324966.91686437913</v>
      </c>
      <c r="BK93" s="4">
        <v>335582.54587876936</v>
      </c>
      <c r="BL93" s="4">
        <v>346435.32943801989</v>
      </c>
      <c r="BM93" s="4">
        <v>357527.05580133456</v>
      </c>
      <c r="BN93" s="4">
        <v>368859.43449981831</v>
      </c>
      <c r="BO93" s="4">
        <v>380434.09488741535</v>
      </c>
      <c r="BP93" s="4">
        <v>392252.58476720995</v>
      </c>
      <c r="BQ93" s="4">
        <v>404316.36909421347</v>
      </c>
      <c r="BR93" s="4">
        <v>416626.82875563094</v>
      </c>
      <c r="BS93" s="4">
        <v>429185.25942946965</v>
      </c>
      <c r="BT93" s="4">
        <v>441992.87052222644</v>
      </c>
      <c r="BU93" s="4">
        <v>455050.78418625961</v>
      </c>
    </row>
    <row r="94" spans="1:73" x14ac:dyDescent="0.25">
      <c r="A94" s="3" t="s">
        <v>97</v>
      </c>
      <c r="B94" s="3" t="str">
        <f>VLOOKUP(A94,'storage capacity'!$A$2:$C$195,3,FALSE)</f>
        <v>Other Asia pacific</v>
      </c>
      <c r="C94" s="4">
        <v>9887.4000000001397</v>
      </c>
      <c r="D94" s="4">
        <v>10178.047276039755</v>
      </c>
      <c r="E94" s="4">
        <v>10474.246428397455</v>
      </c>
      <c r="F94" s="4">
        <v>10776.017308531871</v>
      </c>
      <c r="G94" s="4">
        <v>11083.377782363737</v>
      </c>
      <c r="H94" s="4">
        <v>11396.34371660609</v>
      </c>
      <c r="I94" s="4">
        <v>11714.928966876192</v>
      </c>
      <c r="J94" s="4">
        <v>12039.145367585192</v>
      </c>
      <c r="K94" s="4">
        <v>12369.002723599053</v>
      </c>
      <c r="L94" s="4">
        <v>12704.5088036619</v>
      </c>
      <c r="M94" s="4">
        <v>13045.669335570514</v>
      </c>
      <c r="N94" s="4">
        <v>13392.488003086475</v>
      </c>
      <c r="O94" s="4">
        <v>13744.96644457024</v>
      </c>
      <c r="P94" s="4">
        <v>14103.104253319227</v>
      </c>
      <c r="Q94" s="4">
        <v>14466.898979590031</v>
      </c>
      <c r="R94" s="4">
        <v>14836.346134282827</v>
      </c>
      <c r="S94" s="4">
        <v>15211.439194264127</v>
      </c>
      <c r="T94" s="4">
        <v>15592.169609302269</v>
      </c>
      <c r="U94" s="4">
        <v>15978.526810588253</v>
      </c>
      <c r="V94" s="4">
        <v>16370.498220812884</v>
      </c>
      <c r="W94" s="4">
        <v>16768.069265769627</v>
      </c>
      <c r="X94" s="4">
        <v>17171.223387451108</v>
      </c>
      <c r="Y94" s="4">
        <v>17579.942058605771</v>
      </c>
      <c r="Z94" s="4">
        <v>17994.204798719922</v>
      </c>
      <c r="AA94" s="4">
        <v>18413.989191389148</v>
      </c>
      <c r="AB94" s="4">
        <v>18839.270903042005</v>
      </c>
      <c r="AC94" s="4">
        <v>19270.023702977793</v>
      </c>
      <c r="AD94" s="4">
        <v>19706.219484679244</v>
      </c>
      <c r="AE94" s="4">
        <v>20147.828288360168</v>
      </c>
      <c r="AF94" s="4">
        <v>20594.818324707205</v>
      </c>
      <c r="AG94" s="4">
        <v>21047.155999774222</v>
      </c>
      <c r="AH94" s="4">
        <v>21504.805940987171</v>
      </c>
      <c r="AI94" s="4">
        <v>21967.731024216766</v>
      </c>
      <c r="AJ94" s="4">
        <v>22435.89240187583</v>
      </c>
      <c r="AK94" s="4">
        <v>22909.249531997772</v>
      </c>
      <c r="AL94" s="4">
        <v>23387.760208252359</v>
      </c>
      <c r="AM94" s="4">
        <v>23871.380590854718</v>
      </c>
      <c r="AN94" s="4">
        <v>24360.065238323306</v>
      </c>
      <c r="AO94" s="4">
        <v>24853.76714004255</v>
      </c>
      <c r="AP94" s="4">
        <v>25352.437749585755</v>
      </c>
      <c r="AQ94" s="4">
        <v>25856.027018754015</v>
      </c>
      <c r="AR94" s="4">
        <v>26364.483432286881</v>
      </c>
      <c r="AS94" s="4">
        <v>26877.754043200734</v>
      </c>
      <c r="AT94" s="4">
        <v>27395.78450871112</v>
      </c>
      <c r="AU94" s="4">
        <v>27918.519126695439</v>
      </c>
      <c r="AV94" s="4">
        <v>28445.900872652859</v>
      </c>
      <c r="AW94" s="4">
        <v>28977.8714371186</v>
      </c>
      <c r="AX94" s="4">
        <v>29514.371263490328</v>
      </c>
      <c r="AY94" s="4">
        <v>30055.33958622468</v>
      </c>
      <c r="AZ94" s="4">
        <v>30600.714469362749</v>
      </c>
      <c r="BA94" s="4">
        <v>31150.432845343639</v>
      </c>
      <c r="BB94" s="4">
        <v>31704.430554066046</v>
      </c>
      <c r="BC94" s="4">
        <v>32262.642382158425</v>
      </c>
      <c r="BD94" s="4">
        <v>32825.002102418926</v>
      </c>
      <c r="BE94" s="4">
        <v>33391.442513387061</v>
      </c>
      <c r="BF94" s="4">
        <v>33961.895479009909</v>
      </c>
      <c r="BG94" s="4">
        <v>34536.291968366218</v>
      </c>
      <c r="BH94" s="4">
        <v>35114.562095412926</v>
      </c>
      <c r="BI94" s="4">
        <v>35696.635158719087</v>
      </c>
      <c r="BJ94" s="4">
        <v>36282.439681153373</v>
      </c>
      <c r="BK94" s="4">
        <v>36871.903449491976</v>
      </c>
      <c r="BL94" s="4">
        <v>37464.953553914813</v>
      </c>
      <c r="BM94" s="4">
        <v>38061.516427358649</v>
      </c>
      <c r="BN94" s="4">
        <v>38661.517884696914</v>
      </c>
      <c r="BO94" s="4">
        <v>39264.883161716811</v>
      </c>
      <c r="BP94" s="4">
        <v>39871.536953865158</v>
      </c>
      <c r="BQ94" s="4">
        <v>40481.403454735701</v>
      </c>
      <c r="BR94" s="4">
        <v>41094.406394271151</v>
      </c>
      <c r="BS94" s="4">
        <v>41710.469076654597</v>
      </c>
      <c r="BT94" s="4">
        <v>42329.514417865656</v>
      </c>
      <c r="BU94" s="4">
        <v>42951.464982877747</v>
      </c>
    </row>
    <row r="95" spans="1:73" x14ac:dyDescent="0.25">
      <c r="A95" s="3" t="s">
        <v>98</v>
      </c>
      <c r="B95" s="3" t="str">
        <f>VLOOKUP(A95,'storage capacity'!$A$2:$C$195,3,FALSE)</f>
        <v>Other eurasia</v>
      </c>
      <c r="C95" s="4">
        <v>61453.533333333209</v>
      </c>
      <c r="D95" s="4">
        <v>66550.421569600454</v>
      </c>
      <c r="E95" s="4">
        <v>72014.843906182505</v>
      </c>
      <c r="F95" s="4">
        <v>77868.816235762875</v>
      </c>
      <c r="G95" s="4">
        <v>84135.350357720163</v>
      </c>
      <c r="H95" s="4">
        <v>90838.478755875607</v>
      </c>
      <c r="I95" s="4">
        <v>98003.278856722871</v>
      </c>
      <c r="J95" s="4">
        <v>105655.89669813169</v>
      </c>
      <c r="K95" s="4">
        <v>113823.56993783204</v>
      </c>
      <c r="L95" s="4">
        <v>122534.65013050419</v>
      </c>
      <c r="M95" s="4">
        <v>131818.6242020285</v>
      </c>
      <c r="N95" s="4">
        <v>141706.13504939227</v>
      </c>
      <c r="O95" s="4">
        <v>152229.00119491169</v>
      </c>
      <c r="P95" s="4">
        <v>163420.23542381087</v>
      </c>
      <c r="Q95" s="4">
        <v>175314.06233480645</v>
      </c>
      <c r="R95" s="4">
        <v>187945.93473417862</v>
      </c>
      <c r="S95" s="4">
        <v>201352.54880486755</v>
      </c>
      <c r="T95" s="4">
        <v>215571.85798341638</v>
      </c>
      <c r="U95" s="4">
        <v>230643.08547908964</v>
      </c>
      <c r="V95" s="4">
        <v>246606.73537122225</v>
      </c>
      <c r="W95" s="4">
        <v>263504.60222280078</v>
      </c>
      <c r="X95" s="4">
        <v>281379.7791504382</v>
      </c>
      <c r="Y95" s="4">
        <v>300276.66429327015</v>
      </c>
      <c r="Z95" s="4">
        <v>320240.96562587237</v>
      </c>
      <c r="AA95" s="4">
        <v>341319.70406306465</v>
      </c>
      <c r="AB95" s="4">
        <v>363561.2148074219</v>
      </c>
      <c r="AC95" s="4">
        <v>387015.14689344651</v>
      </c>
      <c r="AD95" s="4">
        <v>411732.46088566293</v>
      </c>
      <c r="AE95" s="4">
        <v>437765.42469136073</v>
      </c>
      <c r="AF95" s="4">
        <v>465167.60745232954</v>
      </c>
      <c r="AG95" s="4">
        <v>493993.87148368679</v>
      </c>
      <c r="AH95" s="4">
        <v>524300.36223178392</v>
      </c>
      <c r="AI95" s="4">
        <v>556144.49622717709</v>
      </c>
      <c r="AJ95" s="4">
        <v>589584.94701275381</v>
      </c>
      <c r="AK95" s="4">
        <v>624681.6290313038</v>
      </c>
      <c r="AL95" s="4">
        <v>661495.67946109292</v>
      </c>
      <c r="AM95" s="4">
        <v>700089.43799234065</v>
      </c>
      <c r="AN95" s="4">
        <v>740526.42454188783</v>
      </c>
      <c r="AO95" s="4">
        <v>782871.31490776862</v>
      </c>
      <c r="AP95" s="4">
        <v>827189.91436984949</v>
      </c>
      <c r="AQ95" s="4">
        <v>873549.1292471576</v>
      </c>
      <c r="AR95" s="4">
        <v>922016.9364269753</v>
      </c>
      <c r="AS95" s="4">
        <v>972662.3508852144</v>
      </c>
      <c r="AT95" s="4">
        <v>1025555.3912219895</v>
      </c>
      <c r="AU95" s="4">
        <v>1080767.0432406708</v>
      </c>
      <c r="AV95" s="4">
        <v>1138369.2216029991</v>
      </c>
      <c r="AW95" s="4">
        <v>1198434.7295970793</v>
      </c>
      <c r="AX95" s="4">
        <v>1261037.2170592186</v>
      </c>
      <c r="AY95" s="4">
        <v>1326251.1364946261</v>
      </c>
      <c r="AZ95" s="4">
        <v>1394151.6974459467</v>
      </c>
      <c r="BA95" s="4">
        <v>1464814.8191624251</v>
      </c>
      <c r="BB95" s="4">
        <v>1538317.0816262004</v>
      </c>
      <c r="BC95" s="4">
        <v>1614735.6749957993</v>
      </c>
      <c r="BD95" s="4">
        <v>1694148.3475303065</v>
      </c>
      <c r="BE95" s="4">
        <v>1776633.3520609548</v>
      </c>
      <c r="BF95" s="4">
        <v>1862269.3910799713</v>
      </c>
      <c r="BG95" s="4">
        <v>1951135.5605194401</v>
      </c>
      <c r="BH95" s="4">
        <v>2043311.2922956799</v>
      </c>
      <c r="BI95" s="4">
        <v>2138876.2956972006</v>
      </c>
      <c r="BJ95" s="4">
        <v>2237910.4976966651</v>
      </c>
      <c r="BK95" s="4">
        <v>2340493.9822694543</v>
      </c>
      <c r="BL95" s="4">
        <v>2446706.9288034015</v>
      </c>
      <c r="BM95" s="4">
        <v>2556629.5496860398</v>
      </c>
      <c r="BN95" s="4">
        <v>2670342.0271572513</v>
      </c>
      <c r="BO95" s="4">
        <v>2787924.4495165758</v>
      </c>
      <c r="BP95" s="4">
        <v>2909456.746775568</v>
      </c>
      <c r="BQ95" s="4">
        <v>3035018.6258465364</v>
      </c>
      <c r="BR95" s="4">
        <v>3164689.5053597055</v>
      </c>
      <c r="BS95" s="4">
        <v>3298548.4502013745</v>
      </c>
      <c r="BT95" s="4">
        <v>3436674.1058659297</v>
      </c>
      <c r="BU95" s="4">
        <v>3579144.6327146892</v>
      </c>
    </row>
    <row r="96" spans="1:73" x14ac:dyDescent="0.25">
      <c r="A96" s="3" t="s">
        <v>99</v>
      </c>
      <c r="B96" s="3" t="str">
        <f>VLOOKUP(A96,'storage capacity'!$A$2:$C$195,3,FALSE)</f>
        <v>Middle east</v>
      </c>
      <c r="C96" s="4">
        <v>24364.466666666674</v>
      </c>
      <c r="D96" s="4">
        <v>23158.425566666676</v>
      </c>
      <c r="E96" s="4">
        <v>22023.546921772177</v>
      </c>
      <c r="F96" s="4">
        <v>20955.075644039745</v>
      </c>
      <c r="G96" s="4">
        <v>19948.607541394107</v>
      </c>
      <c r="H96" s="4">
        <v>19000.061177332813</v>
      </c>
      <c r="I96" s="4">
        <v>18105.652155539643</v>
      </c>
      <c r="J96" s="4">
        <v>17261.869606767843</v>
      </c>
      <c r="K96" s="4">
        <v>16465.454676990263</v>
      </c>
      <c r="L96" s="4">
        <v>15713.380835235723</v>
      </c>
      <c r="M96" s="4">
        <v>15002.835836977019</v>
      </c>
      <c r="N96" s="4">
        <v>14331.205194616565</v>
      </c>
      <c r="O96" s="4">
        <v>13696.057020718179</v>
      </c>
      <c r="P96" s="4">
        <v>13095.128122324539</v>
      </c>
      <c r="Q96" s="4">
        <v>12526.311236127402</v>
      </c>
      <c r="R96" s="4">
        <v>11987.64330455398</v>
      </c>
      <c r="S96" s="4">
        <v>11477.294702115183</v>
      </c>
      <c r="T96" s="4">
        <v>10993.559329734713</v>
      </c>
      <c r="U96" s="4">
        <v>10534.845502335633</v>
      </c>
      <c r="V96" s="4">
        <v>10099.667561786377</v>
      </c>
      <c r="W96" s="4">
        <v>9686.6381534758384</v>
      </c>
      <c r="X96" s="4">
        <v>9294.4611103636034</v>
      </c>
      <c r="Y96" s="4">
        <v>8921.9248933961771</v>
      </c>
      <c r="Z96" s="4">
        <v>8567.8965417464224</v>
      </c>
      <c r="AA96" s="4">
        <v>8231.3160904690267</v>
      </c>
      <c r="AB96" s="4">
        <v>7911.191416912392</v>
      </c>
      <c r="AC96" s="4">
        <v>7606.5934806250943</v>
      </c>
      <c r="AD96" s="4">
        <v>7316.6519245773579</v>
      </c>
      <c r="AE96" s="4">
        <v>7040.5510083156532</v>
      </c>
      <c r="AF96" s="4">
        <v>6777.5258462090715</v>
      </c>
      <c r="AG96" s="4">
        <v>6526.8589262545929</v>
      </c>
      <c r="AH96" s="4">
        <v>6287.876887006837</v>
      </c>
      <c r="AI96" s="4">
        <v>6059.9475321066457</v>
      </c>
      <c r="AJ96" s="4">
        <v>5842.47706361982</v>
      </c>
      <c r="AK96" s="4">
        <v>5634.9075169788493</v>
      </c>
      <c r="AL96" s="4">
        <v>5436.7143817611241</v>
      </c>
      <c r="AM96" s="4">
        <v>5247.4043938501909</v>
      </c>
      <c r="AN96" s="4">
        <v>5066.5134857239209</v>
      </c>
      <c r="AO96" s="4">
        <v>4893.604882705773</v>
      </c>
      <c r="AP96" s="4">
        <v>4728.2673340123965</v>
      </c>
      <c r="AQ96" s="4">
        <v>4570.1134683413038</v>
      </c>
      <c r="AR96" s="4">
        <v>4418.77826457423</v>
      </c>
      <c r="AS96" s="4">
        <v>4273.9176289321949</v>
      </c>
      <c r="AT96" s="4">
        <v>4135.2070706136983</v>
      </c>
      <c r="AU96" s="4">
        <v>4002.3404685837422</v>
      </c>
      <c r="AV96" s="4">
        <v>3875.0289227637895</v>
      </c>
      <c r="AW96" s="4">
        <v>3752.9996834061576</v>
      </c>
      <c r="AX96" s="4">
        <v>3635.9951529250388</v>
      </c>
      <c r="AY96" s="4">
        <v>3523.77195490431</v>
      </c>
      <c r="AZ96" s="4">
        <v>3416.1000654130876</v>
      </c>
      <c r="BA96" s="4">
        <v>3312.7620021368948</v>
      </c>
      <c r="BB96" s="4">
        <v>3213.5520671782569</v>
      </c>
      <c r="BC96" s="4">
        <v>3118.2756396982127</v>
      </c>
      <c r="BD96" s="4">
        <v>3026.7485148620881</v>
      </c>
      <c r="BE96" s="4">
        <v>2938.7962858211026</v>
      </c>
      <c r="BF96" s="4">
        <v>2854.2537657080161</v>
      </c>
      <c r="BG96" s="4">
        <v>2772.9644468519036</v>
      </c>
      <c r="BH96" s="4">
        <v>2694.7799946259174</v>
      </c>
      <c r="BI96" s="4">
        <v>2619.5597735341253</v>
      </c>
      <c r="BJ96" s="4">
        <v>2547.1704033205478</v>
      </c>
      <c r="BK96" s="4">
        <v>2477.4853430466483</v>
      </c>
      <c r="BL96" s="4">
        <v>2410.3845012338988</v>
      </c>
      <c r="BM96" s="4">
        <v>2345.7538703067185</v>
      </c>
      <c r="BN96" s="4">
        <v>2283.485183699006</v>
      </c>
      <c r="BO96" s="4">
        <v>2223.4755941055632</v>
      </c>
      <c r="BP96" s="4">
        <v>2165.6273714687086</v>
      </c>
      <c r="BQ96" s="4">
        <v>2109.8476193910847</v>
      </c>
      <c r="BR96" s="4">
        <v>2056.048008758683</v>
      </c>
      <c r="BS96" s="4">
        <v>2004.1445274441323</v>
      </c>
      <c r="BT96" s="4">
        <v>1954.057245039812</v>
      </c>
      <c r="BU96" s="4">
        <v>1905.7100916439333</v>
      </c>
    </row>
    <row r="97" spans="1:73" x14ac:dyDescent="0.25">
      <c r="A97" s="3" t="s">
        <v>100</v>
      </c>
      <c r="B97" s="3" t="str">
        <f>VLOOKUP(A97,'storage capacity'!$A$2:$C$195,3,FALSE)</f>
        <v>Sub-saharan africa</v>
      </c>
      <c r="C97" s="4">
        <v>2897.1333333333314</v>
      </c>
      <c r="D97" s="4">
        <v>3045.2050284162315</v>
      </c>
      <c r="E97" s="4">
        <v>3199.2882314887761</v>
      </c>
      <c r="F97" s="4">
        <v>3359.5490375505942</v>
      </c>
      <c r="G97" s="4">
        <v>3526.1548441635241</v>
      </c>
      <c r="H97" s="4">
        <v>3699.2742381157118</v>
      </c>
      <c r="I97" s="4">
        <v>3879.0768789649342</v>
      </c>
      <c r="J97" s="4">
        <v>4065.7333796135094</v>
      </c>
      <c r="K97" s="4">
        <v>4259.4151840734266</v>
      </c>
      <c r="L97" s="4">
        <v>4460.2944425861915</v>
      </c>
      <c r="M97" s="4">
        <v>4668.5438842673566</v>
      </c>
      <c r="N97" s="4">
        <v>4884.3366874507683</v>
      </c>
      <c r="O97" s="4">
        <v>5107.8463479121838</v>
      </c>
      <c r="P97" s="4">
        <v>5339.2465451561038</v>
      </c>
      <c r="Q97" s="4">
        <v>5578.7110069534274</v>
      </c>
      <c r="R97" s="4">
        <v>5826.4133723208251</v>
      </c>
      <c r="S97" s="4">
        <v>6082.5270531356082</v>
      </c>
      <c r="T97" s="4">
        <v>6347.225094582227</v>
      </c>
      <c r="U97" s="4">
        <v>6620.6800346285245</v>
      </c>
      <c r="V97" s="4">
        <v>6903.0637627313135</v>
      </c>
      <c r="W97" s="4">
        <v>7194.5473779719196</v>
      </c>
      <c r="X97" s="4">
        <v>7495.3010468228822</v>
      </c>
      <c r="Y97" s="4">
        <v>7805.4938607471668</v>
      </c>
      <c r="Z97" s="4">
        <v>8125.2936938309358</v>
      </c>
      <c r="AA97" s="4">
        <v>8454.8670606501692</v>
      </c>
      <c r="AB97" s="4">
        <v>8794.3789745702907</v>
      </c>
      <c r="AC97" s="4">
        <v>9143.9928066763605</v>
      </c>
      <c r="AD97" s="4">
        <v>9503.8701455294049</v>
      </c>
      <c r="AE97" s="4">
        <v>9874.170657942097</v>
      </c>
      <c r="AF97" s="4">
        <v>10255.051950964207</v>
      </c>
      <c r="AG97" s="4">
        <v>10646.669435265127</v>
      </c>
      <c r="AH97" s="4">
        <v>11049.176190097287</v>
      </c>
      <c r="AI97" s="4">
        <v>11462.722830020435</v>
      </c>
      <c r="AJ97" s="4">
        <v>11887.457373562611</v>
      </c>
      <c r="AK97" s="4">
        <v>12323.525113989159</v>
      </c>
      <c r="AL97" s="4">
        <v>12771.068492346376</v>
      </c>
      <c r="AM97" s="4">
        <v>13230.226972941338</v>
      </c>
      <c r="AN97" s="4">
        <v>13701.136921414185</v>
      </c>
      <c r="AO97" s="4">
        <v>14183.931485553525</v>
      </c>
      <c r="AP97" s="4">
        <v>14678.740478999947</v>
      </c>
      <c r="AQ97" s="4">
        <v>15185.690267976584</v>
      </c>
      <c r="AR97" s="4">
        <v>15704.903661179542</v>
      </c>
      <c r="AS97" s="4">
        <v>16236.499802954648</v>
      </c>
      <c r="AT97" s="4">
        <v>16780.594069880532</v>
      </c>
      <c r="AU97" s="4">
        <v>17337.297970871394</v>
      </c>
      <c r="AV97" s="4">
        <v>17906.719050906067</v>
      </c>
      <c r="AW97" s="4">
        <v>18488.960798483218</v>
      </c>
      <c r="AX97" s="4">
        <v>19084.12255689552</v>
      </c>
      <c r="AY97" s="4">
        <v>19692.299439408736</v>
      </c>
      <c r="AZ97" s="4">
        <v>20313.582248424576</v>
      </c>
      <c r="BA97" s="4">
        <v>20948.057398699151</v>
      </c>
      <c r="BB97" s="4">
        <v>21595.806844681803</v>
      </c>
      <c r="BC97" s="4">
        <v>22256.90801203201</v>
      </c>
      <c r="BD97" s="4">
        <v>22931.433733365</v>
      </c>
      <c r="BE97" s="4">
        <v>23619.452188269763</v>
      </c>
      <c r="BF97" s="4">
        <v>24321.026847636113</v>
      </c>
      <c r="BG97" s="4">
        <v>25036.216422320613</v>
      </c>
      <c r="BH97" s="4">
        <v>25765.074816174303</v>
      </c>
      <c r="BI97" s="4">
        <v>26507.651083448534</v>
      </c>
      <c r="BJ97" s="4">
        <v>27263.989390588409</v>
      </c>
      <c r="BK97" s="4">
        <v>28034.128982416987</v>
      </c>
      <c r="BL97" s="4">
        <v>28818.104152706957</v>
      </c>
      <c r="BM97" s="4">
        <v>29615.944219130117</v>
      </c>
      <c r="BN97" s="4">
        <v>30427.673502569061</v>
      </c>
      <c r="BO97" s="4">
        <v>31253.311310769361</v>
      </c>
      <c r="BP97" s="4">
        <v>32092.871926304822</v>
      </c>
      <c r="BQ97" s="4">
        <v>32946.364598822707</v>
      </c>
      <c r="BR97" s="4">
        <v>33813.793541530329</v>
      </c>
      <c r="BS97" s="4">
        <v>34695.157931879316</v>
      </c>
      <c r="BT97" s="4">
        <v>35590.451916398502</v>
      </c>
      <c r="BU97" s="4">
        <v>36499.664619621704</v>
      </c>
    </row>
    <row r="98" spans="1:73" x14ac:dyDescent="0.25">
      <c r="A98" s="3" t="s">
        <v>101</v>
      </c>
      <c r="B98" s="3" t="str">
        <f>VLOOKUP(A98,'storage capacity'!$A$2:$C$195,3,FALSE)</f>
        <v>Sub-saharan africa</v>
      </c>
      <c r="C98" s="4">
        <v>6892.5333333333256</v>
      </c>
      <c r="D98" s="4">
        <v>6892.5333333333256</v>
      </c>
      <c r="E98" s="4">
        <v>6892.5333333333256</v>
      </c>
      <c r="F98" s="4">
        <v>6892.5333333333256</v>
      </c>
      <c r="G98" s="4">
        <v>6892.5333333333256</v>
      </c>
      <c r="H98" s="4">
        <v>6892.5333333333256</v>
      </c>
      <c r="I98" s="4">
        <v>6892.5333333333256</v>
      </c>
      <c r="J98" s="4">
        <v>6892.5333333333256</v>
      </c>
      <c r="K98" s="4">
        <v>6892.5333333333256</v>
      </c>
      <c r="L98" s="4">
        <v>6892.5333333333256</v>
      </c>
      <c r="M98" s="4">
        <v>6892.5333333333256</v>
      </c>
      <c r="N98" s="4">
        <v>6892.5333333333256</v>
      </c>
      <c r="O98" s="4">
        <v>6892.5333333333256</v>
      </c>
      <c r="P98" s="4">
        <v>6892.5333333333256</v>
      </c>
      <c r="Q98" s="4">
        <v>6892.5333333333256</v>
      </c>
      <c r="R98" s="4">
        <v>6892.5333333333256</v>
      </c>
      <c r="S98" s="4">
        <v>6892.5333333333256</v>
      </c>
      <c r="T98" s="4">
        <v>6892.5333333333256</v>
      </c>
      <c r="U98" s="4">
        <v>6892.5333333333256</v>
      </c>
      <c r="V98" s="4">
        <v>6892.5333333333256</v>
      </c>
      <c r="W98" s="4">
        <v>6892.5333333333256</v>
      </c>
      <c r="X98" s="4">
        <v>6892.5333333333256</v>
      </c>
      <c r="Y98" s="4">
        <v>6892.5333333333256</v>
      </c>
      <c r="Z98" s="4">
        <v>6892.5333333333256</v>
      </c>
      <c r="AA98" s="4">
        <v>6892.5333333333256</v>
      </c>
      <c r="AB98" s="4">
        <v>6892.5333333333256</v>
      </c>
      <c r="AC98" s="4">
        <v>6892.5333333333256</v>
      </c>
      <c r="AD98" s="4">
        <v>6892.5333333333256</v>
      </c>
      <c r="AE98" s="4">
        <v>6892.5333333333256</v>
      </c>
      <c r="AF98" s="4">
        <v>6892.5333333333256</v>
      </c>
      <c r="AG98" s="4">
        <v>6892.5333333333256</v>
      </c>
      <c r="AH98" s="4">
        <v>6892.5333333333256</v>
      </c>
      <c r="AI98" s="4">
        <v>6892.5333333333256</v>
      </c>
      <c r="AJ98" s="4">
        <v>6892.5333333333256</v>
      </c>
      <c r="AK98" s="4">
        <v>6892.5333333333256</v>
      </c>
      <c r="AL98" s="4">
        <v>6892.5333333333256</v>
      </c>
      <c r="AM98" s="4">
        <v>6892.5333333333256</v>
      </c>
      <c r="AN98" s="4">
        <v>6892.5333333333256</v>
      </c>
      <c r="AO98" s="4">
        <v>6892.5333333333256</v>
      </c>
      <c r="AP98" s="4">
        <v>6892.5333333333256</v>
      </c>
      <c r="AQ98" s="4">
        <v>6892.5333333333256</v>
      </c>
      <c r="AR98" s="4">
        <v>6892.5333333333256</v>
      </c>
      <c r="AS98" s="4">
        <v>6892.5333333333256</v>
      </c>
      <c r="AT98" s="4">
        <v>6892.5333333333256</v>
      </c>
      <c r="AU98" s="4">
        <v>6892.5333333333256</v>
      </c>
      <c r="AV98" s="4">
        <v>6892.5333333333256</v>
      </c>
      <c r="AW98" s="4">
        <v>6892.5333333333256</v>
      </c>
      <c r="AX98" s="4">
        <v>6892.5333333333256</v>
      </c>
      <c r="AY98" s="4">
        <v>6892.5333333333256</v>
      </c>
      <c r="AZ98" s="4">
        <v>6892.5333333333256</v>
      </c>
      <c r="BA98" s="4">
        <v>6892.5333333333256</v>
      </c>
      <c r="BB98" s="4">
        <v>6892.5333333333256</v>
      </c>
      <c r="BC98" s="4">
        <v>6892.5333333333256</v>
      </c>
      <c r="BD98" s="4">
        <v>6892.5333333333256</v>
      </c>
      <c r="BE98" s="4">
        <v>6892.5333333333256</v>
      </c>
      <c r="BF98" s="4">
        <v>6892.5333333333256</v>
      </c>
      <c r="BG98" s="4">
        <v>6892.5333333333256</v>
      </c>
      <c r="BH98" s="4">
        <v>6892.5333333333256</v>
      </c>
      <c r="BI98" s="4">
        <v>6892.5333333333256</v>
      </c>
      <c r="BJ98" s="4">
        <v>6892.5333333333256</v>
      </c>
      <c r="BK98" s="4">
        <v>6892.5333333333256</v>
      </c>
      <c r="BL98" s="4">
        <v>6892.5333333333256</v>
      </c>
      <c r="BM98" s="4">
        <v>6892.5333333333256</v>
      </c>
      <c r="BN98" s="4">
        <v>6892.5333333333256</v>
      </c>
      <c r="BO98" s="4">
        <v>6892.5333333333256</v>
      </c>
      <c r="BP98" s="4">
        <v>6892.5333333333256</v>
      </c>
      <c r="BQ98" s="4">
        <v>6892.5333333333256</v>
      </c>
      <c r="BR98" s="4">
        <v>6892.5333333333256</v>
      </c>
      <c r="BS98" s="4">
        <v>6892.5333333333256</v>
      </c>
      <c r="BT98" s="4">
        <v>6892.5333333333256</v>
      </c>
      <c r="BU98" s="4">
        <v>6892.5333333333256</v>
      </c>
    </row>
    <row r="99" spans="1:73" x14ac:dyDescent="0.25">
      <c r="A99" s="3" t="s">
        <v>102</v>
      </c>
      <c r="B99" s="3" t="str">
        <f>VLOOKUP(A99,'storage capacity'!$A$2:$C$195,3,FALSE)</f>
        <v>Middle east</v>
      </c>
      <c r="C99" s="4">
        <v>55784.600000000093</v>
      </c>
      <c r="D99" s="4">
        <v>57684.967708929129</v>
      </c>
      <c r="E99" s="4">
        <v>59630.4226091241</v>
      </c>
      <c r="F99" s="4">
        <v>61621.378302580844</v>
      </c>
      <c r="G99" s="4">
        <v>63658.234228064248</v>
      </c>
      <c r="H99" s="4">
        <v>65741.375316648671</v>
      </c>
      <c r="I99" s="4">
        <v>67871.171660904918</v>
      </c>
      <c r="J99" s="4">
        <v>70047.978198061493</v>
      </c>
      <c r="K99" s="4">
        <v>72272.134407442703</v>
      </c>
      <c r="L99" s="4">
        <v>74543.964022460437</v>
      </c>
      <c r="M99" s="4">
        <v>76863.774757410953</v>
      </c>
      <c r="N99" s="4">
        <v>79231.858049302449</v>
      </c>
      <c r="O99" s="4">
        <v>81648.488814913406</v>
      </c>
      <c r="P99" s="4">
        <v>84113.925223256287</v>
      </c>
      <c r="Q99" s="4">
        <v>86628.40848359566</v>
      </c>
      <c r="R99" s="4">
        <v>89192.162649144942</v>
      </c>
      <c r="S99" s="4">
        <v>91805.394436540664</v>
      </c>
      <c r="T99" s="4">
        <v>94468.293061168719</v>
      </c>
      <c r="U99" s="4">
        <v>97181.030088392756</v>
      </c>
      <c r="V99" s="4">
        <v>99943.759300710779</v>
      </c>
      <c r="W99" s="4">
        <v>102756.61658084282</v>
      </c>
      <c r="X99" s="4">
        <v>105619.71981072915</v>
      </c>
      <c r="Y99" s="4">
        <v>108533.1687863964</v>
      </c>
      <c r="Z99" s="4">
        <v>111497.04514862648</v>
      </c>
      <c r="AA99" s="4">
        <v>114511.41232934195</v>
      </c>
      <c r="AB99" s="4">
        <v>117576.31551360116</v>
      </c>
      <c r="AC99" s="4">
        <v>120691.78161707509</v>
      </c>
      <c r="AD99" s="4">
        <v>123857.81927885956</v>
      </c>
      <c r="AE99" s="4">
        <v>127074.41886945677</v>
      </c>
      <c r="AF99" s="4">
        <v>130341.55251374202</v>
      </c>
      <c r="AG99" s="4">
        <v>133659.17412871434</v>
      </c>
      <c r="AH99" s="4">
        <v>137027.21947581269</v>
      </c>
      <c r="AI99" s="4">
        <v>140445.60622756326</v>
      </c>
      <c r="AJ99" s="4">
        <v>143914.2340483086</v>
      </c>
      <c r="AK99" s="4">
        <v>147432.98468875419</v>
      </c>
      <c r="AL99" s="4">
        <v>151001.72209405489</v>
      </c>
      <c r="AM99" s="4">
        <v>154620.2925251502</v>
      </c>
      <c r="AN99" s="4">
        <v>158288.52469304571</v>
      </c>
      <c r="AO99" s="4">
        <v>162006.22990572581</v>
      </c>
      <c r="AP99" s="4">
        <v>165773.20222737317</v>
      </c>
      <c r="AQ99" s="4">
        <v>169589.21864955954</v>
      </c>
      <c r="AR99" s="4">
        <v>173454.0392740643</v>
      </c>
      <c r="AS99" s="4">
        <v>177367.4075069681</v>
      </c>
      <c r="AT99" s="4">
        <v>181329.05026366183</v>
      </c>
      <c r="AU99" s="4">
        <v>185338.67818440424</v>
      </c>
      <c r="AV99" s="4">
        <v>189395.98586005528</v>
      </c>
      <c r="AW99" s="4">
        <v>193500.65206760698</v>
      </c>
      <c r="AX99" s="4">
        <v>197652.34001512936</v>
      </c>
      <c r="AY99" s="4">
        <v>201850.69759574445</v>
      </c>
      <c r="AZ99" s="4">
        <v>206095.35765023855</v>
      </c>
      <c r="BA99" s="4">
        <v>210385.93823792017</v>
      </c>
      <c r="BB99" s="4">
        <v>214722.04291532954</v>
      </c>
      <c r="BC99" s="4">
        <v>219103.26102240378</v>
      </c>
      <c r="BD99" s="4">
        <v>223529.1679757016</v>
      </c>
      <c r="BE99" s="4">
        <v>227999.32556829124</v>
      </c>
      <c r="BF99" s="4">
        <v>232513.28227590598</v>
      </c>
      <c r="BG99" s="4">
        <v>237070.5735689727</v>
      </c>
      <c r="BH99" s="4">
        <v>241670.72223012027</v>
      </c>
      <c r="BI99" s="4">
        <v>246313.2386767774</v>
      </c>
      <c r="BJ99" s="4">
        <v>250997.62128847206</v>
      </c>
      <c r="BK99" s="4">
        <v>255723.35673844721</v>
      </c>
      <c r="BL99" s="4">
        <v>260489.92032921227</v>
      </c>
      <c r="BM99" s="4">
        <v>265296.77633165295</v>
      </c>
      <c r="BN99" s="4">
        <v>270143.3783273272</v>
      </c>
      <c r="BO99" s="4">
        <v>275029.16955357953</v>
      </c>
      <c r="BP99" s="4">
        <v>279953.58325111156</v>
      </c>
      <c r="BQ99" s="4">
        <v>284916.04301365209</v>
      </c>
      <c r="BR99" s="4">
        <v>289915.96313937672</v>
      </c>
      <c r="BS99" s="4">
        <v>294952.74898373144</v>
      </c>
      <c r="BT99" s="4">
        <v>300025.79731332388</v>
      </c>
      <c r="BU99" s="4">
        <v>305134.49666055106</v>
      </c>
    </row>
    <row r="100" spans="1:73" x14ac:dyDescent="0.25">
      <c r="A100" s="3" t="s">
        <v>103</v>
      </c>
      <c r="B100" s="3" t="str">
        <f>VLOOKUP(A100,'storage capacity'!$A$2:$C$195,3,FALSE)</f>
        <v>Other eurasia</v>
      </c>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c r="BN100" s="4"/>
      <c r="BO100" s="4"/>
      <c r="BP100" s="4"/>
      <c r="BQ100" s="4"/>
      <c r="BR100" s="4"/>
      <c r="BS100" s="4"/>
      <c r="BT100" s="4"/>
      <c r="BU100" s="4"/>
    </row>
    <row r="101" spans="1:73" x14ac:dyDescent="0.25">
      <c r="A101" s="3" t="s">
        <v>104</v>
      </c>
      <c r="B101" s="3" t="str">
        <f>VLOOKUP(A101,'storage capacity'!$A$2:$C$195,3,FALSE)</f>
        <v>Other eurasia</v>
      </c>
      <c r="C101" s="4">
        <v>113178.93333333358</v>
      </c>
      <c r="D101" s="4">
        <v>116512.19335523735</v>
      </c>
      <c r="E101" s="4">
        <v>119909.30773412278</v>
      </c>
      <c r="F101" s="4">
        <v>123370.50922315128</v>
      </c>
      <c r="G101" s="4">
        <v>126896.00775459537</v>
      </c>
      <c r="H101" s="4">
        <v>130485.9902786521</v>
      </c>
      <c r="I101" s="4">
        <v>134140.62062276909</v>
      </c>
      <c r="J101" s="4">
        <v>137860.03937144217</v>
      </c>
      <c r="K101" s="4">
        <v>141644.36376641574</v>
      </c>
      <c r="L101" s="4">
        <v>145493.68762718907</v>
      </c>
      <c r="M101" s="4">
        <v>149408.08129170386</v>
      </c>
      <c r="N101" s="4">
        <v>153387.59157706279</v>
      </c>
      <c r="O101" s="4">
        <v>157432.24176010239</v>
      </c>
      <c r="P101" s="4">
        <v>161542.03157761905</v>
      </c>
      <c r="Q101" s="4">
        <v>165716.9372460235</v>
      </c>
      <c r="R101" s="4">
        <v>169956.91150017516</v>
      </c>
      <c r="S101" s="4">
        <v>174261.8836511267</v>
      </c>
      <c r="T101" s="4">
        <v>178631.75966248728</v>
      </c>
      <c r="U101" s="4">
        <v>183066.42224509316</v>
      </c>
      <c r="V101" s="4">
        <v>187565.73096965477</v>
      </c>
      <c r="W101" s="4">
        <v>192129.52239703183</v>
      </c>
      <c r="X101" s="4">
        <v>196757.61022576984</v>
      </c>
      <c r="Y101" s="4">
        <v>201449.78545651623</v>
      </c>
      <c r="Z101" s="4">
        <v>206205.81657291821</v>
      </c>
      <c r="AA101" s="4">
        <v>211025.44973859075</v>
      </c>
      <c r="AB101" s="4">
        <v>215908.40900972945</v>
      </c>
      <c r="AC101" s="4">
        <v>220854.39656293165</v>
      </c>
      <c r="AD101" s="4">
        <v>225863.09293777641</v>
      </c>
      <c r="AE101" s="4">
        <v>230934.15729370585</v>
      </c>
      <c r="AF101" s="4">
        <v>236067.22768073861</v>
      </c>
      <c r="AG101" s="4">
        <v>241261.92132354013</v>
      </c>
      <c r="AH101" s="4">
        <v>246517.83491836573</v>
      </c>
      <c r="AI101" s="4">
        <v>251834.54494238604</v>
      </c>
      <c r="AJ101" s="4">
        <v>257211.60797489982</v>
      </c>
      <c r="AK101" s="4">
        <v>262648.56102993345</v>
      </c>
      <c r="AL101" s="4">
        <v>268144.9218997233</v>
      </c>
      <c r="AM101" s="4">
        <v>273700.18950857414</v>
      </c>
      <c r="AN101" s="4">
        <v>279313.84427658463</v>
      </c>
      <c r="AO101" s="4">
        <v>284985.34849272989</v>
      </c>
      <c r="AP101" s="4">
        <v>290714.14669679059</v>
      </c>
      <c r="AQ101" s="4">
        <v>296499.66606961814</v>
      </c>
      <c r="AR101" s="4">
        <v>302341.31683122722</v>
      </c>
      <c r="AS101" s="4">
        <v>308238.49264620827</v>
      </c>
      <c r="AT101" s="4">
        <v>314190.57103595475</v>
      </c>
      <c r="AU101" s="4">
        <v>320196.91379720409</v>
      </c>
      <c r="AV101" s="4">
        <v>326256.86742639408</v>
      </c>
      <c r="AW101" s="4">
        <v>332369.76354934147</v>
      </c>
      <c r="AX101" s="4">
        <v>338534.91935575416</v>
      </c>
      <c r="AY101" s="4">
        <v>344751.63803809433</v>
      </c>
      <c r="AZ101" s="4">
        <v>351019.20923431567</v>
      </c>
      <c r="BA101" s="4">
        <v>357336.90947400389</v>
      </c>
      <c r="BB101" s="4">
        <v>363704.00262745906</v>
      </c>
      <c r="BC101" s="4">
        <v>370119.74035726156</v>
      </c>
      <c r="BD101" s="4">
        <v>376583.36257187655</v>
      </c>
      <c r="BE101" s="4">
        <v>383094.09788085584</v>
      </c>
      <c r="BF101" s="4">
        <v>389651.16405120696</v>
      </c>
      <c r="BG101" s="4">
        <v>396253.768464508</v>
      </c>
      <c r="BH101" s="4">
        <v>402901.1085743556</v>
      </c>
      <c r="BI101" s="4">
        <v>409592.37236374355</v>
      </c>
      <c r="BJ101" s="4">
        <v>416326.73880197888</v>
      </c>
      <c r="BK101" s="4">
        <v>423103.37830075301</v>
      </c>
      <c r="BL101" s="4">
        <v>429921.45316899539</v>
      </c>
      <c r="BM101" s="4">
        <v>436780.11806614802</v>
      </c>
      <c r="BN101" s="4">
        <v>443678.52045350958</v>
      </c>
      <c r="BO101" s="4">
        <v>450615.80104330846</v>
      </c>
      <c r="BP101" s="4">
        <v>457591.09424517612</v>
      </c>
      <c r="BQ101" s="4">
        <v>464603.52860970172</v>
      </c>
      <c r="BR101" s="4">
        <v>471652.2272687612</v>
      </c>
      <c r="BS101" s="4">
        <v>478736.30837232445</v>
      </c>
      <c r="BT101" s="4">
        <v>485854.8855214566</v>
      </c>
      <c r="BU101" s="4">
        <v>493007.06819723907</v>
      </c>
    </row>
    <row r="102" spans="1:73" x14ac:dyDescent="0.25">
      <c r="A102" s="3" t="s">
        <v>105</v>
      </c>
      <c r="B102" s="3" t="str">
        <f>VLOOKUP(A102,'storage capacity'!$A$2:$C$195,3,FALSE)</f>
        <v>Other eurasia</v>
      </c>
      <c r="C102" s="4">
        <v>119233.86666666716</v>
      </c>
      <c r="D102" s="4">
        <v>126636.68121178792</v>
      </c>
      <c r="E102" s="4">
        <v>134420.48637478609</v>
      </c>
      <c r="F102" s="4">
        <v>142600.10571719348</v>
      </c>
      <c r="G102" s="4">
        <v>151190.68940177059</v>
      </c>
      <c r="H102" s="4">
        <v>160207.71011484452</v>
      </c>
      <c r="I102" s="4">
        <v>169666.95845714325</v>
      </c>
      <c r="J102" s="4">
        <v>179584.53780107328</v>
      </c>
      <c r="K102" s="4">
        <v>189976.85861352351</v>
      </c>
      <c r="L102" s="4">
        <v>200860.63224442361</v>
      </c>
      <c r="M102" s="4">
        <v>212252.86418243841</v>
      </c>
      <c r="N102" s="4">
        <v>224170.84678033501</v>
      </c>
      <c r="O102" s="4">
        <v>236632.15145371511</v>
      </c>
      <c r="P102" s="4">
        <v>249654.62035795639</v>
      </c>
      <c r="Q102" s="4">
        <v>263256.35754935024</v>
      </c>
      <c r="R102" s="4">
        <v>277455.71963755682</v>
      </c>
      <c r="S102" s="4">
        <v>292271.30593761668</v>
      </c>
      <c r="T102" s="4">
        <v>307721.94813085906</v>
      </c>
      <c r="U102" s="4">
        <v>323826.69944512693</v>
      </c>
      <c r="V102" s="4">
        <v>340604.82336579543</v>
      </c>
      <c r="W102" s="4">
        <v>358075.78189008887</v>
      </c>
      <c r="X102" s="4">
        <v>376259.2233381999</v>
      </c>
      <c r="Y102" s="4">
        <v>395174.96973568213</v>
      </c>
      <c r="Z102" s="4">
        <v>414843.00378251693</v>
      </c>
      <c r="AA102" s="4">
        <v>435283.45542514924</v>
      </c>
      <c r="AB102" s="4">
        <v>456516.58804863918</v>
      </c>
      <c r="AC102" s="4">
        <v>478562.78430688736</v>
      </c>
      <c r="AD102" s="4">
        <v>501442.53160965844</v>
      </c>
      <c r="AE102" s="4">
        <v>525176.40728584607</v>
      </c>
      <c r="AF102" s="4">
        <v>549785.06344309659</v>
      </c>
      <c r="AG102" s="4">
        <v>575289.21154452942</v>
      </c>
      <c r="AH102" s="4">
        <v>601709.60672386794</v>
      </c>
      <c r="AI102" s="4">
        <v>629067.03186081105</v>
      </c>
      <c r="AJ102" s="4">
        <v>657382.28143894754</v>
      </c>
      <c r="AK102" s="4">
        <v>686676.14520892804</v>
      </c>
      <c r="AL102" s="4">
        <v>716969.39167997218</v>
      </c>
      <c r="AM102" s="4">
        <v>748282.751463091</v>
      </c>
      <c r="AN102" s="4">
        <v>780636.90048966405</v>
      </c>
      <c r="AO102" s="4">
        <v>814052.44312919944</v>
      </c>
      <c r="AP102" s="4">
        <v>848549.89523025637</v>
      </c>
      <c r="AQ102" s="4">
        <v>884149.66710859293</v>
      </c>
      <c r="AR102" s="4">
        <v>920872.04650664097</v>
      </c>
      <c r="AS102" s="4">
        <v>958737.18154839065</v>
      </c>
      <c r="AT102" s="4">
        <v>997765.06371369911</v>
      </c>
      <c r="AU102" s="4">
        <v>1037975.5108559133</v>
      </c>
      <c r="AV102" s="4">
        <v>1079388.1502865308</v>
      </c>
      <c r="AW102" s="4">
        <v>1122022.4019503985</v>
      </c>
      <c r="AX102" s="4">
        <v>1165897.4617146791</v>
      </c>
      <c r="AY102" s="4">
        <v>1211032.2847945092</v>
      </c>
      <c r="AZ102" s="4">
        <v>1257445.5693379</v>
      </c>
      <c r="BA102" s="4">
        <v>1305155.7401920448</v>
      </c>
      <c r="BB102" s="4">
        <v>1354180.9328727359</v>
      </c>
      <c r="BC102" s="4">
        <v>1404538.9777581277</v>
      </c>
      <c r="BD102" s="4">
        <v>1456247.3845275461</v>
      </c>
      <c r="BE102" s="4">
        <v>1509323.3268654947</v>
      </c>
      <c r="BF102" s="4">
        <v>1563783.6274504145</v>
      </c>
      <c r="BG102" s="4">
        <v>1619644.7432471304</v>
      </c>
      <c r="BH102" s="4">
        <v>1676922.7511212665</v>
      </c>
      <c r="BI102" s="4">
        <v>1735633.3337932236</v>
      </c>
      <c r="BJ102" s="4">
        <v>1795791.7661486196</v>
      </c>
      <c r="BK102" s="4">
        <v>1857412.9019213482</v>
      </c>
      <c r="BL102" s="4">
        <v>1920511.1607646749</v>
      </c>
      <c r="BM102" s="4">
        <v>1985100.5157250043</v>
      </c>
      <c r="BN102" s="4">
        <v>2051194.4811321795</v>
      </c>
      <c r="BO102" s="4">
        <v>2118806.100919365</v>
      </c>
      <c r="BP102" s="4">
        <v>2187947.937384753</v>
      </c>
      <c r="BQ102" s="4">
        <v>2258632.0604065061</v>
      </c>
      <c r="BR102" s="4">
        <v>2330870.0371215204</v>
      </c>
      <c r="BS102" s="4">
        <v>2404672.9220777513</v>
      </c>
      <c r="BT102" s="4">
        <v>2480051.2478690031</v>
      </c>
      <c r="BU102" s="4">
        <v>2557015.016260236</v>
      </c>
    </row>
    <row r="103" spans="1:73" x14ac:dyDescent="0.25">
      <c r="A103" s="3" t="s">
        <v>106</v>
      </c>
      <c r="B103" s="3" t="str">
        <f>VLOOKUP(A103,'storage capacity'!$A$2:$C$195,3,FALSE)</f>
        <v>Sub-saharan africa</v>
      </c>
      <c r="C103" s="4">
        <v>25697.333333333023</v>
      </c>
      <c r="D103" s="4">
        <v>26853.848175738167</v>
      </c>
      <c r="E103" s="4">
        <v>28050.326613878045</v>
      </c>
      <c r="F103" s="4">
        <v>29287.616504290934</v>
      </c>
      <c r="G103" s="4">
        <v>30566.564146888042</v>
      </c>
      <c r="H103" s="4">
        <v>31888.013599789272</v>
      </c>
      <c r="I103" s="4">
        <v>33252.805990056666</v>
      </c>
      <c r="J103" s="4">
        <v>34661.778821304506</v>
      </c>
      <c r="K103" s="4">
        <v>36115.765279168481</v>
      </c>
      <c r="L103" s="4">
        <v>37615.593535617874</v>
      </c>
      <c r="M103" s="4">
        <v>39162.086053093961</v>
      </c>
      <c r="N103" s="4">
        <v>40756.058889454813</v>
      </c>
      <c r="O103" s="4">
        <v>42398.32100470196</v>
      </c>
      <c r="P103" s="4">
        <v>44089.67357045714</v>
      </c>
      <c r="Q103" s="4">
        <v>45830.909283148372</v>
      </c>
      <c r="R103" s="4">
        <v>47622.811681853789</v>
      </c>
      <c r="S103" s="4">
        <v>49466.154471738497</v>
      </c>
      <c r="T103" s="4">
        <v>51361.700854005372</v>
      </c>
      <c r="U103" s="4">
        <v>53310.20286326389</v>
      </c>
      <c r="V103" s="4">
        <v>55312.400713203257</v>
      </c>
      <c r="W103" s="4">
        <v>57369.022151436096</v>
      </c>
      <c r="X103" s="4">
        <v>59480.781824357786</v>
      </c>
      <c r="Y103" s="4">
        <v>61648.380652843545</v>
      </c>
      <c r="Z103" s="4">
        <v>63872.50521958153</v>
      </c>
      <c r="AA103" s="4">
        <v>66153.827168814343</v>
      </c>
      <c r="AB103" s="4">
        <v>68493.002619235005</v>
      </c>
      <c r="AC103" s="4">
        <v>70890.671590755373</v>
      </c>
      <c r="AD103" s="4">
        <v>73347.45744583635</v>
      </c>
      <c r="AE103" s="4">
        <v>75863.966346039204</v>
      </c>
      <c r="AF103" s="4">
        <v>78440.786724426856</v>
      </c>
      <c r="AG103" s="4">
        <v>81078.488774412384</v>
      </c>
      <c r="AH103" s="4">
        <v>83777.6239556199</v>
      </c>
      <c r="AI103" s="4">
        <v>86538.724517290349</v>
      </c>
      <c r="AJ103" s="4">
        <v>89362.303039731341</v>
      </c>
      <c r="AK103" s="4">
        <v>92248.851994276542</v>
      </c>
      <c r="AL103" s="4">
        <v>95198.843322186323</v>
      </c>
      <c r="AM103" s="4">
        <v>98212.728032886735</v>
      </c>
      <c r="AN103" s="4">
        <v>101290.93582190992</v>
      </c>
      <c r="AO103" s="4">
        <v>104433.87470886401</v>
      </c>
      <c r="AP103" s="4">
        <v>107641.9306957267</v>
      </c>
      <c r="AQ103" s="4">
        <v>110915.46744572156</v>
      </c>
      <c r="AR103" s="4">
        <v>114254.82598300237</v>
      </c>
      <c r="AS103" s="4">
        <v>117660.32441333625</v>
      </c>
      <c r="AT103" s="4">
        <v>121132.25766594289</v>
      </c>
      <c r="AU103" s="4">
        <v>124670.89725661337</v>
      </c>
      <c r="AV103" s="4">
        <v>128276.49107219941</v>
      </c>
      <c r="AW103" s="4">
        <v>131949.26317653075</v>
      </c>
      <c r="AX103" s="4">
        <v>135689.41363778699</v>
      </c>
      <c r="AY103" s="4">
        <v>139497.11837731805</v>
      </c>
      <c r="AZ103" s="4">
        <v>143372.5290398772</v>
      </c>
      <c r="BA103" s="4">
        <v>147315.77288519996</v>
      </c>
      <c r="BB103" s="4">
        <v>151326.95270083318</v>
      </c>
      <c r="BC103" s="4">
        <v>155406.14673608972</v>
      </c>
      <c r="BD103" s="4">
        <v>159553.40865697639</v>
      </c>
      <c r="BE103" s="4">
        <v>163768.76752191572</v>
      </c>
      <c r="BF103" s="4">
        <v>168052.22777805658</v>
      </c>
      <c r="BG103" s="4">
        <v>172403.7692779426</v>
      </c>
      <c r="BH103" s="4">
        <v>176823.34731628399</v>
      </c>
      <c r="BI103" s="4">
        <v>181310.89268655446</v>
      </c>
      <c r="BJ103" s="4">
        <v>185866.31175711303</v>
      </c>
      <c r="BK103" s="4">
        <v>190489.48656652906</v>
      </c>
      <c r="BL103" s="4">
        <v>195180.27493776855</v>
      </c>
      <c r="BM103" s="4">
        <v>199938.51061088074</v>
      </c>
      <c r="BN103" s="4">
        <v>204764.00339380527</v>
      </c>
      <c r="BO103" s="4">
        <v>209656.53933090411</v>
      </c>
      <c r="BP103" s="4">
        <v>214615.88088880462</v>
      </c>
      <c r="BQ103" s="4">
        <v>219641.76715912705</v>
      </c>
      <c r="BR103" s="4">
        <v>224733.91407765396</v>
      </c>
      <c r="BS103" s="4">
        <v>229892.01465948747</v>
      </c>
      <c r="BT103" s="4">
        <v>235115.73924972705</v>
      </c>
      <c r="BU103" s="4">
        <v>240404.73578919109</v>
      </c>
    </row>
    <row r="104" spans="1:73" x14ac:dyDescent="0.25">
      <c r="A104" s="3" t="s">
        <v>107</v>
      </c>
      <c r="B104" s="3" t="str">
        <f>VLOOKUP(A104,'storage capacity'!$A$2:$C$195,3,FALSE)</f>
        <v>Sub-saharan africa</v>
      </c>
      <c r="C104" s="4">
        <v>11866.333333333334</v>
      </c>
      <c r="D104" s="4">
        <v>12625.411602139206</v>
      </c>
      <c r="E104" s="4">
        <v>13424.971041401059</v>
      </c>
      <c r="F104" s="4">
        <v>14266.664130677373</v>
      </c>
      <c r="G104" s="4">
        <v>15152.183439664917</v>
      </c>
      <c r="H104" s="4">
        <v>16083.261327066086</v>
      </c>
      <c r="I104" s="4">
        <v>17061.669577478886</v>
      </c>
      <c r="J104" s="4">
        <v>18089.218975672549</v>
      </c>
      <c r="K104" s="4">
        <v>19167.758817741302</v>
      </c>
      <c r="L104" s="4">
        <v>20299.176358760738</v>
      </c>
      <c r="M104" s="4">
        <v>21485.396196705406</v>
      </c>
      <c r="N104" s="4">
        <v>22728.379592521713</v>
      </c>
      <c r="O104" s="4">
        <v>24030.123726387406</v>
      </c>
      <c r="P104" s="4">
        <v>25392.66089032637</v>
      </c>
      <c r="Q104" s="4">
        <v>26818.057617485658</v>
      </c>
      <c r="R104" s="4">
        <v>28308.413748519688</v>
      </c>
      <c r="S104" s="4">
        <v>29865.861435663955</v>
      </c>
      <c r="T104" s="4">
        <v>31492.564085217349</v>
      </c>
      <c r="U104" s="4">
        <v>33190.71523928731</v>
      </c>
      <c r="V104" s="4">
        <v>34962.537397785854</v>
      </c>
      <c r="W104" s="4">
        <v>36810.280781795569</v>
      </c>
      <c r="X104" s="4">
        <v>38736.222039554108</v>
      </c>
      <c r="Y104" s="4">
        <v>40742.662896431306</v>
      </c>
      <c r="Z104" s="4">
        <v>42831.928750396153</v>
      </c>
      <c r="AA104" s="4">
        <v>45006.36721458994</v>
      </c>
      <c r="AB104" s="4">
        <v>47268.346608737302</v>
      </c>
      <c r="AC104" s="4">
        <v>49620.254401237849</v>
      </c>
      <c r="AD104" s="4">
        <v>52064.495603887684</v>
      </c>
      <c r="AE104" s="4">
        <v>54603.491121281862</v>
      </c>
      <c r="AF104" s="4">
        <v>57239.676057045443</v>
      </c>
      <c r="AG104" s="4">
        <v>59975.497979132226</v>
      </c>
      <c r="AH104" s="4">
        <v>62813.415146516229</v>
      </c>
      <c r="AI104" s="4">
        <v>65755.894699680692</v>
      </c>
      <c r="AJ104" s="4">
        <v>68805.410817384283</v>
      </c>
      <c r="AK104" s="4">
        <v>71964.442842251708</v>
      </c>
      <c r="AL104" s="4">
        <v>75235.473377798582</v>
      </c>
      <c r="AM104" s="4">
        <v>78620.986359555565</v>
      </c>
      <c r="AN104" s="4">
        <v>82123.465103006747</v>
      </c>
      <c r="AO104" s="4">
        <v>85745.390331099581</v>
      </c>
      <c r="AP104" s="4">
        <v>89489.23818412071</v>
      </c>
      <c r="AQ104" s="4">
        <v>93357.478214761461</v>
      </c>
      <c r="AR104" s="4">
        <v>97352.571371220489</v>
      </c>
      <c r="AS104" s="4">
        <v>101476.96797120792</v>
      </c>
      <c r="AT104" s="4">
        <v>105733.10566972586</v>
      </c>
      <c r="AU104" s="4">
        <v>110123.40742350396</v>
      </c>
      <c r="AV104" s="4">
        <v>114650.27945496686</v>
      </c>
      <c r="AW104" s="4">
        <v>119316.10921860157</v>
      </c>
      <c r="AX104" s="4">
        <v>124123.26337257803</v>
      </c>
      <c r="AY104" s="4">
        <v>129074.08575845622</v>
      </c>
      <c r="AZ104" s="4">
        <v>134170.89539178551</v>
      </c>
      <c r="BA104" s="4">
        <v>139415.98446637121</v>
      </c>
      <c r="BB104" s="4">
        <v>144811.61637494402</v>
      </c>
      <c r="BC104" s="4">
        <v>150360.02374892627</v>
      </c>
      <c r="BD104" s="4">
        <v>156063.40651993983</v>
      </c>
      <c r="BE104" s="4">
        <v>161923.93000564782</v>
      </c>
      <c r="BF104" s="4">
        <v>167943.72302246399</v>
      </c>
      <c r="BG104" s="4">
        <v>174124.87602760128</v>
      </c>
      <c r="BH104" s="4">
        <v>180469.43929286464</v>
      </c>
      <c r="BI104" s="4">
        <v>186979.42111252205</v>
      </c>
      <c r="BJ104" s="4">
        <v>193656.78604751301</v>
      </c>
      <c r="BK104" s="4">
        <v>200503.45320817639</v>
      </c>
      <c r="BL104" s="4">
        <v>207521.29457759674</v>
      </c>
      <c r="BM104" s="4">
        <v>214712.13337758559</v>
      </c>
      <c r="BN104" s="4">
        <v>222077.74247922492</v>
      </c>
      <c r="BO104" s="4">
        <v>229619.84285981191</v>
      </c>
      <c r="BP104" s="4">
        <v>237340.10210795092</v>
      </c>
      <c r="BQ104" s="4">
        <v>245240.13297844553</v>
      </c>
      <c r="BR104" s="4">
        <v>253321.49199854652</v>
      </c>
      <c r="BS104" s="4">
        <v>261585.6781270158</v>
      </c>
      <c r="BT104" s="4">
        <v>270034.13146736624</v>
      </c>
      <c r="BU104" s="4">
        <v>278668.23203653953</v>
      </c>
    </row>
    <row r="105" spans="1:73" x14ac:dyDescent="0.25">
      <c r="A105" s="3" t="s">
        <v>108</v>
      </c>
      <c r="B105" s="3" t="str">
        <f>VLOOKUP(A105,'storage capacity'!$A$2:$C$195,3,FALSE)</f>
        <v>Country specific</v>
      </c>
      <c r="C105" s="4">
        <v>646078.46666666865</v>
      </c>
      <c r="D105" s="4">
        <v>694354.04861799185</v>
      </c>
      <c r="E105" s="4">
        <v>745717.99902285694</v>
      </c>
      <c r="F105" s="4">
        <v>800329.89646929805</v>
      </c>
      <c r="G105" s="4">
        <v>858355.12711105286</v>
      </c>
      <c r="H105" s="4">
        <v>919964.96062901337</v>
      </c>
      <c r="I105" s="4">
        <v>985336.62022974156</v>
      </c>
      <c r="J105" s="4">
        <v>1054653.3463634104</v>
      </c>
      <c r="K105" s="4">
        <v>1128104.4538511203</v>
      </c>
      <c r="L105" s="4">
        <v>1205885.3821201753</v>
      </c>
      <c r="M105" s="4">
        <v>1288197.7382555692</v>
      </c>
      <c r="N105" s="4">
        <v>1375249.3325866121</v>
      </c>
      <c r="O105" s="4">
        <v>1467254.2065392863</v>
      </c>
      <c r="P105" s="4">
        <v>1564432.6524975356</v>
      </c>
      <c r="Q105" s="4">
        <v>1667011.2254302292</v>
      </c>
      <c r="R105" s="4">
        <v>1775222.7460549602</v>
      </c>
      <c r="S105" s="4">
        <v>1889306.2953250939</v>
      </c>
      <c r="T105" s="4">
        <v>2009507.2000425446</v>
      </c>
      <c r="U105" s="4">
        <v>2136077.0094155581</v>
      </c>
      <c r="V105" s="4">
        <v>2269273.4623982888</v>
      </c>
      <c r="W105" s="4">
        <v>2409360.4456671043</v>
      </c>
      <c r="X105" s="4">
        <v>2556607.9421072933</v>
      </c>
      <c r="Y105" s="4">
        <v>2711291.9697031179</v>
      </c>
      <c r="Z105" s="4">
        <v>2873694.5107439021</v>
      </c>
      <c r="AA105" s="4">
        <v>3044103.431278992</v>
      </c>
      <c r="AB105" s="4">
        <v>3222812.3907749197</v>
      </c>
      <c r="AC105" s="4">
        <v>3410120.7419488952</v>
      </c>
      <c r="AD105" s="4">
        <v>3606333.4207737353</v>
      </c>
      <c r="AE105" s="4">
        <v>3811760.8266704991</v>
      </c>
      <c r="AF105" s="4">
        <v>4026718.6929263286</v>
      </c>
      <c r="AG105" s="4">
        <v>4251527.9473962551</v>
      </c>
      <c r="AH105" s="4">
        <v>4486514.5635689478</v>
      </c>
      <c r="AI105" s="4">
        <v>4732009.4020974711</v>
      </c>
      <c r="AJ105" s="4">
        <v>4988348.042917056</v>
      </c>
      <c r="AK105" s="4">
        <v>5255870.6080925837</v>
      </c>
      <c r="AL105" s="4">
        <v>5534921.5755588608</v>
      </c>
      <c r="AM105" s="4">
        <v>5825849.5839368086</v>
      </c>
      <c r="AN105" s="4">
        <v>6129007.2286283094</v>
      </c>
      <c r="AO105" s="4">
        <v>6444750.8494115695</v>
      </c>
      <c r="AP105" s="4">
        <v>6773440.3097775141</v>
      </c>
      <c r="AQ105" s="4">
        <v>7115438.7682657167</v>
      </c>
      <c r="AR105" s="4">
        <v>7471112.4420758067</v>
      </c>
      <c r="AS105" s="4">
        <v>7840830.3632470071</v>
      </c>
      <c r="AT105" s="4">
        <v>8224964.1277144542</v>
      </c>
      <c r="AU105" s="4">
        <v>8623887.6375662182</v>
      </c>
      <c r="AV105" s="4">
        <v>9037976.8368393723</v>
      </c>
      <c r="AW105" s="4">
        <v>9467609.4412070699</v>
      </c>
      <c r="AX105" s="4">
        <v>9913164.6619213354</v>
      </c>
      <c r="AY105" s="4">
        <v>10375022.92438812</v>
      </c>
      <c r="AZ105" s="4">
        <v>10853565.581762118</v>
      </c>
      <c r="BA105" s="4">
        <v>11349174.623958798</v>
      </c>
      <c r="BB105" s="4">
        <v>11862232.382490166</v>
      </c>
      <c r="BC105" s="4">
        <v>12393121.23153878</v>
      </c>
      <c r="BD105" s="4">
        <v>12942223.285691667</v>
      </c>
      <c r="BE105" s="4">
        <v>13509920.094761796</v>
      </c>
      <c r="BF105" s="4">
        <v>14096592.336129868</v>
      </c>
      <c r="BG105" s="4">
        <v>14702619.505043244</v>
      </c>
      <c r="BH105" s="4">
        <v>15328379.603311872</v>
      </c>
      <c r="BI105" s="4">
        <v>15974248.826843185</v>
      </c>
      <c r="BJ105" s="4">
        <v>16640601.252458962</v>
      </c>
      <c r="BK105" s="4">
        <v>17327808.524437305</v>
      </c>
      <c r="BL105" s="4">
        <v>18036239.541221946</v>
      </c>
      <c r="BM105" s="4">
        <v>18766260.142739318</v>
      </c>
      <c r="BN105" s="4">
        <v>19518232.7987611</v>
      </c>
      <c r="BO105" s="4">
        <v>20292516.298746165</v>
      </c>
      <c r="BP105" s="4">
        <v>21089465.443591464</v>
      </c>
      <c r="BQ105" s="4">
        <v>21909430.739715815</v>
      </c>
      <c r="BR105" s="4">
        <v>22752758.09589437</v>
      </c>
      <c r="BS105" s="4">
        <v>23619788.523254503</v>
      </c>
      <c r="BT105" s="4">
        <v>24510857.83883594</v>
      </c>
      <c r="BU105" s="4">
        <v>25426296.373109426</v>
      </c>
    </row>
    <row r="106" spans="1:73" x14ac:dyDescent="0.25">
      <c r="A106" s="3" t="s">
        <v>109</v>
      </c>
      <c r="B106" s="3" t="str">
        <f>VLOOKUP(A106,'storage capacity'!$A$2:$C$195,3,FALSE)</f>
        <v>Other Asia pacific</v>
      </c>
      <c r="C106" s="4">
        <v>10657.399999999907</v>
      </c>
      <c r="D106" s="4">
        <v>10893.292311232039</v>
      </c>
      <c r="E106" s="4">
        <v>11131.994758472596</v>
      </c>
      <c r="F106" s="4">
        <v>11373.488511916525</v>
      </c>
      <c r="G106" s="4">
        <v>11617.753823317216</v>
      </c>
      <c r="H106" s="4">
        <v>11864.770040894724</v>
      </c>
      <c r="I106" s="4">
        <v>12114.515624755013</v>
      </c>
      <c r="J106" s="4">
        <v>12366.968162797148</v>
      </c>
      <c r="K106" s="4">
        <v>12622.104387085195</v>
      </c>
      <c r="L106" s="4">
        <v>12879.900190661561</v>
      </c>
      <c r="M106" s="4">
        <v>13140.330644778391</v>
      </c>
      <c r="N106" s="4">
        <v>13403.37001652373</v>
      </c>
      <c r="O106" s="4">
        <v>13668.991786819102</v>
      </c>
      <c r="P106" s="4">
        <v>13937.168668765271</v>
      </c>
      <c r="Q106" s="4">
        <v>14207.872626313037</v>
      </c>
      <c r="R106" s="4">
        <v>14481.074893236027</v>
      </c>
      <c r="S106" s="4">
        <v>14756.745992382621</v>
      </c>
      <c r="T106" s="4">
        <v>15034.855755184335</v>
      </c>
      <c r="U106" s="4">
        <v>15315.373341398177</v>
      </c>
      <c r="V106" s="4">
        <v>15598.26725906076</v>
      </c>
      <c r="W106" s="4">
        <v>15883.505384632192</v>
      </c>
      <c r="X106" s="4">
        <v>16171.054983308073</v>
      </c>
      <c r="Y106" s="4">
        <v>16460.882729478242</v>
      </c>
      <c r="Z106" s="4">
        <v>16752.954727311208</v>
      </c>
      <c r="AA106" s="4">
        <v>17047.236531443621</v>
      </c>
      <c r="AB106" s="4">
        <v>17343.69316775442</v>
      </c>
      <c r="AC106" s="4">
        <v>17642.289154203772</v>
      </c>
      <c r="AD106" s="4">
        <v>17942.98852171727</v>
      </c>
      <c r="AE106" s="4">
        <v>18245.754835096268</v>
      </c>
      <c r="AF106" s="4">
        <v>18550.551213935691</v>
      </c>
      <c r="AG106" s="4">
        <v>18857.340353531104</v>
      </c>
      <c r="AH106" s="4">
        <v>19166.084545757258</v>
      </c>
      <c r="AI106" s="4">
        <v>19476.745699900814</v>
      </c>
      <c r="AJ106" s="4">
        <v>19789.285363430412</v>
      </c>
      <c r="AK106" s="4">
        <v>20103.664742687753</v>
      </c>
      <c r="AL106" s="4">
        <v>20419.84472348385</v>
      </c>
      <c r="AM106" s="4">
        <v>20737.785891585048</v>
      </c>
      <c r="AN106" s="4">
        <v>21057.448553074057</v>
      </c>
      <c r="AO106" s="4">
        <v>21378.792754571536</v>
      </c>
      <c r="AP106" s="4">
        <v>21701.778303304502</v>
      </c>
      <c r="AQ106" s="4">
        <v>22026.364787008195</v>
      </c>
      <c r="AR106" s="4">
        <v>22352.511593648556</v>
      </c>
      <c r="AS106" s="4">
        <v>22680.177930953138</v>
      </c>
      <c r="AT106" s="4">
        <v>23009.322845738534</v>
      </c>
      <c r="AU106" s="4">
        <v>23339.90524302319</v>
      </c>
      <c r="AV106" s="4">
        <v>23671.883904914735</v>
      </c>
      <c r="AW106" s="4">
        <v>24005.217509261704</v>
      </c>
      <c r="AX106" s="4">
        <v>24339.864648059793</v>
      </c>
      <c r="AY106" s="4">
        <v>24675.783845603521</v>
      </c>
      <c r="AZ106" s="4">
        <v>25012.933576374518</v>
      </c>
      <c r="BA106" s="4">
        <v>25351.272282658181</v>
      </c>
      <c r="BB106" s="4">
        <v>25690.758391880987</v>
      </c>
      <c r="BC106" s="4">
        <v>26031.350333661157</v>
      </c>
      <c r="BD106" s="4">
        <v>26373.006556565906</v>
      </c>
      <c r="BE106" s="4">
        <v>26715.685544568918</v>
      </c>
      <c r="BF106" s="4">
        <v>27059.345833202224</v>
      </c>
      <c r="BG106" s="4">
        <v>27403.946025397014</v>
      </c>
      <c r="BH106" s="4">
        <v>27749.444807008491</v>
      </c>
      <c r="BI106" s="4">
        <v>28095.800962020177</v>
      </c>
      <c r="BJ106" s="4">
        <v>28442.973387423583</v>
      </c>
      <c r="BK106" s="4">
        <v>28790.921107769598</v>
      </c>
      <c r="BL106" s="4">
        <v>29139.603289388291</v>
      </c>
      <c r="BM106" s="4">
        <v>29488.979254274262</v>
      </c>
      <c r="BN106" s="4">
        <v>29839.00849363505</v>
      </c>
      <c r="BO106" s="4">
        <v>30189.650681100571</v>
      </c>
      <c r="BP106" s="4">
        <v>30540.865685591762</v>
      </c>
      <c r="BQ106" s="4">
        <v>30892.61358384712</v>
      </c>
      <c r="BR106" s="4">
        <v>31244.85467260614</v>
      </c>
      <c r="BS106" s="4">
        <v>31597.549480448917</v>
      </c>
      <c r="BT106" s="4">
        <v>31950.658779291633</v>
      </c>
      <c r="BU106" s="4">
        <v>32304.143595537855</v>
      </c>
    </row>
    <row r="107" spans="1:73" x14ac:dyDescent="0.25">
      <c r="A107" s="3" t="s">
        <v>110</v>
      </c>
      <c r="B107" s="3" t="str">
        <f>VLOOKUP(A107,'storage capacity'!$A$2:$C$195,3,FALSE)</f>
        <v>Sub-saharan africa</v>
      </c>
      <c r="C107" s="4">
        <v>30893.799999999814</v>
      </c>
      <c r="D107" s="4">
        <v>32999.306615844122</v>
      </c>
      <c r="E107" s="4">
        <v>35225.819890804007</v>
      </c>
      <c r="F107" s="4">
        <v>37578.791998856061</v>
      </c>
      <c r="G107" s="4">
        <v>40063.833687159662</v>
      </c>
      <c r="H107" s="4">
        <v>42686.714538140601</v>
      </c>
      <c r="I107" s="4">
        <v>45453.363016101146</v>
      </c>
      <c r="J107" s="4">
        <v>48369.866293001978</v>
      </c>
      <c r="K107" s="4">
        <v>51442.469848471686</v>
      </c>
      <c r="L107" s="4">
        <v>54677.576839528454</v>
      </c>
      <c r="M107" s="4">
        <v>58081.747235945164</v>
      </c>
      <c r="N107" s="4">
        <v>61661.696717651619</v>
      </c>
      <c r="O107" s="4">
        <v>65424.295331045185</v>
      </c>
      <c r="P107" s="4">
        <v>69376.565901571492</v>
      </c>
      <c r="Q107" s="4">
        <v>73525.682200439434</v>
      </c>
      <c r="R107" s="4">
        <v>77878.966863847003</v>
      </c>
      <c r="S107" s="4">
        <v>82443.889063615483</v>
      </c>
      <c r="T107" s="4">
        <v>87228.061928657597</v>
      </c>
      <c r="U107" s="4">
        <v>92239.239717238321</v>
      </c>
      <c r="V107" s="4">
        <v>97485.314740523812</v>
      </c>
      <c r="W107" s="4">
        <v>102974.31403845268</v>
      </c>
      <c r="X107" s="4">
        <v>108714.3958095027</v>
      </c>
      <c r="Y107" s="4">
        <v>114713.84559646394</v>
      </c>
      <c r="Z107" s="4">
        <v>120981.0722308634</v>
      </c>
      <c r="AA107" s="4">
        <v>127524.60353921642</v>
      </c>
      <c r="AB107" s="4">
        <v>134353.08181480388</v>
      </c>
      <c r="AC107" s="4">
        <v>141475.2590591895</v>
      </c>
      <c r="AD107" s="4">
        <v>148899.9919981987</v>
      </c>
      <c r="AE107" s="4">
        <v>156636.23687757552</v>
      </c>
      <c r="AF107" s="4">
        <v>164693.04404401794</v>
      </c>
      <c r="AG107" s="4">
        <v>173079.55231776176</v>
      </c>
      <c r="AH107" s="4">
        <v>181804.98316333789</v>
      </c>
      <c r="AI107" s="4">
        <v>190878.63466556647</v>
      </c>
      <c r="AJ107" s="4">
        <v>200309.87531827352</v>
      </c>
      <c r="AK107" s="4">
        <v>210108.13763361776</v>
      </c>
      <c r="AL107" s="4">
        <v>220282.91158029935</v>
      </c>
      <c r="AM107" s="4">
        <v>230843.73785928541</v>
      </c>
      <c r="AN107" s="4">
        <v>241800.20102602849</v>
      </c>
      <c r="AO107" s="4">
        <v>253161.92246847448</v>
      </c>
      <c r="AP107" s="4">
        <v>264938.55325045297</v>
      </c>
      <c r="AQ107" s="4">
        <v>277139.76683031645</v>
      </c>
      <c r="AR107" s="4">
        <v>289775.2516649451</v>
      </c>
      <c r="AS107" s="4">
        <v>302854.70370945754</v>
      </c>
      <c r="AT107" s="4">
        <v>316387.8188231698</v>
      </c>
      <c r="AU107" s="4">
        <v>330384.28509251913</v>
      </c>
      <c r="AV107" s="4">
        <v>344853.77508181916</v>
      </c>
      <c r="AW107" s="4">
        <v>359805.93802283844</v>
      </c>
      <c r="AX107" s="4">
        <v>375250.39195429237</v>
      </c>
      <c r="AY107" s="4">
        <v>391196.71582241298</v>
      </c>
      <c r="AZ107" s="4">
        <v>407654.44155380968</v>
      </c>
      <c r="BA107" s="4">
        <v>424633.04611185688</v>
      </c>
      <c r="BB107" s="4">
        <v>442141.94354784366</v>
      </c>
      <c r="BC107" s="4">
        <v>460190.47705809458</v>
      </c>
      <c r="BD107" s="4">
        <v>478787.91105822084</v>
      </c>
      <c r="BE107" s="4">
        <v>497943.42328558734</v>
      </c>
      <c r="BF107" s="4">
        <v>517666.09694098512</v>
      </c>
      <c r="BG107" s="4">
        <v>537964.91288037982</v>
      </c>
      <c r="BH107" s="4">
        <v>558848.74186746485</v>
      </c>
      <c r="BI107" s="4">
        <v>580326.33689758682</v>
      </c>
      <c r="BJ107" s="4">
        <v>602406.32560343039</v>
      </c>
      <c r="BK107" s="4">
        <v>625097.20275264338</v>
      </c>
      <c r="BL107" s="4">
        <v>648407.32284736692</v>
      </c>
      <c r="BM107" s="4">
        <v>672344.89283539436</v>
      </c>
      <c r="BN107" s="4">
        <v>696917.9649424277</v>
      </c>
      <c r="BO107" s="4">
        <v>722134.42963462812</v>
      </c>
      <c r="BP107" s="4">
        <v>748002.00872037327</v>
      </c>
      <c r="BQ107" s="4">
        <v>774528.24859982857</v>
      </c>
      <c r="BR107" s="4">
        <v>801720.51367062912</v>
      </c>
      <c r="BS107" s="4">
        <v>829585.97989764193</v>
      </c>
      <c r="BT107" s="4">
        <v>858131.62855443894</v>
      </c>
      <c r="BU107" s="4">
        <v>887364.24014376721</v>
      </c>
    </row>
    <row r="108" spans="1:73" x14ac:dyDescent="0.25">
      <c r="A108" s="3" t="s">
        <v>111</v>
      </c>
      <c r="B108" s="3" t="str">
        <f>VLOOKUP(A108,'storage capacity'!$A$2:$C$195,3,FALSE)</f>
        <v>Other eurasia</v>
      </c>
      <c r="C108" s="4">
        <v>34866.799999999814</v>
      </c>
      <c r="D108" s="4">
        <v>37175.105532218593</v>
      </c>
      <c r="E108" s="4">
        <v>39611.617823086388</v>
      </c>
      <c r="F108" s="4">
        <v>42181.860741897399</v>
      </c>
      <c r="G108" s="4">
        <v>44891.506509580147</v>
      </c>
      <c r="H108" s="4">
        <v>47746.375348801106</v>
      </c>
      <c r="I108" s="4">
        <v>50752.434919302512</v>
      </c>
      <c r="J108" s="4">
        <v>53915.799534624188</v>
      </c>
      <c r="K108" s="4">
        <v>57242.729156789828</v>
      </c>
      <c r="L108" s="4">
        <v>60739.628165982816</v>
      </c>
      <c r="M108" s="4">
        <v>64413.043902694073</v>
      </c>
      <c r="N108" s="4">
        <v>68269.664980292378</v>
      </c>
      <c r="O108" s="4">
        <v>72316.319366445881</v>
      </c>
      <c r="P108" s="4">
        <v>76559.972232309374</v>
      </c>
      <c r="Q108" s="4">
        <v>81007.723568884845</v>
      </c>
      <c r="R108" s="4">
        <v>85666.805570460449</v>
      </c>
      <c r="S108" s="4">
        <v>90544.579785534457</v>
      </c>
      <c r="T108" s="4">
        <v>95648.534036134341</v>
      </c>
      <c r="U108" s="4">
        <v>100986.27910694438</v>
      </c>
      <c r="V108" s="4">
        <v>106565.54520615831</v>
      </c>
      <c r="W108" s="4">
        <v>112394.17820047328</v>
      </c>
      <c r="X108" s="4">
        <v>118480.13562713725</v>
      </c>
      <c r="Y108" s="4">
        <v>124831.48248645174</v>
      </c>
      <c r="Z108" s="4">
        <v>131456.3868186154</v>
      </c>
      <c r="AA108" s="4">
        <v>138363.11506926763</v>
      </c>
      <c r="AB108" s="4">
        <v>145560.02724855635</v>
      </c>
      <c r="AC108" s="4">
        <v>153055.571889007</v>
      </c>
      <c r="AD108" s="4">
        <v>160858.28080791031</v>
      </c>
      <c r="AE108" s="4">
        <v>168976.76368037335</v>
      </c>
      <c r="AF108" s="4">
        <v>177419.70242959022</v>
      </c>
      <c r="AG108" s="4">
        <v>186195.84544128401</v>
      </c>
      <c r="AH108" s="4">
        <v>195314.00160965088</v>
      </c>
      <c r="AI108" s="4">
        <v>204783.03422249714</v>
      </c>
      <c r="AJ108" s="4">
        <v>214611.85469360193</v>
      </c>
      <c r="AK108" s="4">
        <v>224809.41615065979</v>
      </c>
      <c r="AL108" s="4">
        <v>235384.70688745848</v>
      </c>
      <c r="AM108" s="4">
        <v>246346.74368922735</v>
      </c>
      <c r="AN108" s="4">
        <v>257704.56504034976</v>
      </c>
      <c r="AO108" s="4">
        <v>269467.22422386851</v>
      </c>
      <c r="AP108" s="4">
        <v>281643.78232242656</v>
      </c>
      <c r="AQ108" s="4">
        <v>294243.30113047484</v>
      </c>
      <c r="AR108" s="4">
        <v>307274.83598774561</v>
      </c>
      <c r="AS108" s="4">
        <v>320747.42854413227</v>
      </c>
      <c r="AT108" s="4">
        <v>334670.09946623677</v>
      </c>
      <c r="AU108" s="4">
        <v>349051.84109593881</v>
      </c>
      <c r="AV108" s="4">
        <v>363901.61007141566</v>
      </c>
      <c r="AW108" s="4">
        <v>379228.31992108666</v>
      </c>
      <c r="AX108" s="4">
        <v>395040.83364098304</v>
      </c>
      <c r="AY108" s="4">
        <v>411347.95626604313</v>
      </c>
      <c r="AZ108" s="4">
        <v>428158.42744581349</v>
      </c>
      <c r="BA108" s="4">
        <v>445480.91403499106</v>
      </c>
      <c r="BB108" s="4">
        <v>463324.00270917459</v>
      </c>
      <c r="BC108" s="4">
        <v>481696.19261610834</v>
      </c>
      <c r="BD108" s="4">
        <v>500605.88807258918</v>
      </c>
      <c r="BE108" s="4">
        <v>520061.39131708094</v>
      </c>
      <c r="BF108" s="4">
        <v>540070.89532793046</v>
      </c>
      <c r="BG108" s="4">
        <v>560642.47671690991</v>
      </c>
      <c r="BH108" s="4">
        <v>581784.08870762633</v>
      </c>
      <c r="BI108" s="4">
        <v>603503.55420813186</v>
      </c>
      <c r="BJ108" s="4">
        <v>625808.55898684938</v>
      </c>
      <c r="BK108" s="4">
        <v>648706.64496069029</v>
      </c>
      <c r="BL108" s="4">
        <v>672205.20360398886</v>
      </c>
      <c r="BM108" s="4">
        <v>696311.46948661166</v>
      </c>
      <c r="BN108" s="4">
        <v>721032.51394932042</v>
      </c>
      <c r="BO108" s="4">
        <v>746375.23892417469</v>
      </c>
      <c r="BP108" s="4">
        <v>772346.37090745685</v>
      </c>
      <c r="BQ108" s="4">
        <v>798952.45509228809</v>
      </c>
      <c r="BR108" s="4">
        <v>826199.84966777952</v>
      </c>
      <c r="BS108" s="4">
        <v>854094.72029123153</v>
      </c>
      <c r="BT108" s="4">
        <v>882643.03473955137</v>
      </c>
      <c r="BU108" s="4">
        <v>911850.55774571642</v>
      </c>
    </row>
    <row r="109" spans="1:73" x14ac:dyDescent="0.25">
      <c r="A109" s="3" t="s">
        <v>112</v>
      </c>
      <c r="B109" s="3" t="str">
        <f>VLOOKUP(A109,'storage capacity'!$A$2:$C$195,3,FALSE)</f>
        <v>Oceania</v>
      </c>
      <c r="C109" s="4">
        <v>349</v>
      </c>
      <c r="D109" s="4">
        <v>371.0384913745113</v>
      </c>
      <c r="E109" s="4">
        <v>394.23435758038858</v>
      </c>
      <c r="F109" s="4">
        <v>418.63387824611601</v>
      </c>
      <c r="G109" s="4">
        <v>444.28441100553266</v>
      </c>
      <c r="H109" s="4">
        <v>471.23438115097986</v>
      </c>
      <c r="I109" s="4">
        <v>499.53326958156072</v>
      </c>
      <c r="J109" s="4">
        <v>529.2315990337479</v>
      </c>
      <c r="K109" s="4">
        <v>560.38091858517646</v>
      </c>
      <c r="L109" s="4">
        <v>593.03378642611472</v>
      </c>
      <c r="M109" s="4">
        <v>627.24375089680086</v>
      </c>
      <c r="N109" s="4">
        <v>663.0653297925586</v>
      </c>
      <c r="O109" s="4">
        <v>700.553987942351</v>
      </c>
      <c r="P109" s="4">
        <v>739.76611307017879</v>
      </c>
      <c r="Q109" s="4">
        <v>780.75898995247758</v>
      </c>
      <c r="R109" s="4">
        <v>823.59077288839762</v>
      </c>
      <c r="S109" s="4">
        <v>868.32045650354792</v>
      </c>
      <c r="T109" s="4">
        <v>915.00784491145259</v>
      </c>
      <c r="U109" s="4">
        <v>963.71351926057616</v>
      </c>
      <c r="V109" s="4">
        <v>1014.4988036983297</v>
      </c>
      <c r="W109" s="4">
        <v>1067.4257297869456</v>
      </c>
      <c r="X109" s="4">
        <v>1122.5569994095138</v>
      </c>
      <c r="Y109" s="4">
        <v>1179.9559462077743</v>
      </c>
      <c r="Z109" s="4">
        <v>1239.6864955964777</v>
      </c>
      <c r="AA109" s="4">
        <v>1301.8131234022146</v>
      </c>
      <c r="AB109" s="4">
        <v>1366.4008131776091</v>
      </c>
      <c r="AC109" s="4">
        <v>1433.5150122446162</v>
      </c>
      <c r="AD109" s="4">
        <v>1503.2215865233993</v>
      </c>
      <c r="AE109" s="4">
        <v>1575.5867742058408</v>
      </c>
      <c r="AF109" s="4">
        <v>1650.6771383351797</v>
      </c>
      <c r="AG109" s="4">
        <v>1728.5595183555622</v>
      </c>
      <c r="AH109" s="4">
        <v>1809.3009806974187</v>
      </c>
      <c r="AI109" s="4">
        <v>1892.9687684665491</v>
      </c>
      <c r="AJ109" s="4">
        <v>1979.6302503066108</v>
      </c>
      <c r="AK109" s="4">
        <v>2069.3528685063284</v>
      </c>
      <c r="AL109" s="4">
        <v>2162.2040864242199</v>
      </c>
      <c r="AM109" s="4">
        <v>2258.2513353049185</v>
      </c>
      <c r="AN109" s="4">
        <v>2357.5619605622883</v>
      </c>
      <c r="AO109" s="4">
        <v>2460.2031676054667</v>
      </c>
      <c r="AP109" s="4">
        <v>2566.2419672847368</v>
      </c>
      <c r="AQ109" s="4">
        <v>2675.7451210347081</v>
      </c>
      <c r="AR109" s="4">
        <v>2788.7790857927048</v>
      </c>
      <c r="AS109" s="4">
        <v>2905.4099587704868</v>
      </c>
      <c r="AT109" s="4">
        <v>3025.70342215749</v>
      </c>
      <c r="AU109" s="4">
        <v>3149.7246878336719</v>
      </c>
      <c r="AV109" s="4">
        <v>3277.5384421697545</v>
      </c>
      <c r="AW109" s="4">
        <v>3409.2087909922257</v>
      </c>
      <c r="AX109" s="4">
        <v>3544.7992047898429</v>
      </c>
      <c r="AY109" s="4">
        <v>3684.3724642376346</v>
      </c>
      <c r="AZ109" s="4">
        <v>3827.9906061134557</v>
      </c>
      <c r="BA109" s="4">
        <v>3975.7148696811059</v>
      </c>
      <c r="BB109" s="4">
        <v>4127.6056436127956</v>
      </c>
      <c r="BC109" s="4">
        <v>4283.7224135224069</v>
      </c>
      <c r="BD109" s="4">
        <v>4444.1237101795023</v>
      </c>
      <c r="BE109" s="4">
        <v>4608.8670584724341</v>
      </c>
      <c r="BF109" s="4">
        <v>4778.0089271871739</v>
      </c>
      <c r="BG109" s="4">
        <v>4951.6046796666405</v>
      </c>
      <c r="BH109" s="4">
        <v>5129.7085254133408</v>
      </c>
      <c r="BI109" s="4">
        <v>5312.3734726961056</v>
      </c>
      <c r="BJ109" s="4">
        <v>5499.6512822195264</v>
      </c>
      <c r="BK109" s="4">
        <v>5691.5924219124936</v>
      </c>
      <c r="BL109" s="4">
        <v>5888.2460228898926</v>
      </c>
      <c r="BM109" s="4">
        <v>6089.6598366391436</v>
      </c>
      <c r="BN109" s="4">
        <v>6295.8801934807952</v>
      </c>
      <c r="BO109" s="4">
        <v>6506.9519623499018</v>
      </c>
      <c r="BP109" s="4">
        <v>6722.91851194229</v>
      </c>
      <c r="BQ109" s="4">
        <v>6943.8216732672618</v>
      </c>
      <c r="BR109" s="4">
        <v>7169.7017036455936</v>
      </c>
      <c r="BS109" s="4">
        <v>7400.5972521890262</v>
      </c>
      <c r="BT109" s="4">
        <v>7636.5453267947105</v>
      </c>
      <c r="BU109" s="4">
        <v>7877.5812626853785</v>
      </c>
    </row>
    <row r="110" spans="1:73" x14ac:dyDescent="0.25">
      <c r="A110" s="3" t="s">
        <v>113</v>
      </c>
      <c r="B110" s="3" t="str">
        <f>VLOOKUP(A110,'storage capacity'!$A$2:$C$195,3,FALSE)</f>
        <v>Sub-saharan africa</v>
      </c>
      <c r="C110" s="4">
        <v>14229.866666666698</v>
      </c>
      <c r="D110" s="4">
        <v>15104.23784327168</v>
      </c>
      <c r="E110" s="4">
        <v>16023.054822999449</v>
      </c>
      <c r="F110" s="4">
        <v>16988.017930792972</v>
      </c>
      <c r="G110" s="4">
        <v>18000.863649118648</v>
      </c>
      <c r="H110" s="4">
        <v>19063.364099140239</v>
      </c>
      <c r="I110" s="4">
        <v>20177.326462046152</v>
      </c>
      <c r="J110" s="4">
        <v>21344.592340431209</v>
      </c>
      <c r="K110" s="4">
        <v>22567.037059762613</v>
      </c>
      <c r="L110" s="4">
        <v>23846.568910089089</v>
      </c>
      <c r="M110" s="4">
        <v>25185.128328281815</v>
      </c>
      <c r="N110" s="4">
        <v>26584.687021225334</v>
      </c>
      <c r="O110" s="4">
        <v>28047.24703050579</v>
      </c>
      <c r="P110" s="4">
        <v>29574.839739271996</v>
      </c>
      <c r="Q110" s="4">
        <v>31169.524822072013</v>
      </c>
      <c r="R110" s="4">
        <v>32833.389138593149</v>
      </c>
      <c r="S110" s="4">
        <v>34568.545572356867</v>
      </c>
      <c r="T110" s="4">
        <v>36377.131815541034</v>
      </c>
      <c r="U110" s="4">
        <v>38261.309101220308</v>
      </c>
      <c r="V110" s="4">
        <v>40223.260884430805</v>
      </c>
      <c r="W110" s="4">
        <v>42265.191473577084</v>
      </c>
      <c r="X110" s="4">
        <v>44389.324613807701</v>
      </c>
      <c r="Y110" s="4">
        <v>46597.902024089977</v>
      </c>
      <c r="Z110" s="4">
        <v>48893.181889814492</v>
      </c>
      <c r="AA110" s="4">
        <v>51277.437312855458</v>
      </c>
      <c r="AB110" s="4">
        <v>53752.954721103844</v>
      </c>
      <c r="AC110" s="4">
        <v>56322.03223957579</v>
      </c>
      <c r="AD110" s="4">
        <v>58986.978025279583</v>
      </c>
      <c r="AE110" s="4">
        <v>61750.108568099728</v>
      </c>
      <c r="AF110" s="4">
        <v>64613.746960026081</v>
      </c>
      <c r="AG110" s="4">
        <v>67580.221135120344</v>
      </c>
      <c r="AH110" s="4">
        <v>70651.862082670341</v>
      </c>
      <c r="AI110" s="4">
        <v>73831.002036034508</v>
      </c>
      <c r="AJ110" s="4">
        <v>77119.972639726067</v>
      </c>
      <c r="AK110" s="4">
        <v>80521.103097325729</v>
      </c>
      <c r="AL110" s="4">
        <v>84036.718302846915</v>
      </c>
      <c r="AM110" s="4">
        <v>87669.136958204705</v>
      </c>
      <c r="AN110" s="4">
        <v>91420.669679462313</v>
      </c>
      <c r="AO110" s="4">
        <v>95293.617094544534</v>
      </c>
      <c r="AP110" s="4">
        <v>99290.267935117314</v>
      </c>
      <c r="AQ110" s="4">
        <v>103412.89712533659</v>
      </c>
      <c r="AR110" s="4">
        <v>107663.76387016724</v>
      </c>
      <c r="AS110" s="4">
        <v>112045.10974596512</v>
      </c>
      <c r="AT110" s="4">
        <v>116559.15679600125</v>
      </c>
      <c r="AU110" s="4">
        <v>121208.10563358809</v>
      </c>
      <c r="AV110" s="4">
        <v>125994.13355544241</v>
      </c>
      <c r="AW110" s="4">
        <v>130919.3926678899</v>
      </c>
      <c r="AX110" s="4">
        <v>135986.00802848025</v>
      </c>
      <c r="AY110" s="4">
        <v>141196.07580554177</v>
      </c>
      <c r="AZ110" s="4">
        <v>146551.6614581586</v>
      </c>
      <c r="BA110" s="4">
        <v>152054.79793900443</v>
      </c>
      <c r="BB110" s="4">
        <v>157707.48392241131</v>
      </c>
      <c r="BC110" s="4">
        <v>163511.6820599942</v>
      </c>
      <c r="BD110" s="4">
        <v>169469.31726608914</v>
      </c>
      <c r="BE110" s="4">
        <v>175582.27503519587</v>
      </c>
      <c r="BF110" s="4">
        <v>181852.39979354659</v>
      </c>
      <c r="BG110" s="4">
        <v>188281.49328684833</v>
      </c>
      <c r="BH110" s="4">
        <v>194871.31300617076</v>
      </c>
      <c r="BI110" s="4">
        <v>201623.57065387096</v>
      </c>
      <c r="BJ110" s="4">
        <v>208539.93065136584</v>
      </c>
      <c r="BK110" s="4">
        <v>215622.00869047761</v>
      </c>
      <c r="BL110" s="4">
        <v>222871.37032999218</v>
      </c>
      <c r="BM110" s="4">
        <v>230289.52963898098</v>
      </c>
      <c r="BN110" s="4">
        <v>237877.94788834784</v>
      </c>
      <c r="BO110" s="4">
        <v>245638.03229197074</v>
      </c>
      <c r="BP110" s="4">
        <v>253571.13479871521</v>
      </c>
      <c r="BQ110" s="4">
        <v>261678.55093650409</v>
      </c>
      <c r="BR110" s="4">
        <v>269961.51870953274</v>
      </c>
      <c r="BS110" s="4">
        <v>278421.21754962532</v>
      </c>
      <c r="BT110" s="4">
        <v>287058.76732263213</v>
      </c>
      <c r="BU110" s="4">
        <v>295875.22739067429</v>
      </c>
    </row>
    <row r="111" spans="1:73" x14ac:dyDescent="0.25">
      <c r="A111" s="3" t="s">
        <v>114</v>
      </c>
      <c r="B111" s="3" t="str">
        <f>VLOOKUP(A111,'storage capacity'!$A$2:$C$195,3,FALSE)</f>
        <v>Sub-saharan africa</v>
      </c>
      <c r="C111" s="4">
        <v>22791</v>
      </c>
      <c r="D111" s="4">
        <v>23647.826202531647</v>
      </c>
      <c r="E111" s="4">
        <v>24527.974346624098</v>
      </c>
      <c r="F111" s="4">
        <v>25431.751649683149</v>
      </c>
      <c r="G111" s="4">
        <v>26359.459465961496</v>
      </c>
      <c r="H111" s="4">
        <v>27311.393023159155</v>
      </c>
      <c r="I111" s="4">
        <v>28287.841164315862</v>
      </c>
      <c r="J111" s="4">
        <v>29289.086095316714</v>
      </c>
      <c r="K111" s="4">
        <v>30315.403138320362</v>
      </c>
      <c r="L111" s="4">
        <v>31367.060491406763</v>
      </c>
      <c r="M111" s="4">
        <v>32444.318994728728</v>
      </c>
      <c r="N111" s="4">
        <v>33547.431903438344</v>
      </c>
      <c r="O111" s="4">
        <v>34676.644667645989</v>
      </c>
      <c r="P111" s="4">
        <v>35832.194719655774</v>
      </c>
      <c r="Q111" s="4">
        <v>37014.311268707308</v>
      </c>
      <c r="R111" s="4">
        <v>38223.215103439397</v>
      </c>
      <c r="S111" s="4">
        <v>39459.118402276908</v>
      </c>
      <c r="T111" s="4">
        <v>40722.224551927407</v>
      </c>
      <c r="U111" s="4">
        <v>42012.727974159461</v>
      </c>
      <c r="V111" s="4">
        <v>43330.813961019849</v>
      </c>
      <c r="W111" s="4">
        <v>44676.658518631994</v>
      </c>
      <c r="X111" s="4">
        <v>46050.428219703172</v>
      </c>
      <c r="Y111" s="4">
        <v>47452.280064853272</v>
      </c>
      <c r="Z111" s="4">
        <v>48882.361352863147</v>
      </c>
      <c r="AA111" s="4">
        <v>50340.809559925838</v>
      </c>
      <c r="AB111" s="4">
        <v>51827.7522279697</v>
      </c>
      <c r="AC111" s="4">
        <v>53343.306862107776</v>
      </c>
      <c r="AD111" s="4">
        <v>54887.580837253707</v>
      </c>
      <c r="AE111" s="4">
        <v>56460.671313930565</v>
      </c>
      <c r="AF111" s="4">
        <v>58062.665163284895</v>
      </c>
      <c r="AG111" s="4">
        <v>59693.638901305167</v>
      </c>
      <c r="AH111" s="4">
        <v>61353.658632230181</v>
      </c>
      <c r="AI111" s="4">
        <v>63042.78000112022</v>
      </c>
      <c r="AJ111" s="4">
        <v>64761.0481555511</v>
      </c>
      <c r="AK111" s="4">
        <v>66508.497716378813</v>
      </c>
      <c r="AL111" s="4">
        <v>68285.152757510616</v>
      </c>
      <c r="AM111" s="4">
        <v>70091.026794606732</v>
      </c>
      <c r="AN111" s="4">
        <v>71926.122782625724</v>
      </c>
      <c r="AO111" s="4">
        <v>73790.433122115428</v>
      </c>
      <c r="AP111" s="4">
        <v>75683.939674141511</v>
      </c>
      <c r="AQ111" s="4">
        <v>77606.61378373488</v>
      </c>
      <c r="AR111" s="4">
        <v>79558.416311730354</v>
      </c>
      <c r="AS111" s="4">
        <v>81539.297674859292</v>
      </c>
      <c r="AT111" s="4">
        <v>83549.197893950361</v>
      </c>
      <c r="AU111" s="4">
        <v>85588.046650084201</v>
      </c>
      <c r="AV111" s="4">
        <v>87655.763348540189</v>
      </c>
      <c r="AW111" s="4">
        <v>89752.257190365577</v>
      </c>
      <c r="AX111" s="4">
        <v>91877.42725139088</v>
      </c>
      <c r="AY111" s="4">
        <v>94031.162568508313</v>
      </c>
      <c r="AZ111" s="4">
        <v>96213.342233024756</v>
      </c>
      <c r="BA111" s="4">
        <v>98423.835490894126</v>
      </c>
      <c r="BB111" s="4">
        <v>100662.5018496299</v>
      </c>
      <c r="BC111" s="4">
        <v>102929.19119169292</v>
      </c>
      <c r="BD111" s="4">
        <v>105223.74389414607</v>
      </c>
      <c r="BE111" s="4">
        <v>107545.99095436289</v>
      </c>
      <c r="BF111" s="4">
        <v>109895.75412157434</v>
      </c>
      <c r="BG111" s="4">
        <v>112272.84603403446</v>
      </c>
      <c r="BH111" s="4">
        <v>114677.07036158335</v>
      </c>
      <c r="BI111" s="4">
        <v>117108.22195338372</v>
      </c>
      <c r="BJ111" s="4">
        <v>119566.08699060524</v>
      </c>
      <c r="BK111" s="4">
        <v>122050.44314382983</v>
      </c>
      <c r="BL111" s="4">
        <v>124561.05973494958</v>
      </c>
      <c r="BM111" s="4">
        <v>127097.69790332885</v>
      </c>
      <c r="BN111" s="4">
        <v>129660.11077600144</v>
      </c>
      <c r="BO111" s="4">
        <v>132248.0436416739</v>
      </c>
      <c r="BP111" s="4">
        <v>134861.23412830639</v>
      </c>
      <c r="BQ111" s="4">
        <v>137499.41238404333</v>
      </c>
      <c r="BR111" s="4">
        <v>140162.30126126687</v>
      </c>
      <c r="BS111" s="4">
        <v>142849.61650354796</v>
      </c>
      <c r="BT111" s="4">
        <v>145561.066935271</v>
      </c>
      <c r="BU111" s="4">
        <v>148296.35465370992</v>
      </c>
    </row>
    <row r="112" spans="1:73" x14ac:dyDescent="0.25">
      <c r="A112" s="3" t="s">
        <v>115</v>
      </c>
      <c r="B112" s="3" t="str">
        <f>VLOOKUP(A112,'storage capacity'!$A$2:$C$195,3,FALSE)</f>
        <v>Country specific</v>
      </c>
      <c r="C112" s="4">
        <v>2347205.0666666627</v>
      </c>
      <c r="D112" s="4">
        <v>2464650.0566450022</v>
      </c>
      <c r="E112" s="4">
        <v>2586738.3212199071</v>
      </c>
      <c r="F112" s="4">
        <v>2713592.958363513</v>
      </c>
      <c r="G112" s="4">
        <v>2845337.8390853661</v>
      </c>
      <c r="H112" s="4">
        <v>2982097.5200602328</v>
      </c>
      <c r="I112" s="4">
        <v>3123997.1542190961</v>
      </c>
      <c r="J112" s="4">
        <v>3271162.3994238153</v>
      </c>
      <c r="K112" s="4">
        <v>3423719.3253499018</v>
      </c>
      <c r="L112" s="4">
        <v>3581794.3187055071</v>
      </c>
      <c r="M112" s="4">
        <v>3745513.9869180662</v>
      </c>
      <c r="N112" s="4">
        <v>3915005.0604230608</v>
      </c>
      <c r="O112" s="4">
        <v>4090394.2936920687</v>
      </c>
      <c r="P112" s="4">
        <v>4271808.3651396399</v>
      </c>
      <c r="Q112" s="4">
        <v>4459373.7760505844</v>
      </c>
      <c r="R112" s="4">
        <v>4653216.7486709747</v>
      </c>
      <c r="S112" s="4">
        <v>4853463.1236075312</v>
      </c>
      <c r="T112" s="4">
        <v>5060238.2566811349</v>
      </c>
      <c r="U112" s="4">
        <v>5273666.9153808914</v>
      </c>
      <c r="V112" s="4">
        <v>5493873.1750656031</v>
      </c>
      <c r="W112" s="4">
        <v>5720980.3150595259</v>
      </c>
      <c r="X112" s="4">
        <v>5955110.7147890748</v>
      </c>
      <c r="Y112" s="4">
        <v>6196385.7501065228</v>
      </c>
      <c r="Z112" s="4">
        <v>6444925.6899458999</v>
      </c>
      <c r="AA112" s="4">
        <v>6700849.5934550809</v>
      </c>
      <c r="AB112" s="4">
        <v>6964275.207746583</v>
      </c>
      <c r="AC112" s="4">
        <v>7235318.8664078265</v>
      </c>
      <c r="AD112" s="4">
        <v>7514095.3889095532</v>
      </c>
      <c r="AE112" s="4">
        <v>7800717.9810487982</v>
      </c>
      <c r="AF112" s="4">
        <v>8095298.1365602249</v>
      </c>
      <c r="AG112" s="4">
        <v>8397945.5400268044</v>
      </c>
      <c r="AH112" s="4">
        <v>8708767.9712177794</v>
      </c>
      <c r="AI112" s="4">
        <v>9027871.2109785546</v>
      </c>
      <c r="AJ112" s="4">
        <v>9355358.9487936441</v>
      </c>
      <c r="AK112" s="4">
        <v>9691332.6921401583</v>
      </c>
      <c r="AL112" s="4">
        <v>10035891.677745353</v>
      </c>
      <c r="AM112" s="4">
        <v>10389132.784857767</v>
      </c>
      <c r="AN112" s="4">
        <v>10751150.450637178</v>
      </c>
      <c r="AO112" s="4">
        <v>11122036.587764345</v>
      </c>
      <c r="AP112" s="4">
        <v>11501880.504366841</v>
      </c>
      <c r="AQ112" s="4">
        <v>11890768.826352777</v>
      </c>
      <c r="AR112" s="4">
        <v>12288785.422239415</v>
      </c>
      <c r="AS112" s="4">
        <v>12696011.330558829</v>
      </c>
      <c r="AT112" s="4">
        <v>13112524.689917857</v>
      </c>
      <c r="AU112" s="4">
        <v>13538400.671784606</v>
      </c>
      <c r="AV112" s="4">
        <v>13973711.416068701</v>
      </c>
      <c r="AW112" s="4">
        <v>14418525.969557373</v>
      </c>
      <c r="AX112" s="4">
        <v>14872910.227264384</v>
      </c>
      <c r="AY112" s="4">
        <v>15336926.87674359</v>
      </c>
      <c r="AZ112" s="4">
        <v>15810635.345413849</v>
      </c>
      <c r="BA112" s="4">
        <v>16294091.750936748</v>
      </c>
      <c r="BB112" s="4">
        <v>16787348.854683608</v>
      </c>
      <c r="BC112" s="4">
        <v>17290456.018322945</v>
      </c>
      <c r="BD112" s="4">
        <v>17803459.16355468</v>
      </c>
      <c r="BE112" s="4">
        <v>18326400.735012218</v>
      </c>
      <c r="BF112" s="4">
        <v>18859319.666348606</v>
      </c>
      <c r="BG112" s="4">
        <v>19402251.349518087</v>
      </c>
      <c r="BH112" s="4">
        <v>19955227.607259501</v>
      </c>
      <c r="BI112" s="4">
        <v>20518276.668783251</v>
      </c>
      <c r="BJ112" s="4">
        <v>21091423.148658924</v>
      </c>
      <c r="BK112" s="4">
        <v>21674688.028896045</v>
      </c>
      <c r="BL112" s="4">
        <v>22268088.644206028</v>
      </c>
      <c r="BM112" s="4">
        <v>22871638.670429081</v>
      </c>
      <c r="BN112" s="4">
        <v>23485348.116105482</v>
      </c>
      <c r="BO112" s="4">
        <v>24109223.317166716</v>
      </c>
      <c r="BP112" s="4">
        <v>24743266.934717849</v>
      </c>
      <c r="BQ112" s="4">
        <v>25387477.955878772</v>
      </c>
      <c r="BR112" s="4">
        <v>26041851.697648179</v>
      </c>
      <c r="BS112" s="4">
        <v>26706379.813750684</v>
      </c>
      <c r="BT112" s="4">
        <v>27381050.30442401</v>
      </c>
      <c r="BU112" s="4">
        <v>28065847.529099889</v>
      </c>
    </row>
    <row r="113" spans="1:73" x14ac:dyDescent="0.25">
      <c r="A113" s="3" t="s">
        <v>116</v>
      </c>
      <c r="B113" s="3" t="str">
        <f>VLOOKUP(A113,'storage capacity'!$A$2:$C$195,3,FALSE)</f>
        <v>Oceania</v>
      </c>
      <c r="C113" s="4">
        <v>607.99999999999272</v>
      </c>
      <c r="D113" s="4">
        <v>650.03213880849592</v>
      </c>
      <c r="E113" s="4">
        <v>694.52065637017904</v>
      </c>
      <c r="F113" s="4">
        <v>741.57865650193776</v>
      </c>
      <c r="G113" s="4">
        <v>791.32265779742943</v>
      </c>
      <c r="H113" s="4">
        <v>843.87260569547698</v>
      </c>
      <c r="I113" s="4">
        <v>899.35188006563737</v>
      </c>
      <c r="J113" s="4">
        <v>957.8872981832526</v>
      </c>
      <c r="K113" s="4">
        <v>1019.6091129745569</v>
      </c>
      <c r="L113" s="4">
        <v>1084.6510064211041</v>
      </c>
      <c r="M113" s="4">
        <v>1153.1500780219001</v>
      </c>
      <c r="N113" s="4">
        <v>1225.2468282211219</v>
      </c>
      <c r="O113" s="4">
        <v>1301.0851367191763</v>
      </c>
      <c r="P113" s="4">
        <v>1380.8122355950488</v>
      </c>
      <c r="Q113" s="4">
        <v>1464.5786771783883</v>
      </c>
      <c r="R113" s="4">
        <v>1552.5382966205405</v>
      </c>
      <c r="S113" s="4">
        <v>1644.8481691247416</v>
      </c>
      <c r="T113" s="4">
        <v>1741.668561806885</v>
      </c>
      <c r="U113" s="4">
        <v>1843.1628801696293</v>
      </c>
      <c r="V113" s="4">
        <v>1949.4976091841158</v>
      </c>
      <c r="W113" s="4">
        <v>2060.8422489851437</v>
      </c>
      <c r="X113" s="4">
        <v>2177.3692451972929</v>
      </c>
      <c r="Y113" s="4">
        <v>2299.2539139211485</v>
      </c>
      <c r="Z113" s="4">
        <v>2426.6743614204265</v>
      </c>
      <c r="AA113" s="4">
        <v>2559.8113985623982</v>
      </c>
      <c r="AB113" s="4">
        <v>2698.8484500755167</v>
      </c>
      <c r="AC113" s="4">
        <v>2843.9714586995451</v>
      </c>
      <c r="AD113" s="4">
        <v>2995.3687843147118</v>
      </c>
      <c r="AE113" s="4">
        <v>3153.2310981474711</v>
      </c>
      <c r="AF113" s="4">
        <v>3317.7512721612648</v>
      </c>
      <c r="AG113" s="4">
        <v>3489.1242637512642</v>
      </c>
      <c r="AH113" s="4">
        <v>3667.5469958723515</v>
      </c>
      <c r="AI113" s="4">
        <v>3853.2182327395849</v>
      </c>
      <c r="AJ113" s="4">
        <v>4046.3384512500343</v>
      </c>
      <c r="AK113" s="4">
        <v>4247.1097082841534</v>
      </c>
      <c r="AL113" s="4">
        <v>4455.7355040537313</v>
      </c>
      <c r="AM113" s="4">
        <v>4672.4206416719562</v>
      </c>
      <c r="AN113" s="4">
        <v>4897.3710831291573</v>
      </c>
      <c r="AO113" s="4">
        <v>5130.7938018653849</v>
      </c>
      <c r="AP113" s="4">
        <v>5372.8966321381049</v>
      </c>
      <c r="AQ113" s="4">
        <v>5623.8881153899101</v>
      </c>
      <c r="AR113" s="4">
        <v>5883.9773438273041</v>
      </c>
      <c r="AS113" s="4">
        <v>6153.3738014271939</v>
      </c>
      <c r="AT113" s="4">
        <v>6432.28720259285</v>
      </c>
      <c r="AU113" s="4">
        <v>6720.9273286856369</v>
      </c>
      <c r="AV113" s="4">
        <v>7019.5038626628493</v>
      </c>
      <c r="AW113" s="4">
        <v>7328.2262220554439</v>
      </c>
      <c r="AX113" s="4">
        <v>7647.3033905223938</v>
      </c>
      <c r="AY113" s="4">
        <v>7976.9437482207777</v>
      </c>
      <c r="AZ113" s="4">
        <v>8317.354901232522</v>
      </c>
      <c r="BA113" s="4">
        <v>8668.7435102900035</v>
      </c>
      <c r="BB113" s="4">
        <v>9031.3151190434601</v>
      </c>
      <c r="BC113" s="4">
        <v>9405.27398211332</v>
      </c>
      <c r="BD113" s="4">
        <v>9790.8228931702852</v>
      </c>
      <c r="BE113" s="4">
        <v>10188.163013285061</v>
      </c>
      <c r="BF113" s="4">
        <v>10597.493699788311</v>
      </c>
      <c r="BG113" s="4">
        <v>11019.012335879512</v>
      </c>
      <c r="BH113" s="4">
        <v>11452.914161221006</v>
      </c>
      <c r="BI113" s="4">
        <v>11899.39210375071</v>
      </c>
      <c r="BJ113" s="4">
        <v>12358.636612943617</v>
      </c>
      <c r="BK113" s="4">
        <v>12830.835494748484</v>
      </c>
      <c r="BL113" s="4">
        <v>13316.17374842187</v>
      </c>
      <c r="BM113" s="4">
        <v>13814.833405477129</v>
      </c>
      <c r="BN113" s="4">
        <v>14326.993370960947</v>
      </c>
      <c r="BO113" s="4">
        <v>14852.829267264597</v>
      </c>
      <c r="BP113" s="4">
        <v>15392.513280671421</v>
      </c>
      <c r="BQ113" s="4">
        <v>15946.214010835938</v>
      </c>
      <c r="BR113" s="4">
        <v>16514.096323383576</v>
      </c>
      <c r="BS113" s="4">
        <v>17096.321205813409</v>
      </c>
      <c r="BT113" s="4">
        <v>17693.045626879273</v>
      </c>
      <c r="BU113" s="4">
        <v>18304.422399617459</v>
      </c>
    </row>
    <row r="114" spans="1:73" x14ac:dyDescent="0.25">
      <c r="A114" s="3" t="s">
        <v>117</v>
      </c>
      <c r="B114" s="3" t="str">
        <f>VLOOKUP(A114,'storage capacity'!$A$2:$C$195,3,FALSE)</f>
        <v>Other eurasia</v>
      </c>
      <c r="C114" s="4">
        <v>29636.333333333023</v>
      </c>
      <c r="D114" s="4">
        <v>31004.423593531257</v>
      </c>
      <c r="E114" s="4">
        <v>32421.356011237804</v>
      </c>
      <c r="F114" s="4">
        <v>33888.226747200577</v>
      </c>
      <c r="G114" s="4">
        <v>35406.132155320767</v>
      </c>
      <c r="H114" s="4">
        <v>36976.167916745879</v>
      </c>
      <c r="I114" s="4">
        <v>38599.428165510901</v>
      </c>
      <c r="J114" s="4">
        <v>40277.004606967421</v>
      </c>
      <c r="K114" s="4">
        <v>42009.98563025218</v>
      </c>
      <c r="L114" s="4">
        <v>43799.455416055658</v>
      </c>
      <c r="M114" s="4">
        <v>45646.493040957495</v>
      </c>
      <c r="N114" s="4">
        <v>47552.171579598798</v>
      </c>
      <c r="O114" s="4">
        <v>49517.557205961864</v>
      </c>
      <c r="P114" s="4">
        <v>51543.708295025739</v>
      </c>
      <c r="Q114" s="4">
        <v>53631.674526060771</v>
      </c>
      <c r="R114" s="4">
        <v>55782.495988817886</v>
      </c>
      <c r="S114" s="4">
        <v>57997.202293857954</v>
      </c>
      <c r="T114" s="4">
        <v>60276.811688253525</v>
      </c>
      <c r="U114" s="4">
        <v>62622.3301778803</v>
      </c>
      <c r="V114" s="4">
        <v>65034.75065749752</v>
      </c>
      <c r="W114" s="4">
        <v>67515.052049796723</v>
      </c>
      <c r="X114" s="4">
        <v>70064.198454575773</v>
      </c>
      <c r="Y114" s="4">
        <v>72683.138309170725</v>
      </c>
      <c r="Z114" s="4">
        <v>75372.803561251654</v>
      </c>
      <c r="AA114" s="4">
        <v>78134.108855059952</v>
      </c>
      <c r="AB114" s="4">
        <v>80967.950732134472</v>
      </c>
      <c r="AC114" s="4">
        <v>83875.206847541791</v>
      </c>
      <c r="AD114" s="4">
        <v>86856.735202592186</v>
      </c>
      <c r="AE114" s="4">
        <v>89913.373394988026</v>
      </c>
      <c r="AF114" s="4">
        <v>93045.937887314067</v>
      </c>
      <c r="AG114" s="4">
        <v>96255.223294742114</v>
      </c>
      <c r="AH114" s="4">
        <v>99542.001692782782</v>
      </c>
      <c r="AI114" s="4">
        <v>102907.02194587738</v>
      </c>
      <c r="AJ114" s="4">
        <v>106351.00905758169</v>
      </c>
      <c r="AK114" s="4">
        <v>109874.66354305169</v>
      </c>
      <c r="AL114" s="4">
        <v>113478.66082449853</v>
      </c>
      <c r="AM114" s="4">
        <v>117163.65065023699</v>
      </c>
      <c r="AN114" s="4">
        <v>120930.25653790796</v>
      </c>
      <c r="AO114" s="4">
        <v>124779.07524241119</v>
      </c>
      <c r="AP114" s="4">
        <v>128710.67624904042</v>
      </c>
      <c r="AQ114" s="4">
        <v>132725.60129226861</v>
      </c>
      <c r="AR114" s="4">
        <v>136824.3639005858</v>
      </c>
      <c r="AS114" s="4">
        <v>141007.44896774853</v>
      </c>
      <c r="AT114" s="4">
        <v>145275.3123507541</v>
      </c>
      <c r="AU114" s="4">
        <v>149628.38049481018</v>
      </c>
      <c r="AV114" s="4">
        <v>154067.05008552488</v>
      </c>
      <c r="AW114" s="4">
        <v>158591.6877285004</v>
      </c>
      <c r="AX114" s="4">
        <v>163202.62965646907</v>
      </c>
      <c r="AY114" s="4">
        <v>167900.18146406926</v>
      </c>
      <c r="AZ114" s="4">
        <v>172684.61787031597</v>
      </c>
      <c r="BA114" s="4">
        <v>177556.18250878065</v>
      </c>
      <c r="BB114" s="4">
        <v>182515.08774545405</v>
      </c>
      <c r="BC114" s="4">
        <v>187561.5145242264</v>
      </c>
      <c r="BD114" s="4">
        <v>192695.61223988156</v>
      </c>
      <c r="BE114" s="4">
        <v>197917.49863846289</v>
      </c>
      <c r="BF114" s="4">
        <v>203227.2597448336</v>
      </c>
      <c r="BG114" s="4">
        <v>208624.9498172178</v>
      </c>
      <c r="BH114" s="4">
        <v>214110.59132847469</v>
      </c>
      <c r="BI114" s="4">
        <v>219684.17497382528</v>
      </c>
      <c r="BJ114" s="4">
        <v>225345.65970471851</v>
      </c>
      <c r="BK114" s="4">
        <v>231094.97278849391</v>
      </c>
      <c r="BL114" s="4">
        <v>236932.00989346718</v>
      </c>
      <c r="BM114" s="4">
        <v>242856.63519903852</v>
      </c>
      <c r="BN114" s="4">
        <v>248868.68153039471</v>
      </c>
      <c r="BO114" s="4">
        <v>254967.95051735247</v>
      </c>
      <c r="BP114" s="4">
        <v>261154.21277686482</v>
      </c>
      <c r="BQ114" s="4">
        <v>267427.20811868994</v>
      </c>
      <c r="BR114" s="4">
        <v>273786.64577370026</v>
      </c>
      <c r="BS114" s="4">
        <v>280232.20464429021</v>
      </c>
      <c r="BT114" s="4">
        <v>286763.53357632045</v>
      </c>
      <c r="BU114" s="4">
        <v>293380.2516520209</v>
      </c>
    </row>
    <row r="115" spans="1:73" x14ac:dyDescent="0.25">
      <c r="A115" s="3" t="s">
        <v>118</v>
      </c>
      <c r="B115" s="3" t="str">
        <f>VLOOKUP(A115,'storage capacity'!$A$2:$C$195,3,FALSE)</f>
        <v>Other eurasia</v>
      </c>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c r="BB115" s="4"/>
      <c r="BC115" s="4"/>
      <c r="BD115" s="4"/>
      <c r="BE115" s="4"/>
      <c r="BF115" s="4"/>
      <c r="BG115" s="4"/>
      <c r="BH115" s="4"/>
      <c r="BI115" s="4"/>
      <c r="BJ115" s="4"/>
      <c r="BK115" s="4"/>
      <c r="BL115" s="4"/>
      <c r="BM115" s="4"/>
      <c r="BN115" s="4"/>
      <c r="BO115" s="4"/>
      <c r="BP115" s="4"/>
      <c r="BQ115" s="4"/>
      <c r="BR115" s="4"/>
      <c r="BS115" s="4"/>
      <c r="BT115" s="4"/>
      <c r="BU115" s="4"/>
    </row>
    <row r="116" spans="1:73" x14ac:dyDescent="0.25">
      <c r="A116" s="3" t="s">
        <v>119</v>
      </c>
      <c r="B116" s="3" t="str">
        <f>VLOOKUP(A116,'storage capacity'!$A$2:$C$195,3,FALSE)</f>
        <v>Other Asia pacific</v>
      </c>
      <c r="C116" s="4">
        <v>39510.133333333768</v>
      </c>
      <c r="D116" s="4">
        <v>43142.62375638324</v>
      </c>
      <c r="E116" s="4">
        <v>47069.414249220972</v>
      </c>
      <c r="F116" s="4">
        <v>51310.774536596517</v>
      </c>
      <c r="G116" s="4">
        <v>55888.082541299947</v>
      </c>
      <c r="H116" s="4">
        <v>60823.864551905688</v>
      </c>
      <c r="I116" s="4">
        <v>66141.8355681143</v>
      </c>
      <c r="J116" s="4">
        <v>71866.939742772607</v>
      </c>
      <c r="K116" s="4">
        <v>78025.390836171326</v>
      </c>
      <c r="L116" s="4">
        <v>84644.712594903147</v>
      </c>
      <c r="M116" s="4">
        <v>91753.778964430254</v>
      </c>
      <c r="N116" s="4">
        <v>99382.854041575818</v>
      </c>
      <c r="O116" s="4">
        <v>107563.6316704354</v>
      </c>
      <c r="P116" s="4">
        <v>116329.27458271751</v>
      </c>
      <c r="Q116" s="4">
        <v>125714.45298128229</v>
      </c>
      <c r="R116" s="4">
        <v>135755.38246366879</v>
      </c>
      <c r="S116" s="4">
        <v>146489.86118069678</v>
      </c>
      <c r="T116" s="4">
        <v>157957.30612381094</v>
      </c>
      <c r="U116" s="4">
        <v>170198.78843371675</v>
      </c>
      <c r="V116" s="4">
        <v>183257.067622045</v>
      </c>
      <c r="W116" s="4">
        <v>197176.62459728878</v>
      </c>
      <c r="X116" s="4">
        <v>212003.69338608716</v>
      </c>
      <c r="Y116" s="4">
        <v>227786.29144109247</v>
      </c>
      <c r="Z116" s="4">
        <v>244574.24842715732</v>
      </c>
      <c r="AA116" s="4">
        <v>262419.23337841593</v>
      </c>
      <c r="AB116" s="4">
        <v>281374.78012001759</v>
      </c>
      <c r="AC116" s="4">
        <v>301496.31084979395</v>
      </c>
      <c r="AD116" s="4">
        <v>322841.1577770125</v>
      </c>
      <c r="AE116" s="4">
        <v>345468.58271757682</v>
      </c>
      <c r="AF116" s="4">
        <v>369439.79454758379</v>
      </c>
      <c r="AG116" s="4">
        <v>394817.96442002757</v>
      </c>
      <c r="AH116" s="4">
        <v>421668.23865265044</v>
      </c>
      <c r="AI116" s="4">
        <v>450057.74919846805</v>
      </c>
      <c r="AJ116" s="4">
        <v>480055.62161433575</v>
      </c>
      <c r="AK116" s="4">
        <v>511732.98044706398</v>
      </c>
      <c r="AL116" s="4">
        <v>545162.95196101954</v>
      </c>
      <c r="AM116" s="4">
        <v>580420.66413585958</v>
      </c>
      <c r="AN116" s="4">
        <v>617583.24386801256</v>
      </c>
      <c r="AO116" s="4">
        <v>656729.81131474534</v>
      </c>
      <c r="AP116" s="4">
        <v>697941.47132510506</v>
      </c>
      <c r="AQ116" s="4">
        <v>741301.30190769967</v>
      </c>
      <c r="AR116" s="4">
        <v>786894.33969114791</v>
      </c>
      <c r="AS116" s="4">
        <v>834807.56233908446</v>
      </c>
      <c r="AT116" s="4">
        <v>885129.86788781988</v>
      </c>
      <c r="AU116" s="4">
        <v>937952.05098111322</v>
      </c>
      <c r="AV116" s="4">
        <v>993366.77598299773</v>
      </c>
      <c r="AW116" s="4">
        <v>1051468.5469561846</v>
      </c>
      <c r="AX116" s="4">
        <v>1112353.6745002379</v>
      </c>
      <c r="AY116" s="4">
        <v>1176120.2394504466</v>
      </c>
      <c r="AZ116" s="4">
        <v>1242868.0534450812</v>
      </c>
      <c r="BA116" s="4">
        <v>1312698.6163755255</v>
      </c>
      <c r="BB116" s="4">
        <v>1385715.0707405529</v>
      </c>
      <c r="BC116" s="4">
        <v>1462022.1529327889</v>
      </c>
      <c r="BD116" s="4">
        <v>1541726.1414921253</v>
      </c>
      <c r="BE116" s="4">
        <v>1624934.8023675119</v>
      </c>
      <c r="BF116" s="4">
        <v>1711757.3312351312</v>
      </c>
      <c r="BG116" s="4">
        <v>1802304.2929274372</v>
      </c>
      <c r="BH116" s="4">
        <v>1896687.5580338922</v>
      </c>
      <c r="BI116" s="4">
        <v>1995020.2367404522</v>
      </c>
      <c r="BJ116" s="4">
        <v>2097416.609980904</v>
      </c>
      <c r="BK116" s="4">
        <v>2203992.0579790417</v>
      </c>
      <c r="BL116" s="4">
        <v>2314862.9862663583</v>
      </c>
      <c r="BM116" s="4">
        <v>2430146.74926541</v>
      </c>
      <c r="BN116" s="4">
        <v>2549961.5715342746</v>
      </c>
      <c r="BO116" s="4">
        <v>2674426.4667725503</v>
      </c>
      <c r="BP116" s="4">
        <v>2803661.1546941185</v>
      </c>
      <c r="BQ116" s="4">
        <v>2937785.9758764156</v>
      </c>
      <c r="BR116" s="4">
        <v>3076921.8047002023</v>
      </c>
      <c r="BS116" s="4">
        <v>3221189.9604977933</v>
      </c>
      <c r="BT116" s="4">
        <v>3370712.1170313782</v>
      </c>
      <c r="BU116" s="4">
        <v>3525610.2104264614</v>
      </c>
    </row>
    <row r="117" spans="1:73" x14ac:dyDescent="0.25">
      <c r="A117" s="3" t="s">
        <v>120</v>
      </c>
      <c r="B117" s="3" t="str">
        <f>VLOOKUP(A117,'storage capacity'!$A$2:$C$195,3,FALSE)</f>
        <v>Other eurasia</v>
      </c>
      <c r="C117" s="4">
        <v>11933.399999999907</v>
      </c>
      <c r="D117" s="4">
        <v>12984.375591931022</v>
      </c>
      <c r="E117" s="4">
        <v>14116.475346011997</v>
      </c>
      <c r="F117" s="4">
        <v>15334.974115784587</v>
      </c>
      <c r="G117" s="4">
        <v>16645.41387997532</v>
      </c>
      <c r="H117" s="4">
        <v>18053.612156300213</v>
      </c>
      <c r="I117" s="4">
        <v>19565.670375232166</v>
      </c>
      <c r="J117" s="4">
        <v>21187.982194009357</v>
      </c>
      <c r="K117" s="4">
        <v>22927.241730609028</v>
      </c>
      <c r="L117" s="4">
        <v>24790.451696906366</v>
      </c>
      <c r="M117" s="4">
        <v>26784.931409785771</v>
      </c>
      <c r="N117" s="4">
        <v>28918.324658574671</v>
      </c>
      <c r="O117" s="4">
        <v>31198.607406830859</v>
      </c>
      <c r="P117" s="4">
        <v>33634.095306235729</v>
      </c>
      <c r="Q117" s="4">
        <v>36233.451000129739</v>
      </c>
      <c r="R117" s="4">
        <v>39005.691194075545</v>
      </c>
      <c r="S117" s="4">
        <v>41960.19347074972</v>
      </c>
      <c r="T117" s="4">
        <v>45106.702826447799</v>
      </c>
      <c r="U117" s="4">
        <v>48455.33790654051</v>
      </c>
      <c r="V117" s="4">
        <v>52016.596917342882</v>
      </c>
      <c r="W117" s="4">
        <v>55801.363192052442</v>
      </c>
      <c r="X117" s="4">
        <v>59820.910388679375</v>
      </c>
      <c r="Y117" s="4">
        <v>64086.907298229184</v>
      </c>
      <c r="Z117" s="4">
        <v>68611.422241808221</v>
      </c>
      <c r="AA117" s="4">
        <v>73406.927035802728</v>
      </c>
      <c r="AB117" s="4">
        <v>78486.300504832965</v>
      </c>
      <c r="AC117" s="4">
        <v>83862.831522803826</v>
      </c>
      <c r="AD117" s="4">
        <v>89550.221563061365</v>
      </c>
      <c r="AE117" s="4">
        <v>95562.586739418417</v>
      </c>
      <c r="AF117" s="4">
        <v>101914.45932063113</v>
      </c>
      <c r="AG117" s="4">
        <v>108620.78870178845</v>
      </c>
      <c r="AH117" s="4">
        <v>115696.94181701714</v>
      </c>
      <c r="AI117" s="4">
        <v>123158.70297890202</v>
      </c>
      <c r="AJ117" s="4">
        <v>131022.27313107272</v>
      </c>
      <c r="AK117" s="4">
        <v>139304.26850151084</v>
      </c>
      <c r="AL117" s="4">
        <v>148021.71864528177</v>
      </c>
      <c r="AM117" s="4">
        <v>157192.06386659003</v>
      </c>
      <c r="AN117" s="4">
        <v>166833.15201129246</v>
      </c>
      <c r="AO117" s="4">
        <v>176963.23462227511</v>
      </c>
      <c r="AP117" s="4">
        <v>187600.96245140539</v>
      </c>
      <c r="AQ117" s="4">
        <v>198765.38032310404</v>
      </c>
      <c r="AR117" s="4">
        <v>210475.92134594003</v>
      </c>
      <c r="AS117" s="4">
        <v>222752.4004700302</v>
      </c>
      <c r="AT117" s="4">
        <v>235615.00738941974</v>
      </c>
      <c r="AU117" s="4">
        <v>249084.29879002689</v>
      </c>
      <c r="AV117" s="4">
        <v>263181.18994514749</v>
      </c>
      <c r="AW117" s="4">
        <v>277926.94566193299</v>
      </c>
      <c r="AX117" s="4">
        <v>293343.17058366985</v>
      </c>
      <c r="AY117" s="4">
        <v>309451.79885409796</v>
      </c>
      <c r="AZ117" s="4">
        <v>326275.08315140463</v>
      </c>
      <c r="BA117" s="4">
        <v>343835.58310091606</v>
      </c>
      <c r="BB117" s="4">
        <v>362156.15307687467</v>
      </c>
      <c r="BC117" s="4">
        <v>381259.92940503417</v>
      </c>
      <c r="BD117" s="4">
        <v>401170.31697912188</v>
      </c>
      <c r="BE117" s="4">
        <v>421910.97530550609</v>
      </c>
      <c r="BF117" s="4">
        <v>443505.80399165803</v>
      </c>
      <c r="BG117" s="4">
        <v>465978.92769521452</v>
      </c>
      <c r="BH117" s="4">
        <v>489354.68055162294</v>
      </c>
      <c r="BI117" s="4">
        <v>513657.59009948035</v>
      </c>
      <c r="BJ117" s="4">
        <v>538912.36072376336</v>
      </c>
      <c r="BK117" s="4">
        <v>565143.85663817835</v>
      </c>
      <c r="BL117" s="4">
        <v>592377.08442884567</v>
      </c>
      <c r="BM117" s="4">
        <v>620637.17518245534</v>
      </c>
      <c r="BN117" s="4">
        <v>649949.36622290511</v>
      </c>
      <c r="BO117" s="4">
        <v>680338.98248123971</v>
      </c>
      <c r="BP117" s="4">
        <v>711831.41752446268</v>
      </c>
      <c r="BQ117" s="4">
        <v>744452.11426947871</v>
      </c>
      <c r="BR117" s="4">
        <v>778226.54540904937</v>
      </c>
      <c r="BS117" s="4">
        <v>813180.19357720495</v>
      </c>
      <c r="BT117" s="4">
        <v>849338.53128204844</v>
      </c>
      <c r="BU117" s="4">
        <v>886727.00063431787</v>
      </c>
    </row>
    <row r="118" spans="1:73" x14ac:dyDescent="0.25">
      <c r="A118" s="3" t="s">
        <v>121</v>
      </c>
      <c r="B118" s="3" t="str">
        <f>VLOOKUP(A118,'storage capacity'!$A$2:$C$195,3,FALSE)</f>
        <v>Middle east</v>
      </c>
      <c r="C118" s="4">
        <v>224959.26666666567</v>
      </c>
      <c r="D118" s="4">
        <v>239606.91388872461</v>
      </c>
      <c r="E118" s="4">
        <v>255052.29127915986</v>
      </c>
      <c r="F118" s="4">
        <v>271328.8879802968</v>
      </c>
      <c r="G118" s="4">
        <v>288471.05028852564</v>
      </c>
      <c r="H118" s="4">
        <v>306513.97754945909</v>
      </c>
      <c r="I118" s="4">
        <v>325493.71677075798</v>
      </c>
      <c r="J118" s="4">
        <v>345447.15593445365</v>
      </c>
      <c r="K118" s="4">
        <v>366412.01599322323</v>
      </c>
      <c r="L118" s="4">
        <v>388426.84153777355</v>
      </c>
      <c r="M118" s="4">
        <v>411530.99012524396</v>
      </c>
      <c r="N118" s="4">
        <v>435764.62026134529</v>
      </c>
      <c r="O118" s="4">
        <v>461168.67803179956</v>
      </c>
      <c r="P118" s="4">
        <v>487784.88238152722</v>
      </c>
      <c r="Q118" s="4">
        <v>515655.70904293068</v>
      </c>
      <c r="R118" s="4">
        <v>544824.37311754411</v>
      </c>
      <c r="S118" s="4">
        <v>575334.81031824311</v>
      </c>
      <c r="T118" s="4">
        <v>607231.65688212775</v>
      </c>
      <c r="U118" s="4">
        <v>640560.2281671036</v>
      </c>
      <c r="V118" s="4">
        <v>675366.49594807089</v>
      </c>
      <c r="W118" s="4">
        <v>711697.06443148991</v>
      </c>
      <c r="X118" s="4">
        <v>749599.14500990964</v>
      </c>
      <c r="Y118" s="4">
        <v>789120.52978081873</v>
      </c>
      <c r="Z118" s="4">
        <v>830309.5638568945</v>
      </c>
      <c r="AA118" s="4">
        <v>873215.11649738078</v>
      </c>
      <c r="AB118" s="4">
        <v>917886.55109290697</v>
      </c>
      <c r="AC118" s="4">
        <v>964373.69403856993</v>
      </c>
      <c r="AD118" s="4">
        <v>1012726.8025325168</v>
      </c>
      <c r="AE118" s="4">
        <v>1062996.531339603</v>
      </c>
      <c r="AF118" s="4">
        <v>1115233.898561928</v>
      </c>
      <c r="AG118" s="4">
        <v>1169490.2504601819</v>
      </c>
      <c r="AH118" s="4">
        <v>1225817.2253717599</v>
      </c>
      <c r="AI118" s="4">
        <v>1284266.716773506</v>
      </c>
      <c r="AJ118" s="4">
        <v>1344890.8355387389</v>
      </c>
      <c r="AK118" s="4">
        <v>1407741.8714398816</v>
      </c>
      <c r="AL118" s="4">
        <v>1472872.2539495574</v>
      </c>
      <c r="AM118" s="4">
        <v>1540334.5123944308</v>
      </c>
      <c r="AN118" s="4">
        <v>1610181.2355173496</v>
      </c>
      <c r="AO118" s="4">
        <v>1682465.0305044993</v>
      </c>
      <c r="AP118" s="4">
        <v>1757238.4815352908</v>
      </c>
      <c r="AQ118" s="4">
        <v>1834554.1079135761</v>
      </c>
      <c r="AR118" s="4">
        <v>1914464.3218395351</v>
      </c>
      <c r="AS118" s="4">
        <v>1997021.3858821671</v>
      </c>
      <c r="AT118" s="4">
        <v>2082277.3702127924</v>
      </c>
      <c r="AU118" s="4">
        <v>2170284.1096602879</v>
      </c>
      <c r="AV118" s="4">
        <v>2261093.1606489802</v>
      </c>
      <c r="AW118" s="4">
        <v>2354755.7580801616</v>
      </c>
      <c r="AX118" s="4">
        <v>2451322.772218124</v>
      </c>
      <c r="AY118" s="4">
        <v>2550844.6656413926</v>
      </c>
      <c r="AZ118" s="4">
        <v>2653371.4503194974</v>
      </c>
      <c r="BA118" s="4">
        <v>2758952.64487516</v>
      </c>
      <c r="BB118" s="4">
        <v>2867637.2320911777</v>
      </c>
      <c r="BC118" s="4">
        <v>2979473.6167205791</v>
      </c>
      <c r="BD118" s="4">
        <v>3094509.5836578012</v>
      </c>
      <c r="BE118" s="4">
        <v>3212792.2565276986</v>
      </c>
      <c r="BF118" s="4">
        <v>3334368.0567481415</v>
      </c>
      <c r="BG118" s="4">
        <v>3459282.663120822</v>
      </c>
      <c r="BH118" s="4">
        <v>3587580.9720036229</v>
      </c>
      <c r="BI118" s="4">
        <v>3719307.0581165762</v>
      </c>
      <c r="BJ118" s="4">
        <v>3854504.1360319811</v>
      </c>
      <c r="BK118" s="4">
        <v>3993214.5223977617</v>
      </c>
      <c r="BL118" s="4">
        <v>4135479.5989415152</v>
      </c>
      <c r="BM118" s="4">
        <v>4281339.7763010636</v>
      </c>
      <c r="BN118" s="4">
        <v>4430834.4587255446</v>
      </c>
      <c r="BO118" s="4">
        <v>4584002.0096893124</v>
      </c>
      <c r="BP118" s="4">
        <v>4740879.7184590194</v>
      </c>
      <c r="BQ118" s="4">
        <v>4901503.7676523756</v>
      </c>
      <c r="BR118" s="4">
        <v>5065909.201825086</v>
      </c>
      <c r="BS118" s="4">
        <v>5234129.8971204897</v>
      </c>
      <c r="BT118" s="4">
        <v>5406198.5320143858</v>
      </c>
      <c r="BU118" s="4">
        <v>5582146.5591854444</v>
      </c>
    </row>
    <row r="119" spans="1:73" x14ac:dyDescent="0.25">
      <c r="A119" s="3" t="s">
        <v>122</v>
      </c>
      <c r="B119" s="3" t="str">
        <f>VLOOKUP(A119,'storage capacity'!$A$2:$C$195,3,FALSE)</f>
        <v>Sub-saharan africa</v>
      </c>
      <c r="C119" s="4">
        <v>35808.200000000186</v>
      </c>
      <c r="D119" s="4">
        <v>38091.210027047113</v>
      </c>
      <c r="E119" s="4">
        <v>40495.491400859748</v>
      </c>
      <c r="F119" s="4">
        <v>43025.968381587052</v>
      </c>
      <c r="G119" s="4">
        <v>45687.683466619645</v>
      </c>
      <c r="H119" s="4">
        <v>48485.796439992824</v>
      </c>
      <c r="I119" s="4">
        <v>51425.58323791124</v>
      </c>
      <c r="J119" s="4">
        <v>54512.434628637973</v>
      </c>
      <c r="K119" s="4">
        <v>57751.854705376121</v>
      </c>
      <c r="L119" s="4">
        <v>61149.459191163383</v>
      </c>
      <c r="M119" s="4">
        <v>64710.973555198194</v>
      </c>
      <c r="N119" s="4">
        <v>68442.230940418231</v>
      </c>
      <c r="O119" s="4">
        <v>72349.169902557958</v>
      </c>
      <c r="P119" s="4">
        <v>76437.8319613192</v>
      </c>
      <c r="Q119" s="4">
        <v>80714.358964697196</v>
      </c>
      <c r="R119" s="4">
        <v>85184.990267911955</v>
      </c>
      <c r="S119" s="4">
        <v>89856.059728800756</v>
      </c>
      <c r="T119" s="4">
        <v>94733.992521930108</v>
      </c>
      <c r="U119" s="4">
        <v>99825.301774083884</v>
      </c>
      <c r="V119" s="4">
        <v>105136.5850241775</v>
      </c>
      <c r="W119" s="4">
        <v>110674.5205110339</v>
      </c>
      <c r="X119" s="4">
        <v>116445.86329283574</v>
      </c>
      <c r="Y119" s="4">
        <v>122457.44120243781</v>
      </c>
      <c r="Z119" s="4">
        <v>128716.15064308325</v>
      </c>
      <c r="AA119" s="4">
        <v>135228.95222941588</v>
      </c>
      <c r="AB119" s="4">
        <v>142002.86627901782</v>
      </c>
      <c r="AC119" s="4">
        <v>149044.96816002554</v>
      </c>
      <c r="AD119" s="4">
        <v>156362.38350068789</v>
      </c>
      <c r="AE119" s="4">
        <v>163962.28326702537</v>
      </c>
      <c r="AF119" s="4">
        <v>171851.87871503099</v>
      </c>
      <c r="AG119" s="4">
        <v>180038.4162241171</v>
      </c>
      <c r="AH119" s="4">
        <v>188529.17201876189</v>
      </c>
      <c r="AI119" s="4">
        <v>197331.44678553927</v>
      </c>
      <c r="AJ119" s="4">
        <v>206452.56019293054</v>
      </c>
      <c r="AK119" s="4">
        <v>215899.84532151118</v>
      </c>
      <c r="AL119" s="4">
        <v>225680.64301228369</v>
      </c>
      <c r="AM119" s="4">
        <v>235802.29614108568</v>
      </c>
      <c r="AN119" s="4">
        <v>246272.14382714246</v>
      </c>
      <c r="AO119" s="4">
        <v>257097.51558395373</v>
      </c>
      <c r="AP119" s="4">
        <v>268285.72542080539</v>
      </c>
      <c r="AQ119" s="4">
        <v>279844.06590327958</v>
      </c>
      <c r="AR119" s="4">
        <v>291779.80218119867</v>
      </c>
      <c r="AS119" s="4">
        <v>304100.16599248361</v>
      </c>
      <c r="AT119" s="4">
        <v>316812.34965143038</v>
      </c>
      <c r="AU119" s="4">
        <v>329923.50002991478</v>
      </c>
      <c r="AV119" s="4">
        <v>343440.71254002344</v>
      </c>
      <c r="AW119" s="4">
        <v>357371.02512657654</v>
      </c>
      <c r="AX119" s="4">
        <v>371721.41227795969</v>
      </c>
      <c r="AY119" s="4">
        <v>386498.77906361531</v>
      </c>
      <c r="AZ119" s="4">
        <v>401709.95520645933</v>
      </c>
      <c r="BA119" s="4">
        <v>417361.68919838988</v>
      </c>
      <c r="BB119" s="4">
        <v>433460.64246693568</v>
      </c>
      <c r="BC119" s="4">
        <v>450013.38360096165</v>
      </c>
      <c r="BD119" s="4">
        <v>467026.38264319988</v>
      </c>
      <c r="BE119" s="4">
        <v>484506.00545721303</v>
      </c>
      <c r="BF119" s="4">
        <v>502458.50817622239</v>
      </c>
      <c r="BG119" s="4">
        <v>520890.03174104099</v>
      </c>
      <c r="BH119" s="4">
        <v>539806.59653415508</v>
      </c>
      <c r="BI119" s="4">
        <v>559214.09711678012</v>
      </c>
      <c r="BJ119" s="4">
        <v>579118.29707549664</v>
      </c>
      <c r="BK119" s="4">
        <v>599524.8239848346</v>
      </c>
      <c r="BL119" s="4">
        <v>620439.16449193307</v>
      </c>
      <c r="BM119" s="4">
        <v>641866.65952914883</v>
      </c>
      <c r="BN119" s="4">
        <v>663812.49966022582</v>
      </c>
      <c r="BO119" s="4">
        <v>686281.72056537156</v>
      </c>
      <c r="BP119" s="4">
        <v>709279.19867031125</v>
      </c>
      <c r="BQ119" s="4">
        <v>732809.64692411176</v>
      </c>
      <c r="BR119" s="4">
        <v>756877.61073028017</v>
      </c>
      <c r="BS119" s="4">
        <v>781487.46403535781</v>
      </c>
      <c r="BT119" s="4">
        <v>806643.40557893156</v>
      </c>
      <c r="BU119" s="4">
        <v>832349.45530869591</v>
      </c>
    </row>
    <row r="120" spans="1:73" x14ac:dyDescent="0.25">
      <c r="A120" s="3" t="s">
        <v>123</v>
      </c>
      <c r="B120" s="3" t="str">
        <f>VLOOKUP(A120,'storage capacity'!$A$2:$C$195,3,FALSE)</f>
        <v>Other Asia pacific</v>
      </c>
      <c r="C120" s="4">
        <v>78727.999999999534</v>
      </c>
      <c r="D120" s="4">
        <v>85646.155682846671</v>
      </c>
      <c r="E120" s="4">
        <v>93096.977553906356</v>
      </c>
      <c r="F120" s="4">
        <v>101114.99658871579</v>
      </c>
      <c r="G120" s="4">
        <v>109736.4853713643</v>
      </c>
      <c r="H120" s="4">
        <v>118999.51252360227</v>
      </c>
      <c r="I120" s="4">
        <v>128943.99684675233</v>
      </c>
      <c r="J120" s="4">
        <v>139611.7610479123</v>
      </c>
      <c r="K120" s="4">
        <v>151046.58491842175</v>
      </c>
      <c r="L120" s="4">
        <v>163294.25782936974</v>
      </c>
      <c r="M120" s="4">
        <v>176402.63040606977</v>
      </c>
      <c r="N120" s="4">
        <v>190421.66524093837</v>
      </c>
      <c r="O120" s="4">
        <v>205403.48650210365</v>
      </c>
      <c r="P120" s="4">
        <v>221402.42829335408</v>
      </c>
      <c r="Q120" s="4">
        <v>238475.08161973217</v>
      </c>
      <c r="R120" s="4">
        <v>256680.33981219464</v>
      </c>
      <c r="S120" s="4">
        <v>276079.44226431061</v>
      </c>
      <c r="T120" s="4">
        <v>296736.01633396372</v>
      </c>
      <c r="U120" s="4">
        <v>318716.11726346851</v>
      </c>
      <c r="V120" s="4">
        <v>342088.26597241516</v>
      </c>
      <c r="W120" s="4">
        <v>366923.48457891808</v>
      </c>
      <c r="X120" s="4">
        <v>393295.32950677344</v>
      </c>
      <c r="Y120" s="4">
        <v>421279.92203832039</v>
      </c>
      <c r="Z120" s="4">
        <v>450955.9761755552</v>
      </c>
      <c r="AA120" s="4">
        <v>482404.82367525931</v>
      </c>
      <c r="AB120" s="4">
        <v>515710.436127569</v>
      </c>
      <c r="AC120" s="4">
        <v>550959.44395152561</v>
      </c>
      <c r="AD120" s="4">
        <v>588241.15218569618</v>
      </c>
      <c r="AE120" s="4">
        <v>627647.55295692675</v>
      </c>
      <c r="AF120" s="4">
        <v>669273.33451568475</v>
      </c>
      <c r="AG120" s="4">
        <v>713215.88673222717</v>
      </c>
      <c r="AH120" s="4">
        <v>759575.30295401218</v>
      </c>
      <c r="AI120" s="4">
        <v>808454.378131298</v>
      </c>
      <c r="AJ120" s="4">
        <v>859958.60312476556</v>
      </c>
      <c r="AK120" s="4">
        <v>914196.15511620359</v>
      </c>
      <c r="AL120" s="4">
        <v>971277.88405081269</v>
      </c>
      <c r="AM120" s="4">
        <v>1031317.2950474786</v>
      </c>
      <c r="AN120" s="4">
        <v>1094430.5267214177</v>
      </c>
      <c r="AO120" s="4">
        <v>1160736.3253718822</v>
      </c>
      <c r="AP120" s="4">
        <v>1230356.0149961091</v>
      </c>
      <c r="AQ120" s="4">
        <v>1303413.4630993619</v>
      </c>
      <c r="AR120" s="4">
        <v>1380035.0422797471</v>
      </c>
      <c r="AS120" s="4">
        <v>1460349.5875754375</v>
      </c>
      <c r="AT120" s="4">
        <v>1544488.3495709782</v>
      </c>
      <c r="AU120" s="4">
        <v>1632584.9432684775</v>
      </c>
      <c r="AV120" s="4">
        <v>1724775.2927386381</v>
      </c>
      <c r="AW120" s="4">
        <v>1821197.571575762</v>
      </c>
      <c r="AX120" s="4">
        <v>1921992.1391900112</v>
      </c>
      <c r="AY120" s="4">
        <v>2027301.4729793288</v>
      </c>
      <c r="AZ120" s="4">
        <v>2137270.0964324572</v>
      </c>
      <c r="BA120" s="4">
        <v>2252044.5032234415</v>
      </c>
      <c r="BB120" s="4">
        <v>2371773.0773668131</v>
      </c>
      <c r="BC120" s="4">
        <v>2496606.0095113264</v>
      </c>
      <c r="BD120" s="4">
        <v>2626695.2094586045</v>
      </c>
      <c r="BE120" s="4">
        <v>2762194.2150013312</v>
      </c>
      <c r="BF120" s="4">
        <v>2903258.097183702</v>
      </c>
      <c r="BG120" s="4">
        <v>3050043.3620946566</v>
      </c>
      <c r="BH120" s="4">
        <v>3202707.8493119525</v>
      </c>
      <c r="BI120" s="4">
        <v>3361410.627122419</v>
      </c>
      <c r="BJ120" s="4">
        <v>3526311.8846506546</v>
      </c>
      <c r="BK120" s="4">
        <v>3697572.8210350666</v>
      </c>
      <c r="BL120" s="4">
        <v>3875355.5317964335</v>
      </c>
      <c r="BM120" s="4">
        <v>4059822.8925500819</v>
      </c>
      <c r="BN120" s="4">
        <v>4251138.4402183266</v>
      </c>
      <c r="BO120" s="4">
        <v>4449466.251904984</v>
      </c>
      <c r="BP120" s="4">
        <v>4654970.8215985429</v>
      </c>
      <c r="BQ120" s="4">
        <v>4867816.9348749211</v>
      </c>
      <c r="BR120" s="4">
        <v>5088169.5417747274</v>
      </c>
      <c r="BS120" s="4">
        <v>5316193.6280334247</v>
      </c>
      <c r="BT120" s="4">
        <v>5552054.0848459508</v>
      </c>
      <c r="BU120" s="4">
        <v>5795915.5773499766</v>
      </c>
    </row>
    <row r="121" spans="1:73" x14ac:dyDescent="0.25">
      <c r="A121" s="3" t="s">
        <v>124</v>
      </c>
      <c r="B121" s="3" t="str">
        <f>VLOOKUP(A121,'storage capacity'!$A$2:$C$195,3,FALSE)</f>
        <v>Sub-saharan africa</v>
      </c>
      <c r="C121" s="4">
        <v>17949.533333333442</v>
      </c>
      <c r="D121" s="4">
        <v>18432.970118067355</v>
      </c>
      <c r="E121" s="4">
        <v>18924.462787267945</v>
      </c>
      <c r="F121" s="4">
        <v>19424.014531899211</v>
      </c>
      <c r="G121" s="4">
        <v>19931.625630384115</v>
      </c>
      <c r="H121" s="4">
        <v>20447.293450780948</v>
      </c>
      <c r="I121" s="4">
        <v>20971.012455336106</v>
      </c>
      <c r="J121" s="4">
        <v>21502.77420738016</v>
      </c>
      <c r="K121" s="4">
        <v>22042.567380531444</v>
      </c>
      <c r="L121" s="4">
        <v>22590.377770168878</v>
      </c>
      <c r="M121" s="4">
        <v>23146.188307133394</v>
      </c>
      <c r="N121" s="4">
        <v>23709.979073615017</v>
      </c>
      <c r="O121" s="4">
        <v>24281.72732118053</v>
      </c>
      <c r="P121" s="4">
        <v>24861.407490894639</v>
      </c>
      <c r="Q121" s="4">
        <v>25448.991235485639</v>
      </c>
      <c r="R121" s="4">
        <v>26044.447443504832</v>
      </c>
      <c r="S121" s="4">
        <v>26647.74226542727</v>
      </c>
      <c r="T121" s="4">
        <v>27258.839141639877</v>
      </c>
      <c r="U121" s="4">
        <v>27877.698832261674</v>
      </c>
      <c r="V121" s="4">
        <v>28504.27944873938</v>
      </c>
      <c r="W121" s="4">
        <v>29138.536487160694</v>
      </c>
      <c r="X121" s="4">
        <v>29780.422863226384</v>
      </c>
      <c r="Y121" s="4">
        <v>30429.888948821488</v>
      </c>
      <c r="Z121" s="4">
        <v>31086.882610125002</v>
      </c>
      <c r="AA121" s="4">
        <v>31751.349247196849</v>
      </c>
      <c r="AB121" s="4">
        <v>32423.231834980292</v>
      </c>
      <c r="AC121" s="4">
        <v>33102.470965657456</v>
      </c>
      <c r="AD121" s="4">
        <v>33789.004892295343</v>
      </c>
      <c r="AE121" s="4">
        <v>34482.769573719306</v>
      </c>
      <c r="AF121" s="4">
        <v>35183.698720550987</v>
      </c>
      <c r="AG121" s="4">
        <v>35891.723842347477</v>
      </c>
      <c r="AH121" s="4">
        <v>36606.77429577861</v>
      </c>
      <c r="AI121" s="4">
        <v>37328.77733377937</v>
      </c>
      <c r="AJ121" s="4">
        <v>38057.658155614612</v>
      </c>
      <c r="AK121" s="4">
        <v>38793.339957793607</v>
      </c>
      <c r="AL121" s="4">
        <v>39535.743985772315</v>
      </c>
      <c r="AM121" s="4">
        <v>40284.789586381732</v>
      </c>
      <c r="AN121" s="4">
        <v>41040.394260921159</v>
      </c>
      <c r="AO121" s="4">
        <v>41802.473718855981</v>
      </c>
      <c r="AP121" s="4">
        <v>42570.941932060043</v>
      </c>
      <c r="AQ121" s="4">
        <v>43345.711189543617</v>
      </c>
      <c r="AR121" s="4">
        <v>44126.692152608652</v>
      </c>
      <c r="AS121" s="4">
        <v>44913.793910373941</v>
      </c>
      <c r="AT121" s="4">
        <v>45706.924035613723</v>
      </c>
      <c r="AU121" s="4">
        <v>46505.988640854186</v>
      </c>
      <c r="AV121" s="4">
        <v>47310.892434673478</v>
      </c>
      <c r="AW121" s="4">
        <v>48121.538778151706</v>
      </c>
      <c r="AX121" s="4">
        <v>48937.829741418769</v>
      </c>
      <c r="AY121" s="4">
        <v>49759.666160248744</v>
      </c>
      <c r="AZ121" s="4">
        <v>50586.947692650974</v>
      </c>
      <c r="BA121" s="4">
        <v>51419.572875409103</v>
      </c>
      <c r="BB121" s="4">
        <v>52257.439180520501</v>
      </c>
      <c r="BC121" s="4">
        <v>53100.443071489986</v>
      </c>
      <c r="BD121" s="4">
        <v>53948.480059432826</v>
      </c>
      <c r="BE121" s="4">
        <v>54801.444758943537</v>
      </c>
      <c r="BF121" s="4">
        <v>55659.230943688111</v>
      </c>
      <c r="BG121" s="4">
        <v>56521.731601678875</v>
      </c>
      <c r="BH121" s="4">
        <v>57388.838990192402</v>
      </c>
      <c r="BI121" s="4">
        <v>58260.444690292366</v>
      </c>
      <c r="BJ121" s="4">
        <v>59136.439660920441</v>
      </c>
      <c r="BK121" s="4">
        <v>60016.71429252009</v>
      </c>
      <c r="BL121" s="4">
        <v>60901.158460159022</v>
      </c>
      <c r="BM121" s="4">
        <v>61789.661576117891</v>
      </c>
      <c r="BN121" s="4">
        <v>62682.112641913896</v>
      </c>
      <c r="BO121" s="4">
        <v>63578.400299729619</v>
      </c>
      <c r="BP121" s="4">
        <v>64478.412883218531</v>
      </c>
      <c r="BQ121" s="4">
        <v>65382.038467660161</v>
      </c>
      <c r="BR121" s="4">
        <v>66289.164919439267</v>
      </c>
      <c r="BS121" s="4">
        <v>67199.679944824544</v>
      </c>
      <c r="BT121" s="4">
        <v>68113.471138024091</v>
      </c>
      <c r="BU121" s="4">
        <v>69030.426028495727</v>
      </c>
    </row>
    <row r="122" spans="1:73" x14ac:dyDescent="0.25">
      <c r="A122" s="3" t="s">
        <v>125</v>
      </c>
      <c r="B122" s="3" t="str">
        <f>VLOOKUP(A122,'storage capacity'!$A$2:$C$195,3,FALSE)</f>
        <v>Oceania</v>
      </c>
      <c r="C122" s="4">
        <v>219.33333333333212</v>
      </c>
      <c r="D122" s="4">
        <v>229.28596478547925</v>
      </c>
      <c r="E122" s="4">
        <v>239.5861717046887</v>
      </c>
      <c r="F122" s="4">
        <v>250.24146530013368</v>
      </c>
      <c r="G122" s="4">
        <v>261.25934793050408</v>
      </c>
      <c r="H122" s="4">
        <v>272.64730707569055</v>
      </c>
      <c r="I122" s="4">
        <v>284.41280926511081</v>
      </c>
      <c r="J122" s="4">
        <v>296.56329397129963</v>
      </c>
      <c r="K122" s="4">
        <v>309.10616747743575</v>
      </c>
      <c r="L122" s="4">
        <v>322.04879672750434</v>
      </c>
      <c r="M122" s="4">
        <v>335.39850316780462</v>
      </c>
      <c r="N122" s="4">
        <v>349.16255658850071</v>
      </c>
      <c r="O122" s="4">
        <v>363.34816897388635</v>
      </c>
      <c r="P122" s="4">
        <v>377.9624883699862</v>
      </c>
      <c r="Q122" s="4">
        <v>393.01259277805002</v>
      </c>
      <c r="R122" s="4">
        <v>408.50548408241519</v>
      </c>
      <c r="S122" s="4">
        <v>424.44808202111062</v>
      </c>
      <c r="T122" s="4">
        <v>440.84721820745938</v>
      </c>
      <c r="U122" s="4">
        <v>457.70963021080445</v>
      </c>
      <c r="V122" s="4">
        <v>475.04195570433274</v>
      </c>
      <c r="W122" s="4">
        <v>492.85072668780981</v>
      </c>
      <c r="X122" s="4">
        <v>511.14236379286058</v>
      </c>
      <c r="Y122" s="4">
        <v>529.92317067823797</v>
      </c>
      <c r="Z122" s="4">
        <v>549.19932852232103</v>
      </c>
      <c r="AA122" s="4">
        <v>568.97689061986478</v>
      </c>
      <c r="AB122" s="4">
        <v>589.26177708979765</v>
      </c>
      <c r="AC122" s="4">
        <v>610.05976970062613</v>
      </c>
      <c r="AD122" s="4">
        <v>631.37650681975413</v>
      </c>
      <c r="AE122" s="4">
        <v>653.21747849277222</v>
      </c>
      <c r="AF122" s="4">
        <v>675.58802165850375</v>
      </c>
      <c r="AG122" s="4">
        <v>698.4933155053227</v>
      </c>
      <c r="AH122" s="4">
        <v>721.93837697397873</v>
      </c>
      <c r="AI122" s="4">
        <v>745.92805641187977</v>
      </c>
      <c r="AJ122" s="4">
        <v>770.46703338349118</v>
      </c>
      <c r="AK122" s="4">
        <v>795.55981264121658</v>
      </c>
      <c r="AL122" s="4">
        <v>821.21072026082561</v>
      </c>
      <c r="AM122" s="4">
        <v>847.42389994519397</v>
      </c>
      <c r="AN122" s="4">
        <v>874.20330949981587</v>
      </c>
      <c r="AO122" s="4">
        <v>901.55271748324571</v>
      </c>
      <c r="AP122" s="4">
        <v>929.47570003532007</v>
      </c>
      <c r="AQ122" s="4">
        <v>957.97563788570324</v>
      </c>
      <c r="AR122" s="4">
        <v>987.05571354499966</v>
      </c>
      <c r="AS122" s="4">
        <v>1016.7189086803664</v>
      </c>
      <c r="AT122" s="4">
        <v>1046.9680016772652</v>
      </c>
      <c r="AU122" s="4">
        <v>1077.8055653886865</v>
      </c>
      <c r="AV122" s="4">
        <v>1109.2339650728914</v>
      </c>
      <c r="AW122" s="4">
        <v>1141.2553565204141</v>
      </c>
      <c r="AX122" s="4">
        <v>1173.871684370795</v>
      </c>
      <c r="AY122" s="4">
        <v>1207.084680619213</v>
      </c>
      <c r="AZ122" s="4">
        <v>1240.8958633129278</v>
      </c>
      <c r="BA122" s="4">
        <v>1275.3065354371545</v>
      </c>
      <c r="BB122" s="4">
        <v>1310.3177839897394</v>
      </c>
      <c r="BC122" s="4">
        <v>1345.9304792437374</v>
      </c>
      <c r="BD122" s="4">
        <v>1382.1452741967476</v>
      </c>
      <c r="BE122" s="4">
        <v>1418.9626042056109</v>
      </c>
      <c r="BF122" s="4">
        <v>1456.3826868048436</v>
      </c>
      <c r="BG122" s="4">
        <v>1494.4055217069456</v>
      </c>
      <c r="BH122" s="4">
        <v>1533.0308909825033</v>
      </c>
      <c r="BI122" s="4">
        <v>1572.2583594177959</v>
      </c>
      <c r="BJ122" s="4">
        <v>1612.0872750474036</v>
      </c>
      <c r="BK122" s="4">
        <v>1652.5167698591288</v>
      </c>
      <c r="BL122" s="4">
        <v>1693.5457606683453</v>
      </c>
      <c r="BM122" s="4">
        <v>1735.1729501587242</v>
      </c>
      <c r="BN122" s="4">
        <v>1777.3968280861022</v>
      </c>
      <c r="BO122" s="4">
        <v>1820.2156726421128</v>
      </c>
      <c r="BP122" s="4">
        <v>1863.6275519740398</v>
      </c>
      <c r="BQ122" s="4">
        <v>1907.6303258572202</v>
      </c>
      <c r="BR122" s="4">
        <v>1952.2216475161824</v>
      </c>
      <c r="BS122" s="4">
        <v>1997.3989655905934</v>
      </c>
      <c r="BT122" s="4">
        <v>2043.1595262419658</v>
      </c>
      <c r="BU122" s="4">
        <v>2089.5003753969791</v>
      </c>
    </row>
    <row r="123" spans="1:73" x14ac:dyDescent="0.25">
      <c r="A123" s="3" t="s">
        <v>126</v>
      </c>
      <c r="B123" s="3" t="str">
        <f>VLOOKUP(A123,'storage capacity'!$A$2:$C$195,3,FALSE)</f>
        <v>Other Asia pacific</v>
      </c>
      <c r="C123" s="4">
        <v>70394.466666666791</v>
      </c>
      <c r="D123" s="4">
        <v>73124.453728949447</v>
      </c>
      <c r="E123" s="4">
        <v>75931.954571681694</v>
      </c>
      <c r="F123" s="4">
        <v>78818.092182611261</v>
      </c>
      <c r="G123" s="4">
        <v>81783.972133122079</v>
      </c>
      <c r="H123" s="4">
        <v>84830.681614926973</v>
      </c>
      <c r="I123" s="4">
        <v>87959.288491436251</v>
      </c>
      <c r="J123" s="4">
        <v>91170.840365032898</v>
      </c>
      <c r="K123" s="4">
        <v>94466.363661449825</v>
      </c>
      <c r="L123" s="4">
        <v>97846.862732406793</v>
      </c>
      <c r="M123" s="4">
        <v>101313.31897762541</v>
      </c>
      <c r="N123" s="4">
        <v>104866.68998729934</v>
      </c>
      <c r="O123" s="4">
        <v>108507.90870605425</v>
      </c>
      <c r="P123" s="4">
        <v>112237.88261938817</v>
      </c>
      <c r="Q123" s="4">
        <v>116057.4929635367</v>
      </c>
      <c r="R123" s="4">
        <v>119967.5939596621</v>
      </c>
      <c r="S123" s="4">
        <v>123969.01207321642</v>
      </c>
      <c r="T123" s="4">
        <v>128062.54529928106</v>
      </c>
      <c r="U123" s="4">
        <v>132248.9624746356</v>
      </c>
      <c r="V123" s="4">
        <v>136529.00261725835</v>
      </c>
      <c r="W123" s="4">
        <v>140903.37429391118</v>
      </c>
      <c r="X123" s="4">
        <v>145372.75501640979</v>
      </c>
      <c r="Y123" s="4">
        <v>149937.79066712936</v>
      </c>
      <c r="Z123" s="4">
        <v>154599.09495424441</v>
      </c>
      <c r="AA123" s="4">
        <v>159357.24889715019</v>
      </c>
      <c r="AB123" s="4">
        <v>164212.80034246141</v>
      </c>
      <c r="AC123" s="4">
        <v>169166.2635109332</v>
      </c>
      <c r="AD123" s="4">
        <v>174218.11857559832</v>
      </c>
      <c r="AE123" s="4">
        <v>179368.81127136401</v>
      </c>
      <c r="AF123" s="4">
        <v>184618.75253626218</v>
      </c>
      <c r="AG123" s="4">
        <v>189968.31818449701</v>
      </c>
      <c r="AH123" s="4">
        <v>195417.84861138574</v>
      </c>
      <c r="AI123" s="4">
        <v>200967.64853024014</v>
      </c>
      <c r="AJ123" s="4">
        <v>206617.98674118952</v>
      </c>
      <c r="AK123" s="4">
        <v>212369.09593189953</v>
      </c>
      <c r="AL123" s="4">
        <v>218221.17251009666</v>
      </c>
      <c r="AM123" s="4">
        <v>224174.3764677635</v>
      </c>
      <c r="AN123" s="4">
        <v>230228.83127682796</v>
      </c>
      <c r="AO123" s="4">
        <v>236384.62381612661</v>
      </c>
      <c r="AP123" s="4">
        <v>242641.80432938362</v>
      </c>
      <c r="AQ123" s="4">
        <v>249000.38641390621</v>
      </c>
      <c r="AR123" s="4">
        <v>255460.34703966035</v>
      </c>
      <c r="AS123" s="4">
        <v>262021.62659835455</v>
      </c>
      <c r="AT123" s="4">
        <v>268684.12898212369</v>
      </c>
      <c r="AU123" s="4">
        <v>275447.72169137234</v>
      </c>
      <c r="AV123" s="4">
        <v>282312.23597130401</v>
      </c>
      <c r="AW123" s="4">
        <v>289277.46697663388</v>
      </c>
      <c r="AX123" s="4">
        <v>296343.1739639513</v>
      </c>
      <c r="AY123" s="4">
        <v>303509.08051117347</v>
      </c>
      <c r="AZ123" s="4">
        <v>310774.87476350385</v>
      </c>
      <c r="BA123" s="4">
        <v>318140.20970528596</v>
      </c>
      <c r="BB123" s="4">
        <v>325604.70345711929</v>
      </c>
      <c r="BC123" s="4">
        <v>333167.93959758384</v>
      </c>
      <c r="BD123" s="4">
        <v>340829.46750889975</v>
      </c>
      <c r="BE123" s="4">
        <v>348588.80274583062</v>
      </c>
      <c r="BF123" s="4">
        <v>356445.42742712202</v>
      </c>
      <c r="BG123" s="4">
        <v>364398.7906487523</v>
      </c>
      <c r="BH123" s="4">
        <v>372448.30891825916</v>
      </c>
      <c r="BI123" s="4">
        <v>380593.36660939333</v>
      </c>
      <c r="BJ123" s="4">
        <v>388833.31643633981</v>
      </c>
      <c r="BK123" s="4">
        <v>397167.47994673863</v>
      </c>
      <c r="BL123" s="4">
        <v>405595.14803272887</v>
      </c>
      <c r="BM123" s="4">
        <v>414115.58145923354</v>
      </c>
      <c r="BN123" s="4">
        <v>422728.01140869822</v>
      </c>
      <c r="BO123" s="4">
        <v>431431.64004149201</v>
      </c>
      <c r="BP123" s="4">
        <v>440225.64107117685</v>
      </c>
      <c r="BQ123" s="4">
        <v>449109.1603538522</v>
      </c>
      <c r="BR123" s="4">
        <v>458081.31649077899</v>
      </c>
      <c r="BS123" s="4">
        <v>467141.20144349011</v>
      </c>
      <c r="BT123" s="4">
        <v>476287.88116059685</v>
      </c>
      <c r="BU123" s="4">
        <v>485520.39621550357</v>
      </c>
    </row>
    <row r="124" spans="1:73" x14ac:dyDescent="0.25">
      <c r="A124" s="3" t="s">
        <v>127</v>
      </c>
      <c r="B124" s="3" t="str">
        <f>VLOOKUP(A124,'storage capacity'!$A$2:$C$195,3,FALSE)</f>
        <v>Country specific</v>
      </c>
      <c r="C124" s="4">
        <v>1547472.8666666746</v>
      </c>
      <c r="D124" s="4">
        <v>1676162.0844569197</v>
      </c>
      <c r="E124" s="4">
        <v>1814159.3006039357</v>
      </c>
      <c r="F124" s="4">
        <v>1962024.1438058731</v>
      </c>
      <c r="G124" s="4">
        <v>2120341.6897693588</v>
      </c>
      <c r="H124" s="4">
        <v>2289723.1018423145</v>
      </c>
      <c r="I124" s="4">
        <v>2470806.2587581337</v>
      </c>
      <c r="J124" s="4">
        <v>2664256.3676958736</v>
      </c>
      <c r="K124" s="4">
        <v>2870766.5608421396</v>
      </c>
      <c r="L124" s="4">
        <v>3091058.4736265535</v>
      </c>
      <c r="M124" s="4">
        <v>3325882.8027942558</v>
      </c>
      <c r="N124" s="4">
        <v>3576019.84247596</v>
      </c>
      <c r="O124" s="4">
        <v>3842279.9964187187</v>
      </c>
      <c r="P124" s="4">
        <v>4125504.2645488982</v>
      </c>
      <c r="Q124" s="4">
        <v>4426564.7020529406</v>
      </c>
      <c r="R124" s="4">
        <v>4746364.8491813475</v>
      </c>
      <c r="S124" s="4">
        <v>5085840.1300070034</v>
      </c>
      <c r="T124" s="4">
        <v>5445958.2184004076</v>
      </c>
      <c r="U124" s="4">
        <v>5827719.3695216142</v>
      </c>
      <c r="V124" s="4">
        <v>6232156.7151716249</v>
      </c>
      <c r="W124" s="4">
        <v>6660336.5213945433</v>
      </c>
      <c r="X124" s="4">
        <v>7113358.4067758843</v>
      </c>
      <c r="Y124" s="4">
        <v>7592355.5199419521</v>
      </c>
      <c r="Z124" s="4">
        <v>8098494.6748299282</v>
      </c>
      <c r="AA124" s="4">
        <v>8632976.4423681796</v>
      </c>
      <c r="AB124" s="4">
        <v>9197035.1972810011</v>
      </c>
      <c r="AC124" s="4">
        <v>9791939.118811477</v>
      </c>
      <c r="AD124" s="4">
        <v>10418990.144239962</v>
      </c>
      <c r="AE124" s="4">
        <v>11079523.874163855</v>
      </c>
      <c r="AF124" s="4">
        <v>11774909.428596295</v>
      </c>
      <c r="AG124" s="4">
        <v>12506549.253037218</v>
      </c>
      <c r="AH124" s="4">
        <v>13275878.873769194</v>
      </c>
      <c r="AI124" s="4">
        <v>14084366.601732727</v>
      </c>
      <c r="AJ124" s="4">
        <v>14933513.18444054</v>
      </c>
      <c r="AK124" s="4">
        <v>15824851.405497739</v>
      </c>
      <c r="AL124" s="4">
        <v>16759945.631404186</v>
      </c>
      <c r="AM124" s="4">
        <v>17740391.305426594</v>
      </c>
      <c r="AN124" s="4">
        <v>18767814.388440434</v>
      </c>
      <c r="AO124" s="4">
        <v>19843870.74675535</v>
      </c>
      <c r="AP124" s="4">
        <v>20970245.487052206</v>
      </c>
      <c r="AQ124" s="4">
        <v>22148652.238674432</v>
      </c>
      <c r="AR124" s="4">
        <v>23380832.383631095</v>
      </c>
      <c r="AS124" s="4">
        <v>24668554.234783351</v>
      </c>
      <c r="AT124" s="4">
        <v>26013612.162799526</v>
      </c>
      <c r="AU124" s="4">
        <v>27417825.672576647</v>
      </c>
      <c r="AV124" s="4">
        <v>28883038.429937243</v>
      </c>
      <c r="AW124" s="4">
        <v>30411117.239519749</v>
      </c>
      <c r="AX124" s="4">
        <v>32003950.974888116</v>
      </c>
      <c r="AY124" s="4">
        <v>33663449.461991228</v>
      </c>
      <c r="AZ124" s="4">
        <v>35391542.317205064</v>
      </c>
      <c r="BA124" s="4">
        <v>37190177.741289884</v>
      </c>
      <c r="BB124" s="4">
        <v>39061321.270690881</v>
      </c>
      <c r="BC124" s="4">
        <v>41006954.487703353</v>
      </c>
      <c r="BD124" s="4">
        <v>43029073.691112459</v>
      </c>
      <c r="BE124" s="4">
        <v>45129688.529002398</v>
      </c>
      <c r="BF124" s="4">
        <v>47310820.59551084</v>
      </c>
      <c r="BG124" s="4">
        <v>49574501.993380614</v>
      </c>
      <c r="BH124" s="4">
        <v>51922773.864232592</v>
      </c>
      <c r="BI124" s="4">
        <v>54357684.888550781</v>
      </c>
      <c r="BJ124" s="4">
        <v>56881289.757432677</v>
      </c>
      <c r="BK124" s="4">
        <v>59495647.618215479</v>
      </c>
      <c r="BL124" s="4">
        <v>62202820.496140473</v>
      </c>
      <c r="BM124" s="4">
        <v>65004871.694264963</v>
      </c>
      <c r="BN124" s="4">
        <v>67903864.173872605</v>
      </c>
      <c r="BO124" s="4">
        <v>70901858.917669401</v>
      </c>
      <c r="BP124" s="4">
        <v>74000913.27808325</v>
      </c>
      <c r="BQ124" s="4">
        <v>77203079.313010439</v>
      </c>
      <c r="BR124" s="4">
        <v>80510402.111372679</v>
      </c>
      <c r="BS124" s="4">
        <v>83924918.110862717</v>
      </c>
      <c r="BT124" s="4">
        <v>87448653.410265774</v>
      </c>
      <c r="BU124" s="4">
        <v>91083622.078748286</v>
      </c>
    </row>
    <row r="125" spans="1:73" x14ac:dyDescent="0.25">
      <c r="A125" s="3" t="s">
        <v>128</v>
      </c>
      <c r="B125" s="3" t="str">
        <f>VLOOKUP(A125,'storage capacity'!$A$2:$C$195,3,FALSE)</f>
        <v>Country specific</v>
      </c>
      <c r="C125" s="4">
        <v>315392.86666666716</v>
      </c>
      <c r="D125" s="4">
        <v>328327.02912242227</v>
      </c>
      <c r="E125" s="4">
        <v>341656.97163629439</v>
      </c>
      <c r="F125" s="4">
        <v>355389.3930135807</v>
      </c>
      <c r="G125" s="4">
        <v>369530.92598380521</v>
      </c>
      <c r="H125" s="4">
        <v>384088.13150903233</v>
      </c>
      <c r="I125" s="4">
        <v>399067.49313279602</v>
      </c>
      <c r="J125" s="4">
        <v>414475.4113773788</v>
      </c>
      <c r="K125" s="4">
        <v>430318.19819705019</v>
      </c>
      <c r="L125" s="4">
        <v>446602.07149473333</v>
      </c>
      <c r="M125" s="4">
        <v>463333.14970941568</v>
      </c>
      <c r="N125" s="4">
        <v>480517.44648145029</v>
      </c>
      <c r="O125" s="4">
        <v>498160.86540271604</v>
      </c>
      <c r="P125" s="4">
        <v>516269.19485841144</v>
      </c>
      <c r="Q125" s="4">
        <v>534848.10296705505</v>
      </c>
      <c r="R125" s="4">
        <v>553903.13262505014</v>
      </c>
      <c r="S125" s="4">
        <v>573439.69666194648</v>
      </c>
      <c r="T125" s="4">
        <v>593463.07311230304</v>
      </c>
      <c r="U125" s="4">
        <v>613978.40060980862</v>
      </c>
      <c r="V125" s="4">
        <v>634990.6739090709</v>
      </c>
      <c r="W125" s="4">
        <v>656504.73954023013</v>
      </c>
      <c r="X125" s="4">
        <v>678525.29160128534</v>
      </c>
      <c r="Y125" s="4">
        <v>701056.86769275973</v>
      </c>
      <c r="Z125" s="4">
        <v>724103.84499905375</v>
      </c>
      <c r="AA125" s="4">
        <v>747670.43652056088</v>
      </c>
      <c r="AB125" s="4">
        <v>771760.6874603387</v>
      </c>
      <c r="AC125" s="4">
        <v>796378.47176884662</v>
      </c>
      <c r="AD125" s="4">
        <v>821527.48884997738</v>
      </c>
      <c r="AE125" s="4">
        <v>847211.26043131959</v>
      </c>
      <c r="AF125" s="4">
        <v>873433.12760130817</v>
      </c>
      <c r="AG125" s="4">
        <v>900196.24801562785</v>
      </c>
      <c r="AH125" s="4">
        <v>927503.59327495098</v>
      </c>
      <c r="AI125" s="4">
        <v>955357.94647580816</v>
      </c>
      <c r="AJ125" s="4">
        <v>983761.89993610408</v>
      </c>
      <c r="AK125" s="4">
        <v>1012717.8530965145</v>
      </c>
      <c r="AL125" s="4">
        <v>1042228.0105987211</v>
      </c>
      <c r="AM125" s="4">
        <v>1072294.3805411675</v>
      </c>
      <c r="AN125" s="4">
        <v>1102918.7729127523</v>
      </c>
      <c r="AO125" s="4">
        <v>1134102.7982046078</v>
      </c>
      <c r="AP125" s="4">
        <v>1165847.8661998541</v>
      </c>
      <c r="AQ125" s="4">
        <v>1198155.184940964</v>
      </c>
      <c r="AR125" s="4">
        <v>1231025.7598741259</v>
      </c>
      <c r="AS125" s="4">
        <v>1264460.3931697477</v>
      </c>
      <c r="AT125" s="4">
        <v>1298459.6832180105</v>
      </c>
      <c r="AU125" s="4">
        <v>1333024.0242981508</v>
      </c>
      <c r="AV125" s="4">
        <v>1368153.6064199281</v>
      </c>
      <c r="AW125" s="4">
        <v>1403848.4153355197</v>
      </c>
      <c r="AX125" s="4">
        <v>1440108.2327198787</v>
      </c>
      <c r="AY125" s="4">
        <v>1476932.6365173913</v>
      </c>
      <c r="AZ125" s="4">
        <v>1514321.0014524774</v>
      </c>
      <c r="BA125" s="4">
        <v>1552272.499701598</v>
      </c>
      <c r="BB125" s="4">
        <v>1590786.1017239545</v>
      </c>
      <c r="BC125" s="4">
        <v>1629860.5772480057</v>
      </c>
      <c r="BD125" s="4">
        <v>1669494.4964107599</v>
      </c>
      <c r="BE125" s="4">
        <v>1709686.2310466636</v>
      </c>
      <c r="BF125" s="4">
        <v>1750433.9561227572</v>
      </c>
      <c r="BG125" s="4">
        <v>1791735.6513166411</v>
      </c>
      <c r="BH125" s="4">
        <v>1833589.102733674</v>
      </c>
      <c r="BI125" s="4">
        <v>1875991.9047597062</v>
      </c>
      <c r="BJ125" s="4">
        <v>1918941.4620455538</v>
      </c>
      <c r="BK125" s="4">
        <v>1962434.9916193082</v>
      </c>
      <c r="BL125" s="4">
        <v>2006469.5251225058</v>
      </c>
      <c r="BM125" s="4">
        <v>2051041.9111660828</v>
      </c>
      <c r="BN125" s="4">
        <v>2096148.8178019885</v>
      </c>
      <c r="BO125" s="4">
        <v>2141786.7351062451</v>
      </c>
      <c r="BP125" s="4">
        <v>2187951.9778692103</v>
      </c>
      <c r="BQ125" s="4">
        <v>2234640.6883887295</v>
      </c>
      <c r="BR125" s="4">
        <v>2281848.8393618409</v>
      </c>
      <c r="BS125" s="4">
        <v>2329572.2368706563</v>
      </c>
      <c r="BT125" s="4">
        <v>2377806.5234580198</v>
      </c>
      <c r="BU125" s="4">
        <v>2426547.1812885259</v>
      </c>
    </row>
    <row r="126" spans="1:73" x14ac:dyDescent="0.25">
      <c r="A126" s="3" t="s">
        <v>129</v>
      </c>
      <c r="B126" s="3" t="str">
        <f>VLOOKUP(A126,'storage capacity'!$A$2:$C$195,3,FALSE)</f>
        <v>Other latin america</v>
      </c>
      <c r="C126" s="4">
        <v>29571.666666666511</v>
      </c>
      <c r="D126" s="4">
        <v>30632.263547722876</v>
      </c>
      <c r="E126" s="4">
        <v>31719.912705586627</v>
      </c>
      <c r="F126" s="4">
        <v>32834.9179654857</v>
      </c>
      <c r="G126" s="4">
        <v>33977.575434750695</v>
      </c>
      <c r="H126" s="4">
        <v>35148.173244523052</v>
      </c>
      <c r="I126" s="4">
        <v>36346.991298789006</v>
      </c>
      <c r="J126" s="4">
        <v>37574.30103102624</v>
      </c>
      <c r="K126" s="4">
        <v>38830.365168734861</v>
      </c>
      <c r="L126" s="4">
        <v>40115.437506109309</v>
      </c>
      <c r="M126" s="4">
        <v>41429.762685092159</v>
      </c>
      <c r="N126" s="4">
        <v>42773.575985035051</v>
      </c>
      <c r="O126" s="4">
        <v>44147.103121176151</v>
      </c>
      <c r="P126" s="4">
        <v>45550.560052127345</v>
      </c>
      <c r="Q126" s="4">
        <v>46984.152796548442</v>
      </c>
      <c r="R126" s="4">
        <v>48448.077259169208</v>
      </c>
      <c r="S126" s="4">
        <v>49942.519066304019</v>
      </c>
      <c r="T126" s="4">
        <v>51467.653410987732</v>
      </c>
      <c r="U126" s="4">
        <v>53023.64490784501</v>
      </c>
      <c r="V126" s="4">
        <v>54610.647457789499</v>
      </c>
      <c r="W126" s="4">
        <v>56228.804122633206</v>
      </c>
      <c r="X126" s="4">
        <v>57878.247009670595</v>
      </c>
      <c r="Y126" s="4">
        <v>59559.097166286476</v>
      </c>
      <c r="Z126" s="4">
        <v>61271.464484621021</v>
      </c>
      <c r="AA126" s="4">
        <v>63015.447616310557</v>
      </c>
      <c r="AB126" s="4">
        <v>64791.133897307358</v>
      </c>
      <c r="AC126" s="4">
        <v>66598.599282767493</v>
      </c>
      <c r="AD126" s="4">
        <v>68437.908291981308</v>
      </c>
      <c r="AE126" s="4">
        <v>70309.113963306954</v>
      </c>
      <c r="AF126" s="4">
        <v>72212.257819054241</v>
      </c>
      <c r="AG126" s="4">
        <v>74147.369840252475</v>
      </c>
      <c r="AH126" s="4">
        <v>76114.46845122322</v>
      </c>
      <c r="AI126" s="4">
        <v>78113.560513866527</v>
      </c>
      <c r="AJ126" s="4">
        <v>80144.641331557141</v>
      </c>
      <c r="AK126" s="4">
        <v>82207.694662535709</v>
      </c>
      <c r="AL126" s="4">
        <v>84302.692742668674</v>
      </c>
      <c r="AM126" s="4">
        <v>86429.59631744017</v>
      </c>
      <c r="AN126" s="4">
        <v>88588.354683028796</v>
      </c>
      <c r="AO126" s="4">
        <v>90778.905736312605</v>
      </c>
      <c r="AP126" s="4">
        <v>93001.176033636235</v>
      </c>
      <c r="AQ126" s="4">
        <v>95255.080858165456</v>
      </c>
      <c r="AR126" s="4">
        <v>97540.524295646232</v>
      </c>
      <c r="AS126" s="4">
        <v>99857.3993183774</v>
      </c>
      <c r="AT126" s="4">
        <v>102205.58787719888</v>
      </c>
      <c r="AU126" s="4">
        <v>104584.96100129071</v>
      </c>
      <c r="AV126" s="4">
        <v>106995.37890557162</v>
      </c>
      <c r="AW126" s="4">
        <v>109436.69110548023</v>
      </c>
      <c r="AX126" s="4">
        <v>111908.73653891654</v>
      </c>
      <c r="AY126" s="4">
        <v>114411.34369511656</v>
      </c>
      <c r="AZ126" s="4">
        <v>116944.33075022879</v>
      </c>
      <c r="BA126" s="4">
        <v>119507.50570935672</v>
      </c>
      <c r="BB126" s="4">
        <v>122100.66655482889</v>
      </c>
      <c r="BC126" s="4">
        <v>124723.60140045451</v>
      </c>
      <c r="BD126" s="4">
        <v>127376.08865152032</v>
      </c>
      <c r="BE126" s="4">
        <v>130057.8971702822</v>
      </c>
      <c r="BF126" s="4">
        <v>132768.78644670339</v>
      </c>
      <c r="BG126" s="4">
        <v>135508.50677419017</v>
      </c>
      <c r="BH126" s="4">
        <v>138276.79943007434</v>
      </c>
      <c r="BI126" s="4">
        <v>141073.3968605923</v>
      </c>
      <c r="BJ126" s="4">
        <v>143898.02287010982</v>
      </c>
      <c r="BK126" s="4">
        <v>146750.39281434199</v>
      </c>
      <c r="BL126" s="4">
        <v>149630.21379731878</v>
      </c>
      <c r="BM126" s="4">
        <v>152537.18487184745</v>
      </c>
      <c r="BN126" s="4">
        <v>155470.9972432245</v>
      </c>
      <c r="BO126" s="4">
        <v>158431.33447595141</v>
      </c>
      <c r="BP126" s="4">
        <v>161417.87270321042</v>
      </c>
      <c r="BQ126" s="4">
        <v>164430.28083885927</v>
      </c>
      <c r="BR126" s="4">
        <v>167468.22079170556</v>
      </c>
      <c r="BS126" s="4">
        <v>170531.34768182534</v>
      </c>
      <c r="BT126" s="4">
        <v>173619.3100586923</v>
      </c>
      <c r="BU126" s="4">
        <v>176731.75012088867</v>
      </c>
    </row>
    <row r="127" spans="1:73" x14ac:dyDescent="0.25">
      <c r="A127" s="3" t="s">
        <v>130</v>
      </c>
      <c r="B127" s="3" t="str">
        <f>VLOOKUP(A127,'storage capacity'!$A$2:$C$195,3,FALSE)</f>
        <v>Sub-saharan africa</v>
      </c>
      <c r="C127" s="4">
        <v>31699.799999999814</v>
      </c>
      <c r="D127" s="4">
        <v>34195.938794971982</v>
      </c>
      <c r="E127" s="4">
        <v>36861.704237090154</v>
      </c>
      <c r="F127" s="4">
        <v>39706.54529564859</v>
      </c>
      <c r="G127" s="4">
        <v>42740.296028598794</v>
      </c>
      <c r="H127" s="4">
        <v>45973.18293435801</v>
      </c>
      <c r="I127" s="4">
        <v>49415.831998249792</v>
      </c>
      <c r="J127" s="4">
        <v>53079.275409009111</v>
      </c>
      <c r="K127" s="4">
        <v>56974.957920929206</v>
      </c>
      <c r="L127" s="4">
        <v>61114.742837449601</v>
      </c>
      <c r="M127" s="4">
        <v>65510.917592284015</v>
      </c>
      <c r="N127" s="4">
        <v>70176.198904564546</v>
      </c>
      <c r="O127" s="4">
        <v>75123.737484933299</v>
      </c>
      <c r="P127" s="4">
        <v>80367.122270044332</v>
      </c>
      <c r="Q127" s="4">
        <v>85920.384163546885</v>
      </c>
      <c r="R127" s="4">
        <v>91797.999262303347</v>
      </c>
      <c r="S127" s="4">
        <v>98014.89154735177</v>
      </c>
      <c r="T127" s="4">
        <v>104586.43501995019</v>
      </c>
      <c r="U127" s="4">
        <v>111528.45526393729</v>
      </c>
      <c r="V127" s="4">
        <v>118857.23041660812</v>
      </c>
      <c r="W127" s="4">
        <v>126589.49153133217</v>
      </c>
      <c r="X127" s="4">
        <v>134742.42231623124</v>
      </c>
      <c r="Y127" s="4">
        <v>143333.65823438286</v>
      </c>
      <c r="Z127" s="4">
        <v>152381.28495221879</v>
      </c>
      <c r="AA127" s="4">
        <v>161903.83612404214</v>
      </c>
      <c r="AB127" s="4">
        <v>171920.29050188937</v>
      </c>
      <c r="AC127" s="4">
        <v>182450.06836130889</v>
      </c>
      <c r="AD127" s="4">
        <v>193513.02723501314</v>
      </c>
      <c r="AE127" s="4">
        <v>205129.45694778021</v>
      </c>
      <c r="AF127" s="4">
        <v>217320.07394743312</v>
      </c>
      <c r="AG127" s="4">
        <v>230106.01492820017</v>
      </c>
      <c r="AH127" s="4">
        <v>243508.82974425849</v>
      </c>
      <c r="AI127" s="4">
        <v>257550.47361277792</v>
      </c>
      <c r="AJ127" s="4">
        <v>272253.29860730842</v>
      </c>
      <c r="AK127" s="4">
        <v>287640.04444388923</v>
      </c>
      <c r="AL127" s="4">
        <v>303733.82856379449</v>
      </c>
      <c r="AM127" s="4">
        <v>320558.13551836344</v>
      </c>
      <c r="AN127" s="4">
        <v>338136.80566289218</v>
      </c>
      <c r="AO127" s="4">
        <v>356494.02316807938</v>
      </c>
      <c r="AP127" s="4">
        <v>375654.3033590173</v>
      </c>
      <c r="AQ127" s="4">
        <v>395642.47939319967</v>
      </c>
      <c r="AR127" s="4">
        <v>416483.68829047185</v>
      </c>
      <c r="AS127" s="4">
        <v>438203.35632927279</v>
      </c>
      <c r="AT127" s="4">
        <v>460827.18382491049</v>
      </c>
      <c r="AU127" s="4">
        <v>484381.12930696673</v>
      </c>
      <c r="AV127" s="4">
        <v>508891.39311423874</v>
      </c>
      <c r="AW127" s="4">
        <v>534384.40042689536</v>
      </c>
      <c r="AX127" s="4">
        <v>560886.78375674342</v>
      </c>
      <c r="AY127" s="4">
        <v>588425.36491766991</v>
      </c>
      <c r="AZ127" s="4">
        <v>617027.13649943948</v>
      </c>
      <c r="BA127" s="4">
        <v>646719.24286908202</v>
      </c>
      <c r="BB127" s="4">
        <v>677528.96072510548</v>
      </c>
      <c r="BC127" s="4">
        <v>709483.67923070048</v>
      </c>
      <c r="BD127" s="4">
        <v>742610.87975297624</v>
      </c>
      <c r="BE127" s="4">
        <v>776938.11523607059</v>
      </c>
      <c r="BF127" s="4">
        <v>812492.98923671548</v>
      </c>
      <c r="BG127" s="4">
        <v>849303.13465150411</v>
      </c>
      <c r="BH127" s="4">
        <v>887396.19216570596</v>
      </c>
      <c r="BI127" s="4">
        <v>926799.78845400119</v>
      </c>
      <c r="BJ127" s="4">
        <v>967541.51416395837</v>
      </c>
      <c r="BK127" s="4">
        <v>1009648.9017134656</v>
      </c>
      <c r="BL127" s="4">
        <v>1053149.4029336306</v>
      </c>
      <c r="BM127" s="4">
        <v>1098070.3665889038</v>
      </c>
      <c r="BN127" s="4">
        <v>1144439.0158063457</v>
      </c>
      <c r="BO127" s="4">
        <v>1192282.4254460491</v>
      </c>
      <c r="BP127" s="4">
        <v>1241627.4994447513</v>
      </c>
      <c r="BQ127" s="4">
        <v>1292500.9481646244</v>
      </c>
      <c r="BR127" s="4">
        <v>1344929.2657791125</v>
      </c>
      <c r="BS127" s="4">
        <v>1398938.7077275009</v>
      </c>
      <c r="BT127" s="4">
        <v>1454555.2682696548</v>
      </c>
      <c r="BU127" s="4">
        <v>1511804.6581720412</v>
      </c>
    </row>
    <row r="128" spans="1:73" x14ac:dyDescent="0.25">
      <c r="A128" s="3" t="s">
        <v>131</v>
      </c>
      <c r="B128" s="3" t="str">
        <f>VLOOKUP(A128,'storage capacity'!$A$2:$C$195,3,FALSE)</f>
        <v>Sub-saharan africa</v>
      </c>
      <c r="C128" s="4">
        <v>165482.13333333284</v>
      </c>
      <c r="D128" s="4">
        <v>179098.3600302953</v>
      </c>
      <c r="E128" s="4">
        <v>193687.59322353289</v>
      </c>
      <c r="F128" s="4">
        <v>209307.47901735094</v>
      </c>
      <c r="G128" s="4">
        <v>226018.23098135079</v>
      </c>
      <c r="H128" s="4">
        <v>243882.69176819493</v>
      </c>
      <c r="I128" s="4">
        <v>262966.39327810536</v>
      </c>
      <c r="J128" s="4">
        <v>283337.61519169097</v>
      </c>
      <c r="K128" s="4">
        <v>305067.44169137423</v>
      </c>
      <c r="L128" s="4">
        <v>328229.81619088864</v>
      </c>
      <c r="M128" s="4">
        <v>352901.59389206098</v>
      </c>
      <c r="N128" s="4">
        <v>379162.59198838403</v>
      </c>
      <c r="O128" s="4">
        <v>407095.63733573625</v>
      </c>
      <c r="P128" s="4">
        <v>436786.61141202168</v>
      </c>
      <c r="Q128" s="4">
        <v>468324.49238948699</v>
      </c>
      <c r="R128" s="4">
        <v>501801.3941460296</v>
      </c>
      <c r="S128" s="4">
        <v>537312.60204493313</v>
      </c>
      <c r="T128" s="4">
        <v>574956.60531615978</v>
      </c>
      <c r="U128" s="4">
        <v>614835.12587657955</v>
      </c>
      <c r="V128" s="4">
        <v>657053.1434313209</v>
      </c>
      <c r="W128" s="4">
        <v>701718.91670377424</v>
      </c>
      <c r="X128" s="4">
        <v>748944.00064765906</v>
      </c>
      <c r="Y128" s="4">
        <v>798843.25950095523</v>
      </c>
      <c r="Z128" s="4">
        <v>851534.87554839312</v>
      </c>
      <c r="AA128" s="4">
        <v>907140.3534665698</v>
      </c>
      <c r="AB128" s="4">
        <v>965784.520133588</v>
      </c>
      <c r="AC128" s="4">
        <v>1027595.5197933837</v>
      </c>
      <c r="AD128" s="4">
        <v>1092704.8044735885</v>
      </c>
      <c r="AE128" s="4">
        <v>1161247.1195648429</v>
      </c>
      <c r="AF128" s="4">
        <v>1233360.4844788976</v>
      </c>
      <c r="AG128" s="4">
        <v>1309186.1683126024</v>
      </c>
      <c r="AH128" s="4">
        <v>1388868.6604549335</v>
      </c>
      <c r="AI128" s="4">
        <v>1472555.636084541</v>
      </c>
      <c r="AJ128" s="4">
        <v>1560397.9165158551</v>
      </c>
      <c r="AK128" s="4">
        <v>1652549.4243625596</v>
      </c>
      <c r="AL128" s="4">
        <v>1749167.1334981765</v>
      </c>
      <c r="AM128" s="4">
        <v>1850411.0138045736</v>
      </c>
      <c r="AN128" s="4">
        <v>1956443.9707103863</v>
      </c>
      <c r="AO128" s="4">
        <v>2067431.779532579</v>
      </c>
      <c r="AP128" s="4">
        <v>2183543.0146456431</v>
      </c>
      <c r="AQ128" s="4">
        <v>2304948.9735141997</v>
      </c>
      <c r="AR128" s="4">
        <v>2431823.5956359995</v>
      </c>
      <c r="AS128" s="4">
        <v>2564343.3764534728</v>
      </c>
      <c r="AT128" s="4">
        <v>2702687.2763030352</v>
      </c>
      <c r="AU128" s="4">
        <v>2847036.6244822629</v>
      </c>
      <c r="AV128" s="4">
        <v>2997575.0185257918</v>
      </c>
      <c r="AW128" s="4">
        <v>3154488.2187913405</v>
      </c>
      <c r="AX128" s="4">
        <v>3317964.0384675437</v>
      </c>
      <c r="AY128" s="4">
        <v>3488192.2291253451</v>
      </c>
      <c r="AZ128" s="4">
        <v>3665364.3619444254</v>
      </c>
      <c r="BA128" s="4">
        <v>3849673.704755587</v>
      </c>
      <c r="BB128" s="4">
        <v>4041315.0950490944</v>
      </c>
      <c r="BC128" s="4">
        <v>4240484.8091076873</v>
      </c>
      <c r="BD128" s="4">
        <v>4447380.4274313133</v>
      </c>
      <c r="BE128" s="4">
        <v>4662200.696628538</v>
      </c>
      <c r="BF128" s="4">
        <v>4885145.3879570672</v>
      </c>
      <c r="BG128" s="4">
        <v>5116415.1527028596</v>
      </c>
      <c r="BH128" s="4">
        <v>5356211.374593854</v>
      </c>
      <c r="BI128" s="4">
        <v>5604736.0194504531</v>
      </c>
      <c r="BJ128" s="4">
        <v>5862191.4822804639</v>
      </c>
      <c r="BK128" s="4">
        <v>6128780.432031299</v>
      </c>
      <c r="BL128" s="4">
        <v>6404705.6542168381</v>
      </c>
      <c r="BM128" s="4">
        <v>6690169.8916403623</v>
      </c>
      <c r="BN128" s="4">
        <v>6985375.6834385525</v>
      </c>
      <c r="BO128" s="4">
        <v>7290525.202674509</v>
      </c>
      <c r="BP128" s="4">
        <v>7605820.092710237</v>
      </c>
      <c r="BQ128" s="4">
        <v>7931461.3025909802</v>
      </c>
      <c r="BR128" s="4">
        <v>8267648.9216751838</v>
      </c>
      <c r="BS128" s="4">
        <v>8614582.0137447547</v>
      </c>
      <c r="BT128" s="4">
        <v>8972458.4508306589</v>
      </c>
      <c r="BU128" s="4">
        <v>9341474.746988697</v>
      </c>
    </row>
    <row r="129" spans="1:73" x14ac:dyDescent="0.25">
      <c r="A129" s="3" t="s">
        <v>132</v>
      </c>
      <c r="B129" s="3" t="str">
        <f>VLOOKUP(A129,'storage capacity'!$A$2:$C$195,3,FALSE)</f>
        <v>Other Asia pacific</v>
      </c>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c r="BN129" s="4"/>
      <c r="BO129" s="4"/>
      <c r="BP129" s="4"/>
      <c r="BQ129" s="4"/>
      <c r="BR129" s="4"/>
      <c r="BS129" s="4"/>
      <c r="BT129" s="4"/>
      <c r="BU129" s="4"/>
    </row>
    <row r="130" spans="1:73" x14ac:dyDescent="0.25">
      <c r="A130" s="3" t="s">
        <v>133</v>
      </c>
      <c r="B130" s="3" t="str">
        <f>VLOOKUP(A130,'storage capacity'!$A$2:$C$195,3,FALSE)</f>
        <v>Other eurasia</v>
      </c>
      <c r="C130" s="4">
        <v>22474.933333333116</v>
      </c>
      <c r="D130" s="4">
        <v>23853.414208427905</v>
      </c>
      <c r="E130" s="4">
        <v>25301.812744535335</v>
      </c>
      <c r="F130" s="4">
        <v>26822.795742509272</v>
      </c>
      <c r="G130" s="4">
        <v>28419.08635328311</v>
      </c>
      <c r="H130" s="4">
        <v>30093.463250327255</v>
      </c>
      <c r="I130" s="4">
        <v>31848.759708562906</v>
      </c>
      <c r="J130" s="4">
        <v>33687.862589614007</v>
      </c>
      <c r="K130" s="4">
        <v>35613.711233480404</v>
      </c>
      <c r="L130" s="4">
        <v>37629.296256917332</v>
      </c>
      <c r="M130" s="4">
        <v>39737.658259008989</v>
      </c>
      <c r="N130" s="4">
        <v>41941.886434626198</v>
      </c>
      <c r="O130" s="4">
        <v>44245.117096659807</v>
      </c>
      <c r="P130" s="4">
        <v>46650.532108121501</v>
      </c>
      <c r="Q130" s="4">
        <v>49161.357225401669</v>
      </c>
      <c r="R130" s="4">
        <v>51780.860354169541</v>
      </c>
      <c r="S130" s="4">
        <v>54512.349719592807</v>
      </c>
      <c r="T130" s="4">
        <v>57359.171952742487</v>
      </c>
      <c r="U130" s="4">
        <v>60324.71009523276</v>
      </c>
      <c r="V130" s="4">
        <v>63412.381524324795</v>
      </c>
      <c r="W130" s="4">
        <v>66625.635800897377</v>
      </c>
      <c r="X130" s="4">
        <v>69967.952442855298</v>
      </c>
      <c r="Y130" s="4">
        <v>73442.838626708006</v>
      </c>
      <c r="Z130" s="4">
        <v>77053.826820206319</v>
      </c>
      <c r="AA130" s="4">
        <v>80804.472349072632</v>
      </c>
      <c r="AB130" s="4">
        <v>84698.350901000507</v>
      </c>
      <c r="AC130" s="4">
        <v>88739.055970232279</v>
      </c>
      <c r="AD130" s="4">
        <v>92930.196246147476</v>
      </c>
      <c r="AE130" s="4">
        <v>97275.392949411034</v>
      </c>
      <c r="AF130" s="4">
        <v>101778.27711933735</v>
      </c>
      <c r="AG130" s="4">
        <v>106442.48685622492</v>
      </c>
      <c r="AH130" s="4">
        <v>111271.66452250529</v>
      </c>
      <c r="AI130" s="4">
        <v>116269.45390663028</v>
      </c>
      <c r="AJ130" s="4">
        <v>121439.49735369212</v>
      </c>
      <c r="AK130" s="4">
        <v>126785.4328668322</v>
      </c>
      <c r="AL130" s="4">
        <v>132310.89118354616</v>
      </c>
      <c r="AM130" s="4">
        <v>138019.49283103467</v>
      </c>
      <c r="AN130" s="4">
        <v>143914.84516478243</v>
      </c>
      <c r="AO130" s="4">
        <v>150000.53939457057</v>
      </c>
      <c r="AP130" s="4">
        <v>156280.14760214146</v>
      </c>
      <c r="AQ130" s="4">
        <v>162757.21975473891</v>
      </c>
      <c r="AR130" s="4">
        <v>169435.28071874217</v>
      </c>
      <c r="AS130" s="4">
        <v>176317.82727759751</v>
      </c>
      <c r="AT130" s="4">
        <v>183408.32515822834</v>
      </c>
      <c r="AU130" s="4">
        <v>190710.20607007307</v>
      </c>
      <c r="AV130" s="4">
        <v>198226.86476085888</v>
      </c>
      <c r="AW130" s="4">
        <v>205961.65609317183</v>
      </c>
      <c r="AX130" s="4">
        <v>213917.89214582578</v>
      </c>
      <c r="AY130" s="4">
        <v>222098.83934396904</v>
      </c>
      <c r="AZ130" s="4">
        <v>230507.71562179463</v>
      </c>
      <c r="BA130" s="4">
        <v>239147.68762164155</v>
      </c>
      <c r="BB130" s="4">
        <v>248021.8679331874</v>
      </c>
      <c r="BC130" s="4">
        <v>257133.31237634024</v>
      </c>
      <c r="BD130" s="4">
        <v>266485.01733133919</v>
      </c>
      <c r="BE130" s="4">
        <v>276079.91711946699</v>
      </c>
      <c r="BF130" s="4">
        <v>285920.88143766904</v>
      </c>
      <c r="BG130" s="4">
        <v>296010.71285025607</v>
      </c>
      <c r="BH130" s="4">
        <v>306352.14434074896</v>
      </c>
      <c r="BI130" s="4">
        <v>316947.8369267988</v>
      </c>
      <c r="BJ130" s="4">
        <v>327800.3773409861</v>
      </c>
      <c r="BK130" s="4">
        <v>338912.27578017156</v>
      </c>
      <c r="BL130" s="4">
        <v>350285.96372593491</v>
      </c>
      <c r="BM130" s="4">
        <v>361923.79183849966</v>
      </c>
      <c r="BN130" s="4">
        <v>373828.02792640077</v>
      </c>
      <c r="BO130" s="4">
        <v>386000.85499400942</v>
      </c>
      <c r="BP130" s="4">
        <v>398444.36936888425</v>
      </c>
      <c r="BQ130" s="4">
        <v>411160.57891077118</v>
      </c>
      <c r="BR130" s="4">
        <v>424151.40130392899</v>
      </c>
      <c r="BS130" s="4">
        <v>437418.66243430768</v>
      </c>
      <c r="BT130" s="4">
        <v>450964.09485295933</v>
      </c>
      <c r="BU130" s="4">
        <v>464789.33632691379</v>
      </c>
    </row>
    <row r="131" spans="1:73" x14ac:dyDescent="0.25">
      <c r="A131" s="3" t="s">
        <v>134</v>
      </c>
      <c r="B131" s="3" t="str">
        <f>VLOOKUP(A131,'storage capacity'!$A$2:$C$195,3,FALSE)</f>
        <v>Country specific</v>
      </c>
      <c r="C131" s="4">
        <v>561054.80000000075</v>
      </c>
      <c r="D131" s="4">
        <v>575518.18171048677</v>
      </c>
      <c r="E131" s="4">
        <v>590206.05133029853</v>
      </c>
      <c r="F131" s="4">
        <v>605118.14465452463</v>
      </c>
      <c r="G131" s="4">
        <v>620254.11698602268</v>
      </c>
      <c r="H131" s="4">
        <v>635613.54347780719</v>
      </c>
      <c r="I131" s="4">
        <v>651195.9195371758</v>
      </c>
      <c r="J131" s="4">
        <v>667000.66129035363</v>
      </c>
      <c r="K131" s="4">
        <v>683027.10610637977</v>
      </c>
      <c r="L131" s="4">
        <v>699274.51317890116</v>
      </c>
      <c r="M131" s="4">
        <v>715742.06416449044</v>
      </c>
      <c r="N131" s="4">
        <v>732428.86387605476</v>
      </c>
      <c r="O131" s="4">
        <v>749333.94102985878</v>
      </c>
      <c r="P131" s="4">
        <v>766456.24904464139</v>
      </c>
      <c r="Q131" s="4">
        <v>783794.6668912709</v>
      </c>
      <c r="R131" s="4">
        <v>801347.99999134697</v>
      </c>
      <c r="S131" s="4">
        <v>819114.98116312677</v>
      </c>
      <c r="T131" s="4">
        <v>837094.27161312476</v>
      </c>
      <c r="U131" s="4">
        <v>855284.46197171253</v>
      </c>
      <c r="V131" s="4">
        <v>873684.0733710198</v>
      </c>
      <c r="W131" s="4">
        <v>892291.55856342486</v>
      </c>
      <c r="X131" s="4">
        <v>911105.30307890242</v>
      </c>
      <c r="Y131" s="4">
        <v>930123.62641948892</v>
      </c>
      <c r="Z131" s="4">
        <v>949344.7832891118</v>
      </c>
      <c r="AA131" s="4">
        <v>968766.96485702868</v>
      </c>
      <c r="AB131" s="4">
        <v>988388.30005311186</v>
      </c>
      <c r="AC131" s="4">
        <v>1008206.8568932185</v>
      </c>
      <c r="AD131" s="4">
        <v>1028220.6438328871</v>
      </c>
      <c r="AE131" s="4">
        <v>1048427.6111476033</v>
      </c>
      <c r="AF131" s="4">
        <v>1068825.6523378862</v>
      </c>
      <c r="AG131" s="4">
        <v>1089412.6055574578</v>
      </c>
      <c r="AH131" s="4">
        <v>1110186.2550627652</v>
      </c>
      <c r="AI131" s="4">
        <v>1131144.332682142</v>
      </c>
      <c r="AJ131" s="4">
        <v>1152284.5193029114</v>
      </c>
      <c r="AK131" s="4">
        <v>1173604.4463747479</v>
      </c>
      <c r="AL131" s="4">
        <v>1195101.6974276383</v>
      </c>
      <c r="AM131" s="4">
        <v>1216773.8096028015</v>
      </c>
      <c r="AN131" s="4">
        <v>1238618.2751949509</v>
      </c>
      <c r="AO131" s="4">
        <v>1260632.5432043062</v>
      </c>
      <c r="AP131" s="4">
        <v>1282814.0208967908</v>
      </c>
      <c r="AQ131" s="4">
        <v>1305160.0753708757</v>
      </c>
      <c r="AR131" s="4">
        <v>1327668.0351295609</v>
      </c>
      <c r="AS131" s="4">
        <v>1350335.191656017</v>
      </c>
      <c r="AT131" s="4">
        <v>1373158.800991439</v>
      </c>
      <c r="AU131" s="4">
        <v>1396136.0853136976</v>
      </c>
      <c r="AV131" s="4">
        <v>1419264.2345154064</v>
      </c>
      <c r="AW131" s="4">
        <v>1442540.4077800596</v>
      </c>
      <c r="AX131" s="4">
        <v>1465961.7351549261</v>
      </c>
      <c r="AY131" s="4">
        <v>1489525.3191194264</v>
      </c>
      <c r="AZ131" s="4">
        <v>1513228.2361477513</v>
      </c>
      <c r="BA131" s="4">
        <v>1537067.5382645207</v>
      </c>
      <c r="BB131" s="4">
        <v>1561040.2545923167</v>
      </c>
      <c r="BC131" s="4">
        <v>1585143.3928899651</v>
      </c>
      <c r="BD131" s="4">
        <v>1609373.9410804759</v>
      </c>
      <c r="BE131" s="4">
        <v>1633728.8687675912</v>
      </c>
      <c r="BF131" s="4">
        <v>1658205.1287399316</v>
      </c>
      <c r="BG131" s="4">
        <v>1682799.6584617652</v>
      </c>
      <c r="BH131" s="4">
        <v>1707509.3815494664</v>
      </c>
      <c r="BI131" s="4">
        <v>1732331.2092327711</v>
      </c>
      <c r="BJ131" s="4">
        <v>1757262.0417999674</v>
      </c>
      <c r="BK131" s="4">
        <v>1782298.7700262084</v>
      </c>
      <c r="BL131" s="4">
        <v>1807438.2765841652</v>
      </c>
      <c r="BM131" s="4">
        <v>1832677.4374362796</v>
      </c>
      <c r="BN131" s="4">
        <v>1858013.1232079132</v>
      </c>
      <c r="BO131" s="4">
        <v>1883442.2005407303</v>
      </c>
      <c r="BP131" s="4">
        <v>1908961.5334256794</v>
      </c>
      <c r="BQ131" s="4">
        <v>1934567.9845149915</v>
      </c>
      <c r="BR131" s="4">
        <v>1960258.4164126317</v>
      </c>
      <c r="BS131" s="4">
        <v>1986029.6929426929</v>
      </c>
      <c r="BT131" s="4">
        <v>2011878.6803952407</v>
      </c>
      <c r="BU131" s="4">
        <v>2037802.2487491677</v>
      </c>
    </row>
    <row r="132" spans="1:73" x14ac:dyDescent="0.25">
      <c r="A132" s="3" t="s">
        <v>135</v>
      </c>
      <c r="B132" s="3" t="str">
        <f>VLOOKUP(A132,'storage capacity'!$A$2:$C$195,3,FALSE)</f>
        <v>Middle east</v>
      </c>
      <c r="C132" s="4">
        <v>138708.80000000075</v>
      </c>
      <c r="D132" s="4">
        <v>144416.55275776013</v>
      </c>
      <c r="E132" s="4">
        <v>150299.74861481111</v>
      </c>
      <c r="F132" s="4">
        <v>156361.38360793522</v>
      </c>
      <c r="G132" s="4">
        <v>162604.42517490019</v>
      </c>
      <c r="H132" s="4">
        <v>169031.80961149425</v>
      </c>
      <c r="I132" s="4">
        <v>175646.43954549194</v>
      </c>
      <c r="J132" s="4">
        <v>182451.1814310177</v>
      </c>
      <c r="K132" s="4">
        <v>189448.86306671915</v>
      </c>
      <c r="L132" s="4">
        <v>196642.2711411023</v>
      </c>
      <c r="M132" s="4">
        <v>204034.14880831406</v>
      </c>
      <c r="N132" s="4">
        <v>211627.19329758408</v>
      </c>
      <c r="O132" s="4">
        <v>219424.05355946094</v>
      </c>
      <c r="P132" s="4">
        <v>227427.32795189257</v>
      </c>
      <c r="Q132" s="4">
        <v>235639.56196911194</v>
      </c>
      <c r="R132" s="4">
        <v>244063.24601619615</v>
      </c>
      <c r="S132" s="4">
        <v>252700.81323206786</v>
      </c>
      <c r="T132" s="4">
        <v>261554.63736360488</v>
      </c>
      <c r="U132" s="4">
        <v>270627.0306934191</v>
      </c>
      <c r="V132" s="4">
        <v>279920.24202375399</v>
      </c>
      <c r="W132" s="4">
        <v>289436.45471883798</v>
      </c>
      <c r="X132" s="4">
        <v>299177.7848079137</v>
      </c>
      <c r="Y132" s="4">
        <v>309146.27915104607</v>
      </c>
      <c r="Z132" s="4">
        <v>319343.91366968944</v>
      </c>
      <c r="AA132" s="4">
        <v>329772.59164387244</v>
      </c>
      <c r="AB132" s="4">
        <v>340434.1420777337</v>
      </c>
      <c r="AC132" s="4">
        <v>351330.31813501735</v>
      </c>
      <c r="AD132" s="4">
        <v>362462.79564600874</v>
      </c>
      <c r="AE132" s="4">
        <v>373833.17168726475</v>
      </c>
      <c r="AF132" s="4">
        <v>385442.96323536505</v>
      </c>
      <c r="AG132" s="4">
        <v>397293.60589578241</v>
      </c>
      <c r="AH132" s="4">
        <v>409386.45270784356</v>
      </c>
      <c r="AI132" s="4">
        <v>421722.77302662423</v>
      </c>
      <c r="AJ132" s="4">
        <v>434303.75148249581</v>
      </c>
      <c r="AK132" s="4">
        <v>447130.48701891641</v>
      </c>
      <c r="AL132" s="4">
        <v>460203.9920089345</v>
      </c>
      <c r="AM132" s="4">
        <v>473525.19145075092</v>
      </c>
      <c r="AN132" s="4">
        <v>487094.92224256485</v>
      </c>
      <c r="AO132" s="4">
        <v>500913.93253680976</v>
      </c>
      <c r="AP132" s="4">
        <v>514982.88117376907</v>
      </c>
      <c r="AQ132" s="4">
        <v>529302.33719444682</v>
      </c>
      <c r="AR132" s="4">
        <v>543872.77943245776</v>
      </c>
      <c r="AS132" s="4">
        <v>558694.59618459048</v>
      </c>
      <c r="AT132" s="4">
        <v>573768.08495959232</v>
      </c>
      <c r="AU132" s="4">
        <v>589093.45230462181</v>
      </c>
      <c r="AV132" s="4">
        <v>604670.81370871293</v>
      </c>
      <c r="AW132" s="4">
        <v>620500.19358249905</v>
      </c>
      <c r="AX132" s="4">
        <v>636581.5253133534</v>
      </c>
      <c r="AY132" s="4">
        <v>652914.65139500843</v>
      </c>
      <c r="AZ132" s="4">
        <v>669499.32363063411</v>
      </c>
      <c r="BA132" s="4">
        <v>686335.20340826968</v>
      </c>
      <c r="BB132" s="4">
        <v>703421.86204742687</v>
      </c>
      <c r="BC132" s="4">
        <v>720758.78121560381</v>
      </c>
      <c r="BD132" s="4">
        <v>738345.35341338092</v>
      </c>
      <c r="BE132" s="4">
        <v>756180.8825266991</v>
      </c>
      <c r="BF132" s="4">
        <v>774264.58444486058</v>
      </c>
      <c r="BG132" s="4">
        <v>792595.58774272795</v>
      </c>
      <c r="BH132" s="4">
        <v>811172.93442554469</v>
      </c>
      <c r="BI132" s="4">
        <v>829995.580734747</v>
      </c>
      <c r="BJ132" s="4">
        <v>849062.3980130878</v>
      </c>
      <c r="BK132" s="4">
        <v>868372.17362735001</v>
      </c>
      <c r="BL132" s="4">
        <v>887923.61194688466</v>
      </c>
      <c r="BM132" s="4">
        <v>907715.33537617419</v>
      </c>
      <c r="BN132" s="4">
        <v>927745.88543958566</v>
      </c>
      <c r="BO132" s="4">
        <v>948013.7239164504</v>
      </c>
      <c r="BP132" s="4">
        <v>968517.23402458162</v>
      </c>
      <c r="BQ132" s="4">
        <v>989254.72165031743</v>
      </c>
      <c r="BR132" s="4">
        <v>1010224.4166231581</v>
      </c>
      <c r="BS132" s="4">
        <v>1031424.4740330534</v>
      </c>
      <c r="BT132" s="4">
        <v>1052852.9755883787</v>
      </c>
      <c r="BU132" s="4">
        <v>1074507.9310126372</v>
      </c>
    </row>
    <row r="133" spans="1:73" x14ac:dyDescent="0.25">
      <c r="A133" s="3" t="s">
        <v>136</v>
      </c>
      <c r="B133" s="3" t="str">
        <f>VLOOKUP(A133,'storage capacity'!$A$2:$C$195,3,FALSE)</f>
        <v>Country specific</v>
      </c>
      <c r="C133" s="4">
        <v>392896.86666666716</v>
      </c>
      <c r="D133" s="4">
        <v>392896.86666666716</v>
      </c>
      <c r="E133" s="4">
        <v>392896.86666666716</v>
      </c>
      <c r="F133" s="4">
        <v>392896.86666666716</v>
      </c>
      <c r="G133" s="4">
        <v>392896.86666666716</v>
      </c>
      <c r="H133" s="4">
        <v>392896.86666666716</v>
      </c>
      <c r="I133" s="4">
        <v>392896.86666666716</v>
      </c>
      <c r="J133" s="4">
        <v>392896.86666666716</v>
      </c>
      <c r="K133" s="4">
        <v>392896.86666666716</v>
      </c>
      <c r="L133" s="4">
        <v>392896.86666666716</v>
      </c>
      <c r="M133" s="4">
        <v>392896.86666666716</v>
      </c>
      <c r="N133" s="4">
        <v>392896.86666666716</v>
      </c>
      <c r="O133" s="4">
        <v>392896.86666666716</v>
      </c>
      <c r="P133" s="4">
        <v>392896.86666666716</v>
      </c>
      <c r="Q133" s="4">
        <v>392896.86666666716</v>
      </c>
      <c r="R133" s="4">
        <v>392896.86666666716</v>
      </c>
      <c r="S133" s="4">
        <v>392896.86666666716</v>
      </c>
      <c r="T133" s="4">
        <v>392896.86666666716</v>
      </c>
      <c r="U133" s="4">
        <v>392896.86666666716</v>
      </c>
      <c r="V133" s="4">
        <v>392896.86666666716</v>
      </c>
      <c r="W133" s="4">
        <v>392896.86666666716</v>
      </c>
      <c r="X133" s="4">
        <v>392896.86666666716</v>
      </c>
      <c r="Y133" s="4">
        <v>392896.86666666716</v>
      </c>
      <c r="Z133" s="4">
        <v>392896.86666666716</v>
      </c>
      <c r="AA133" s="4">
        <v>392896.86666666716</v>
      </c>
      <c r="AB133" s="4">
        <v>392896.86666666716</v>
      </c>
      <c r="AC133" s="4">
        <v>392896.86666666716</v>
      </c>
      <c r="AD133" s="4">
        <v>392896.86666666716</v>
      </c>
      <c r="AE133" s="4">
        <v>392896.86666666716</v>
      </c>
      <c r="AF133" s="4">
        <v>392896.86666666716</v>
      </c>
      <c r="AG133" s="4">
        <v>392896.86666666716</v>
      </c>
      <c r="AH133" s="4">
        <v>392896.86666666716</v>
      </c>
      <c r="AI133" s="4">
        <v>392896.86666666716</v>
      </c>
      <c r="AJ133" s="4">
        <v>392896.86666666716</v>
      </c>
      <c r="AK133" s="4">
        <v>392896.86666666716</v>
      </c>
      <c r="AL133" s="4">
        <v>392896.86666666716</v>
      </c>
      <c r="AM133" s="4">
        <v>392896.86666666716</v>
      </c>
      <c r="AN133" s="4">
        <v>392896.86666666716</v>
      </c>
      <c r="AO133" s="4">
        <v>392896.86666666716</v>
      </c>
      <c r="AP133" s="4">
        <v>392896.86666666716</v>
      </c>
      <c r="AQ133" s="4">
        <v>392896.86666666716</v>
      </c>
      <c r="AR133" s="4">
        <v>392896.86666666716</v>
      </c>
      <c r="AS133" s="4">
        <v>392896.86666666716</v>
      </c>
      <c r="AT133" s="4">
        <v>392896.86666666716</v>
      </c>
      <c r="AU133" s="4">
        <v>392896.86666666716</v>
      </c>
      <c r="AV133" s="4">
        <v>392896.86666666716</v>
      </c>
      <c r="AW133" s="4">
        <v>392896.86666666716</v>
      </c>
      <c r="AX133" s="4">
        <v>392896.86666666716</v>
      </c>
      <c r="AY133" s="4">
        <v>392896.86666666716</v>
      </c>
      <c r="AZ133" s="4">
        <v>392896.86666666716</v>
      </c>
      <c r="BA133" s="4">
        <v>392896.86666666716</v>
      </c>
      <c r="BB133" s="4">
        <v>392896.86666666716</v>
      </c>
      <c r="BC133" s="4">
        <v>392896.86666666716</v>
      </c>
      <c r="BD133" s="4">
        <v>392896.86666666716</v>
      </c>
      <c r="BE133" s="4">
        <v>392896.86666666716</v>
      </c>
      <c r="BF133" s="4">
        <v>392896.86666666716</v>
      </c>
      <c r="BG133" s="4">
        <v>392896.86666666716</v>
      </c>
      <c r="BH133" s="4">
        <v>392896.86666666716</v>
      </c>
      <c r="BI133" s="4">
        <v>392896.86666666716</v>
      </c>
      <c r="BJ133" s="4">
        <v>392896.86666666716</v>
      </c>
      <c r="BK133" s="4">
        <v>392896.86666666716</v>
      </c>
      <c r="BL133" s="4">
        <v>392896.86666666716</v>
      </c>
      <c r="BM133" s="4">
        <v>392896.86666666716</v>
      </c>
      <c r="BN133" s="4">
        <v>392896.86666666716</v>
      </c>
      <c r="BO133" s="4">
        <v>392896.86666666716</v>
      </c>
      <c r="BP133" s="4">
        <v>392896.86666666716</v>
      </c>
      <c r="BQ133" s="4">
        <v>392896.86666666716</v>
      </c>
      <c r="BR133" s="4">
        <v>392896.86666666716</v>
      </c>
      <c r="BS133" s="4">
        <v>392896.86666666716</v>
      </c>
      <c r="BT133" s="4">
        <v>392896.86666666716</v>
      </c>
      <c r="BU133" s="4">
        <v>392896.86666666716</v>
      </c>
    </row>
    <row r="134" spans="1:73" x14ac:dyDescent="0.25">
      <c r="A134" s="3" t="s">
        <v>137</v>
      </c>
      <c r="B134" s="3" t="str">
        <f>VLOOKUP(A134,'storage capacity'!$A$2:$C$195,3,FALSE)</f>
        <v>Oceania</v>
      </c>
      <c r="C134" s="4">
        <v>463.93333333332703</v>
      </c>
      <c r="D134" s="4">
        <v>491.86844272462633</v>
      </c>
      <c r="E134" s="4">
        <v>521.18945457856569</v>
      </c>
      <c r="F134" s="4">
        <v>551.94764689170393</v>
      </c>
      <c r="G134" s="4">
        <v>584.19531154326637</v>
      </c>
      <c r="H134" s="4">
        <v>617.98573579403774</v>
      </c>
      <c r="I134" s="4">
        <v>653.37318205213819</v>
      </c>
      <c r="J134" s="4">
        <v>690.41286591034202</v>
      </c>
      <c r="K134" s="4">
        <v>729.16093246334867</v>
      </c>
      <c r="L134" s="4">
        <v>769.67443091716393</v>
      </c>
      <c r="M134" s="4">
        <v>812.01128750648263</v>
      </c>
      <c r="N134" s="4">
        <v>856.23027673967465</v>
      </c>
      <c r="O134" s="4">
        <v>902.39099099465045</v>
      </c>
      <c r="P134" s="4">
        <v>950.55380849250787</v>
      </c>
      <c r="Q134" s="4">
        <v>1000.77985967943</v>
      </c>
      <c r="R134" s="4">
        <v>1053.1309920508081</v>
      </c>
      <c r="S134" s="4">
        <v>1107.6697334549801</v>
      </c>
      <c r="T134" s="4">
        <v>1164.4592539173148</v>
      </c>
      <c r="U134" s="4">
        <v>1223.563326028602</v>
      </c>
      <c r="V134" s="4">
        <v>1285.0462839448444</v>
      </c>
      <c r="W134" s="4">
        <v>1348.972981048558</v>
      </c>
      <c r="X134" s="4">
        <v>1415.4087463245762</v>
      </c>
      <c r="Y134" s="4">
        <v>1484.4193395061211</v>
      </c>
      <c r="Z134" s="4">
        <v>1556.0709050495229</v>
      </c>
      <c r="AA134" s="4">
        <v>1630.4299249984465</v>
      </c>
      <c r="AB134" s="4">
        <v>1707.5631708008145</v>
      </c>
      <c r="AC134" s="4">
        <v>1787.5376541437954</v>
      </c>
      <c r="AD134" s="4">
        <v>1870.4205768742254</v>
      </c>
      <c r="AE134" s="4">
        <v>1956.2792800736947</v>
      </c>
      <c r="AF134" s="4">
        <v>2045.1811923592059</v>
      </c>
      <c r="AG134" s="4">
        <v>2137.1937774818184</v>
      </c>
      <c r="AH134" s="4">
        <v>2232.3844812970383</v>
      </c>
      <c r="AI134" s="4">
        <v>2330.8206781818672</v>
      </c>
      <c r="AJ134" s="4">
        <v>2432.5696169744183</v>
      </c>
      <c r="AK134" s="4">
        <v>2537.6983665128109</v>
      </c>
      <c r="AL134" s="4">
        <v>2646.2737608506905</v>
      </c>
      <c r="AM134" s="4">
        <v>2758.3623442271764</v>
      </c>
      <c r="AN134" s="4">
        <v>2874.0303158693223</v>
      </c>
      <c r="AO134" s="4">
        <v>2993.343474705277</v>
      </c>
      <c r="AP134" s="4">
        <v>3116.3671640662756</v>
      </c>
      <c r="AQ134" s="4">
        <v>3243.1662164553459</v>
      </c>
      <c r="AR134" s="4">
        <v>3373.8048984602297</v>
      </c>
      <c r="AS134" s="4">
        <v>3508.3468558874392</v>
      </c>
      <c r="AT134" s="4">
        <v>3646.8550591936582</v>
      </c>
      <c r="AU134" s="4">
        <v>3789.3917492898104</v>
      </c>
      <c r="AV134" s="4">
        <v>3936.0183837921022</v>
      </c>
      <c r="AW134" s="4">
        <v>4086.7955837931631</v>
      </c>
      <c r="AX134" s="4">
        <v>4241.7830812250968</v>
      </c>
      <c r="AY134" s="4">
        <v>4401.0396668848152</v>
      </c>
      <c r="AZ134" s="4">
        <v>4564.6231391904394</v>
      </c>
      <c r="BA134" s="4">
        <v>4732.590253735867</v>
      </c>
      <c r="BB134" s="4">
        <v>4904.9966737087861</v>
      </c>
      <c r="BC134" s="4">
        <v>5081.8969212354768</v>
      </c>
      <c r="BD134" s="4">
        <v>5263.3443297137401</v>
      </c>
      <c r="BE134" s="4">
        <v>5449.3909971931571</v>
      </c>
      <c r="BF134" s="4">
        <v>5640.0877408596525</v>
      </c>
      <c r="BG134" s="4">
        <v>5835.484052679074</v>
      </c>
      <c r="BH134" s="4">
        <v>6035.6280562521006</v>
      </c>
      <c r="BI134" s="4">
        <v>6240.5664649303626</v>
      </c>
      <c r="BJ134" s="4">
        <v>6450.3445412411556</v>
      </c>
      <c r="BK134" s="4">
        <v>6665.0060576655796</v>
      </c>
      <c r="BL134" s="4">
        <v>6884.5932588123196</v>
      </c>
      <c r="BM134" s="4">
        <v>7109.1468250266544</v>
      </c>
      <c r="BN134" s="4">
        <v>7338.7058374715934</v>
      </c>
      <c r="BO134" s="4">
        <v>7573.3077447153501</v>
      </c>
      <c r="BP134" s="4">
        <v>7812.988330856625</v>
      </c>
      <c r="BQ134" s="4">
        <v>8057.7816852164506</v>
      </c>
      <c r="BR134" s="4">
        <v>8307.7201736225834</v>
      </c>
      <c r="BS134" s="4">
        <v>8562.8344113097246</v>
      </c>
      <c r="BT134" s="4">
        <v>8823.1532374560629</v>
      </c>
      <c r="BU134" s="4">
        <v>9088.7036913739466</v>
      </c>
    </row>
    <row r="135" spans="1:73" x14ac:dyDescent="0.25">
      <c r="A135" s="3" t="s">
        <v>138</v>
      </c>
      <c r="B135" s="3" t="str">
        <f>VLOOKUP(A135,'storage capacity'!$A$2:$C$195,3,FALSE)</f>
        <v>Other latin america</v>
      </c>
      <c r="C135" s="4">
        <v>122499.79999999888</v>
      </c>
      <c r="D135" s="4">
        <v>129873.68363317111</v>
      </c>
      <c r="E135" s="4">
        <v>137613.26113306265</v>
      </c>
      <c r="F135" s="4">
        <v>145732.05614264164</v>
      </c>
      <c r="G135" s="4">
        <v>154243.85939183936</v>
      </c>
      <c r="H135" s="4">
        <v>163162.72380717879</v>
      </c>
      <c r="I135" s="4">
        <v>172502.95916462722</v>
      </c>
      <c r="J135" s="4">
        <v>182279.12628693171</v>
      </c>
      <c r="K135" s="4">
        <v>192506.03078768397</v>
      </c>
      <c r="L135" s="4">
        <v>203198.71636534907</v>
      </c>
      <c r="M135" s="4">
        <v>214372.45765147739</v>
      </c>
      <c r="N135" s="4">
        <v>226042.7526182954</v>
      </c>
      <c r="O135" s="4">
        <v>238225.3145518401</v>
      </c>
      <c r="P135" s="4">
        <v>250936.06359775644</v>
      </c>
      <c r="Q135" s="4">
        <v>264191.11788781779</v>
      </c>
      <c r="R135" s="4">
        <v>278006.78425615106</v>
      </c>
      <c r="S135" s="4">
        <v>292399.54855505022</v>
      </c>
      <c r="T135" s="4">
        <v>307386.06558113819</v>
      </c>
      <c r="U135" s="4">
        <v>322983.14862349164</v>
      </c>
      <c r="V135" s="4">
        <v>339207.75864616473</v>
      </c>
      <c r="W135" s="4">
        <v>356076.99311834283</v>
      </c>
      <c r="X135" s="4">
        <v>373608.07450611843</v>
      </c>
      <c r="Y135" s="4">
        <v>391818.33844060655</v>
      </c>
      <c r="Z135" s="4">
        <v>410725.22157780867</v>
      </c>
      <c r="AA135" s="4">
        <v>430346.24916628568</v>
      </c>
      <c r="AB135" s="4">
        <v>450699.02233931259</v>
      </c>
      <c r="AC135" s="4">
        <v>471801.20514876075</v>
      </c>
      <c r="AD135" s="4">
        <v>493670.51135847979</v>
      </c>
      <c r="AE135" s="4">
        <v>516324.69101544155</v>
      </c>
      <c r="AF135" s="4">
        <v>539781.51681734645</v>
      </c>
      <c r="AG135" s="4">
        <v>564058.77029579156</v>
      </c>
      <c r="AH135" s="4">
        <v>589174.22783445031</v>
      </c>
      <c r="AI135" s="4">
        <v>615145.64654201805</v>
      </c>
      <c r="AJ135" s="4">
        <v>641990.74999993714</v>
      </c>
      <c r="AK135" s="4">
        <v>669727.21390512737</v>
      </c>
      <c r="AL135" s="4">
        <v>698372.65162811172</v>
      </c>
      <c r="AM135" s="4">
        <v>727944.59970704629</v>
      </c>
      <c r="AN135" s="4">
        <v>758460.50329823873</v>
      </c>
      <c r="AO135" s="4">
        <v>789937.70160376071</v>
      </c>
      <c r="AP135" s="4">
        <v>822393.41329674842</v>
      </c>
      <c r="AQ135" s="4">
        <v>855844.72196491517</v>
      </c>
      <c r="AR135" s="4">
        <v>890308.56159269914</v>
      </c>
      <c r="AS135" s="4">
        <v>925801.70210231538</v>
      </c>
      <c r="AT135" s="4">
        <v>962340.73497379094</v>
      </c>
      <c r="AU135" s="4">
        <v>999942.0589638307</v>
      </c>
      <c r="AV135" s="4">
        <v>1038621.8659430881</v>
      </c>
      <c r="AW135" s="4">
        <v>1078396.1268711027</v>
      </c>
      <c r="AX135" s="4">
        <v>1119280.5779278255</v>
      </c>
      <c r="AY135" s="4">
        <v>1161290.7068202628</v>
      </c>
      <c r="AZ135" s="4">
        <v>1204441.7392823596</v>
      </c>
      <c r="BA135" s="4">
        <v>1248748.6257857888</v>
      </c>
      <c r="BB135" s="4">
        <v>1294226.0284788411</v>
      </c>
      <c r="BC135" s="4">
        <v>1340888.3083700929</v>
      </c>
      <c r="BD135" s="4">
        <v>1388749.5127730023</v>
      </c>
      <c r="BE135" s="4">
        <v>1437823.3630270199</v>
      </c>
      <c r="BF135" s="4">
        <v>1488123.242510214</v>
      </c>
      <c r="BG135" s="4">
        <v>1539662.1849578109</v>
      </c>
      <c r="BH135" s="4">
        <v>1592452.8631004177</v>
      </c>
      <c r="BI135" s="4">
        <v>1646507.577635058</v>
      </c>
      <c r="BJ135" s="4">
        <v>1701838.2465414864</v>
      </c>
      <c r="BK135" s="4">
        <v>1758456.3947555781</v>
      </c>
      <c r="BL135" s="4">
        <v>1816373.144210899</v>
      </c>
      <c r="BM135" s="4">
        <v>1875599.2042588682</v>
      </c>
      <c r="BN135" s="4">
        <v>1936144.8624772199</v>
      </c>
      <c r="BO135" s="4">
        <v>1998019.975875753</v>
      </c>
      <c r="BP135" s="4">
        <v>2061233.9625076482</v>
      </c>
      <c r="BQ135" s="4">
        <v>2125795.7934939051</v>
      </c>
      <c r="BR135" s="4">
        <v>2191713.9854677268</v>
      </c>
      <c r="BS135" s="4">
        <v>2258996.5934449658</v>
      </c>
      <c r="BT135" s="4">
        <v>2327651.2041260111</v>
      </c>
      <c r="BU135" s="4">
        <v>2397684.9296337902</v>
      </c>
    </row>
    <row r="136" spans="1:73" x14ac:dyDescent="0.25">
      <c r="A136" s="3" t="s">
        <v>139</v>
      </c>
      <c r="B136" s="3" t="str">
        <f>VLOOKUP(A136,'storage capacity'!$A$2:$C$195,3,FALSE)</f>
        <v>Other Asia pacific</v>
      </c>
      <c r="C136" s="4">
        <v>38736.800000000279</v>
      </c>
      <c r="D136" s="4">
        <v>39905.383425385662</v>
      </c>
      <c r="E136" s="4">
        <v>41097.181456147322</v>
      </c>
      <c r="F136" s="4">
        <v>42312.2993266638</v>
      </c>
      <c r="G136" s="4">
        <v>43550.834061661139</v>
      </c>
      <c r="H136" s="4">
        <v>44812.874399010208</v>
      </c>
      <c r="I136" s="4">
        <v>46098.500720049073</v>
      </c>
      <c r="J136" s="4">
        <v>47407.784987441621</v>
      </c>
      <c r="K136" s="4">
        <v>48740.790690572896</v>
      </c>
      <c r="L136" s="4">
        <v>50097.572798470224</v>
      </c>
      <c r="M136" s="4">
        <v>51478.177720229178</v>
      </c>
      <c r="N136" s="4">
        <v>52882.643272912435</v>
      </c>
      <c r="O136" s="4">
        <v>54310.998656879958</v>
      </c>
      <c r="P136" s="4">
        <v>55763.264438498773</v>
      </c>
      <c r="Q136" s="4">
        <v>57239.452540171304</v>
      </c>
      <c r="R136" s="4">
        <v>58739.56623761182</v>
      </c>
      <c r="S136" s="4">
        <v>60263.600164291791</v>
      </c>
      <c r="T136" s="4">
        <v>61811.540322966204</v>
      </c>
      <c r="U136" s="4">
        <v>63383.364104184882</v>
      </c>
      <c r="V136" s="4">
        <v>64979.040311684723</v>
      </c>
      <c r="W136" s="4">
        <v>66598.529194551316</v>
      </c>
      <c r="X136" s="4">
        <v>68241.782486031254</v>
      </c>
      <c r="Y136" s="4">
        <v>69908.743448869529</v>
      </c>
      <c r="Z136" s="4">
        <v>71599.346927040024</v>
      </c>
      <c r="AA136" s="4">
        <v>73313.519403730868</v>
      </c>
      <c r="AB136" s="4">
        <v>75051.179065440956</v>
      </c>
      <c r="AC136" s="4">
        <v>76812.235872038204</v>
      </c>
      <c r="AD136" s="4">
        <v>78596.591632625408</v>
      </c>
      <c r="AE136" s="4">
        <v>80404.140087054853</v>
      </c>
      <c r="AF136" s="4">
        <v>82234.76699292846</v>
      </c>
      <c r="AG136" s="4">
        <v>84088.350217916421</v>
      </c>
      <c r="AH136" s="4">
        <v>85964.759837223814</v>
      </c>
      <c r="AI136" s="4">
        <v>87863.858236031418</v>
      </c>
      <c r="AJ136" s="4">
        <v>89785.500216733883</v>
      </c>
      <c r="AK136" s="4">
        <v>91729.533110796459</v>
      </c>
      <c r="AL136" s="4">
        <v>93695.796895048828</v>
      </c>
      <c r="AM136" s="4">
        <v>95684.12431223286</v>
      </c>
      <c r="AN136" s="4">
        <v>97694.340995619845</v>
      </c>
      <c r="AO136" s="4">
        <v>99726.265597511359</v>
      </c>
      <c r="AP136" s="4">
        <v>101779.70992143717</v>
      </c>
      <c r="AQ136" s="4">
        <v>103854.47905786279</v>
      </c>
      <c r="AR136" s="4">
        <v>105950.37152321944</v>
      </c>
      <c r="AS136" s="4">
        <v>108067.17940206881</v>
      </c>
      <c r="AT136" s="4">
        <v>110204.68849221544</v>
      </c>
      <c r="AU136" s="4">
        <v>112362.67845258016</v>
      </c>
      <c r="AV136" s="4">
        <v>114540.92295364886</v>
      </c>
      <c r="AW136" s="4">
        <v>116739.18983031154</v>
      </c>
      <c r="AX136" s="4">
        <v>118957.24123690877</v>
      </c>
      <c r="AY136" s="4">
        <v>121194.83380430315</v>
      </c>
      <c r="AZ136" s="4">
        <v>123451.71879879592</v>
      </c>
      <c r="BA136" s="4">
        <v>125727.64228271044</v>
      </c>
      <c r="BB136" s="4">
        <v>128022.34527646659</v>
      </c>
      <c r="BC136" s="4">
        <v>130335.56392197245</v>
      </c>
      <c r="BD136" s="4">
        <v>132667.02964716195</v>
      </c>
      <c r="BE136" s="4">
        <v>135016.46933151034</v>
      </c>
      <c r="BF136" s="4">
        <v>137383.60547236155</v>
      </c>
      <c r="BG136" s="4">
        <v>139768.1563519052</v>
      </c>
      <c r="BH136" s="4">
        <v>142169.83620464351</v>
      </c>
      <c r="BI136" s="4">
        <v>144588.35538519209</v>
      </c>
      <c r="BJ136" s="4">
        <v>147023.42053626193</v>
      </c>
      <c r="BK136" s="4">
        <v>149474.73475667284</v>
      </c>
      <c r="BL136" s="4">
        <v>151941.99776925321</v>
      </c>
      <c r="BM136" s="4">
        <v>154424.90608848367</v>
      </c>
      <c r="BN136" s="4">
        <v>156923.15318774656</v>
      </c>
      <c r="BO136" s="4">
        <v>159436.42966604669</v>
      </c>
      <c r="BP136" s="4">
        <v>161964.42341407295</v>
      </c>
      <c r="BQ136" s="4">
        <v>164506.81977947423</v>
      </c>
      <c r="BR136" s="4">
        <v>167063.30173122717</v>
      </c>
      <c r="BS136" s="4">
        <v>169633.55002297694</v>
      </c>
      <c r="BT136" s="4">
        <v>172217.24335523689</v>
      </c>
      <c r="BU136" s="4">
        <v>174814.05853633682</v>
      </c>
    </row>
    <row r="137" spans="1:73" x14ac:dyDescent="0.25">
      <c r="A137" s="3" t="s">
        <v>140</v>
      </c>
      <c r="B137" s="3" t="str">
        <f>VLOOKUP(A137,'storage capacity'!$A$2:$C$195,3,FALSE)</f>
        <v>Other latin america</v>
      </c>
      <c r="C137" s="4">
        <v>59210.400000000373</v>
      </c>
      <c r="D137" s="4">
        <v>62337.488637116912</v>
      </c>
      <c r="E137" s="4">
        <v>65596.806322180229</v>
      </c>
      <c r="F137" s="4">
        <v>68992.240229574309</v>
      </c>
      <c r="G137" s="4">
        <v>72527.717319194926</v>
      </c>
      <c r="H137" s="4">
        <v>76207.201870940655</v>
      </c>
      <c r="I137" s="4">
        <v>80034.692933068247</v>
      </c>
      <c r="J137" s="4">
        <v>84014.22168753462</v>
      </c>
      <c r="K137" s="4">
        <v>88149.848735626918</v>
      </c>
      <c r="L137" s="4">
        <v>92445.66130735357</v>
      </c>
      <c r="M137" s="4">
        <v>96905.77039823118</v>
      </c>
      <c r="N137" s="4">
        <v>101534.30783725641</v>
      </c>
      <c r="O137" s="4">
        <v>106335.42328999568</v>
      </c>
      <c r="P137" s="4">
        <v>111313.28120086039</v>
      </c>
      <c r="Q137" s="4">
        <v>116472.05767875984</v>
      </c>
      <c r="R137" s="4">
        <v>121815.93733043861</v>
      </c>
      <c r="S137" s="4">
        <v>127349.11004590899</v>
      </c>
      <c r="T137" s="4">
        <v>133075.7677404822</v>
      </c>
      <c r="U137" s="4">
        <v>139000.10105798527</v>
      </c>
      <c r="V137" s="4">
        <v>145126.29603982173</v>
      </c>
      <c r="W137" s="4">
        <v>151458.53076459488</v>
      </c>
      <c r="X137" s="4">
        <v>158000.97196306282</v>
      </c>
      <c r="Y137" s="4">
        <v>164757.7716132325</v>
      </c>
      <c r="Z137" s="4">
        <v>171733.06352042838</v>
      </c>
      <c r="AA137" s="4">
        <v>178930.9598871879</v>
      </c>
      <c r="AB137" s="4">
        <v>186355.54787784224</v>
      </c>
      <c r="AC137" s="4">
        <v>194010.88618263646</v>
      </c>
      <c r="AD137" s="4">
        <v>201901.00158622742</v>
      </c>
      <c r="AE137" s="4">
        <v>210029.8855453736</v>
      </c>
      <c r="AF137" s="4">
        <v>218401.49078059447</v>
      </c>
      <c r="AG137" s="4">
        <v>227019.72788653159</v>
      </c>
      <c r="AH137" s="4">
        <v>235888.4619656904</v>
      </c>
      <c r="AI137" s="4">
        <v>245011.50929017444</v>
      </c>
      <c r="AJ137" s="4">
        <v>254392.63399595342</v>
      </c>
      <c r="AK137" s="4">
        <v>264035.54481412255</v>
      </c>
      <c r="AL137" s="4">
        <v>273943.89184352069</v>
      </c>
      <c r="AM137" s="4">
        <v>284121.26336897787</v>
      </c>
      <c r="AN137" s="4">
        <v>294571.1827293543</v>
      </c>
      <c r="AO137" s="4">
        <v>305297.10523942247</v>
      </c>
      <c r="AP137" s="4">
        <v>316302.41516952269</v>
      </c>
      <c r="AQ137" s="4">
        <v>327590.42278679577</v>
      </c>
      <c r="AR137" s="4">
        <v>339164.36146166606</v>
      </c>
      <c r="AS137" s="4">
        <v>351027.38484310824</v>
      </c>
      <c r="AT137" s="4">
        <v>363182.56410608947</v>
      </c>
      <c r="AU137" s="4">
        <v>375632.88527443091</v>
      </c>
      <c r="AV137" s="4">
        <v>388381.24662218097</v>
      </c>
      <c r="AW137" s="4">
        <v>401430.45615643624</v>
      </c>
      <c r="AX137" s="4">
        <v>414783.22918438772</v>
      </c>
      <c r="AY137" s="4">
        <v>428442.18596720882</v>
      </c>
      <c r="AZ137" s="4">
        <v>442409.84946323559</v>
      </c>
      <c r="BA137" s="4">
        <v>456688.64316272497</v>
      </c>
      <c r="BB137" s="4">
        <v>471280.8890163076</v>
      </c>
      <c r="BC137" s="4">
        <v>486188.80545908381</v>
      </c>
      <c r="BD137" s="4">
        <v>501414.50553213927</v>
      </c>
      <c r="BE137" s="4">
        <v>516959.99510308891</v>
      </c>
      <c r="BF137" s="4">
        <v>532827.17118708545</v>
      </c>
      <c r="BG137" s="4">
        <v>549017.82036955957</v>
      </c>
      <c r="BH137" s="4">
        <v>565533.61733178876</v>
      </c>
      <c r="BI137" s="4">
        <v>582376.12348022452</v>
      </c>
      <c r="BJ137" s="4">
        <v>599546.78568034037</v>
      </c>
      <c r="BK137" s="4">
        <v>617046.93509559648</v>
      </c>
      <c r="BL137" s="4">
        <v>634877.78613195673</v>
      </c>
      <c r="BM137" s="4">
        <v>653040.4354882309</v>
      </c>
      <c r="BN137" s="4">
        <v>671535.86131235678</v>
      </c>
      <c r="BO137" s="4">
        <v>690364.92246358376</v>
      </c>
      <c r="BP137" s="4">
        <v>709528.35788036452</v>
      </c>
      <c r="BQ137" s="4">
        <v>729026.78605361632</v>
      </c>
      <c r="BR137" s="4">
        <v>748860.70460486528</v>
      </c>
      <c r="BS137" s="4">
        <v>769030.48996864853</v>
      </c>
      <c r="BT137" s="4">
        <v>789536.39717840997</v>
      </c>
      <c r="BU137" s="4">
        <v>810378.55975499481</v>
      </c>
    </row>
    <row r="138" spans="1:73" x14ac:dyDescent="0.25">
      <c r="A138" s="3" t="s">
        <v>141</v>
      </c>
      <c r="B138" s="3" t="str">
        <f>VLOOKUP(A138,'storage capacity'!$A$2:$C$195,3,FALSE)</f>
        <v>Other latin america</v>
      </c>
      <c r="C138" s="4">
        <v>366752.53333333507</v>
      </c>
      <c r="D138" s="4">
        <v>383031.24520914402</v>
      </c>
      <c r="E138" s="4">
        <v>399862.49289347726</v>
      </c>
      <c r="F138" s="4">
        <v>417257.63465887384</v>
      </c>
      <c r="G138" s="4">
        <v>435227.99516583828</v>
      </c>
      <c r="H138" s="4">
        <v>453784.85618630878</v>
      </c>
      <c r="I138" s="4">
        <v>472939.4472901565</v>
      </c>
      <c r="J138" s="4">
        <v>492702.93650792661</v>
      </c>
      <c r="K138" s="4">
        <v>513086.42098303599</v>
      </c>
      <c r="L138" s="4">
        <v>534100.91762662481</v>
      </c>
      <c r="M138" s="4">
        <v>555757.3537882081</v>
      </c>
      <c r="N138" s="4">
        <v>578066.55795519683</v>
      </c>
      <c r="O138" s="4">
        <v>601039.25049425231</v>
      </c>
      <c r="P138" s="4">
        <v>624686.0344473091</v>
      </c>
      <c r="Q138" s="4">
        <v>649017.38639494102</v>
      </c>
      <c r="R138" s="4">
        <v>674043.64739956602</v>
      </c>
      <c r="S138" s="4">
        <v>699775.01404077525</v>
      </c>
      <c r="T138" s="4">
        <v>726221.52955484705</v>
      </c>
      <c r="U138" s="4">
        <v>753393.07509024837</v>
      </c>
      <c r="V138" s="4">
        <v>781299.3610906573</v>
      </c>
      <c r="W138" s="4">
        <v>809949.91881674423</v>
      </c>
      <c r="X138" s="4">
        <v>839354.09201763582</v>
      </c>
      <c r="Y138" s="4">
        <v>869521.02876265463</v>
      </c>
      <c r="Z138" s="4">
        <v>900459.67344358121</v>
      </c>
      <c r="AA138" s="4">
        <v>932178.75895731489</v>
      </c>
      <c r="AB138" s="4">
        <v>964686.79907843948</v>
      </c>
      <c r="AC138" s="4">
        <v>997992.08103079849</v>
      </c>
      <c r="AD138" s="4">
        <v>1032102.6582667861</v>
      </c>
      <c r="AE138" s="4">
        <v>1067026.3434626397</v>
      </c>
      <c r="AF138" s="4">
        <v>1102770.7017375976</v>
      </c>
      <c r="AG138" s="4">
        <v>1139343.0441043456</v>
      </c>
      <c r="AH138" s="4">
        <v>1176750.421157741</v>
      </c>
      <c r="AI138" s="4">
        <v>1214999.617008344</v>
      </c>
      <c r="AJ138" s="4">
        <v>1254097.1434668442</v>
      </c>
      <c r="AK138" s="4">
        <v>1294049.2344850006</v>
      </c>
      <c r="AL138" s="4">
        <v>1334861.8408582581</v>
      </c>
      <c r="AM138" s="4">
        <v>1376540.625194743</v>
      </c>
      <c r="AN138" s="4">
        <v>1419090.9571548684</v>
      </c>
      <c r="AO138" s="4">
        <v>1462517.9089653238</v>
      </c>
      <c r="AP138" s="4">
        <v>1506826.2512107587</v>
      </c>
      <c r="AQ138" s="4">
        <v>1552020.4489060077</v>
      </c>
      <c r="AR138" s="4">
        <v>1598104.6578512534</v>
      </c>
      <c r="AS138" s="4">
        <v>1645082.7212720627</v>
      </c>
      <c r="AT138" s="4">
        <v>1692958.1667457935</v>
      </c>
      <c r="AU138" s="4">
        <v>1741734.2034154183</v>
      </c>
      <c r="AV138" s="4">
        <v>1791413.7194913838</v>
      </c>
      <c r="AW138" s="4">
        <v>1841999.280041693</v>
      </c>
      <c r="AX138" s="4">
        <v>1893493.1250699782</v>
      </c>
      <c r="AY138" s="4">
        <v>1945897.1678809219</v>
      </c>
      <c r="AZ138" s="4">
        <v>1999212.993731983</v>
      </c>
      <c r="BA138" s="4">
        <v>2053441.8587699945</v>
      </c>
      <c r="BB138" s="4">
        <v>2108584.6892508143</v>
      </c>
      <c r="BC138" s="4">
        <v>2164642.0810398483</v>
      </c>
      <c r="BD138" s="4">
        <v>2221614.2993908999</v>
      </c>
      <c r="BE138" s="4">
        <v>2279501.2790004606</v>
      </c>
      <c r="BF138" s="4">
        <v>2338302.6243342152</v>
      </c>
      <c r="BG138" s="4">
        <v>2398017.6102222274</v>
      </c>
      <c r="BH138" s="4">
        <v>2458645.1827189457</v>
      </c>
      <c r="BI138" s="4">
        <v>2520183.9602238918</v>
      </c>
      <c r="BJ138" s="4">
        <v>2582632.2348586083</v>
      </c>
      <c r="BK138" s="4">
        <v>2645987.9740951634</v>
      </c>
      <c r="BL138" s="4">
        <v>2710248.8226312771</v>
      </c>
      <c r="BM138" s="4">
        <v>2775412.1045068833</v>
      </c>
      <c r="BN138" s="4">
        <v>2841474.8254567082</v>
      </c>
      <c r="BO138" s="4">
        <v>2908433.6754932567</v>
      </c>
      <c r="BP138" s="4">
        <v>2976285.0317143793</v>
      </c>
      <c r="BQ138" s="4">
        <v>3045024.9613294206</v>
      </c>
      <c r="BR138" s="4">
        <v>3114649.2248977819</v>
      </c>
      <c r="BS138" s="4">
        <v>3185153.2797735664</v>
      </c>
      <c r="BT138" s="4">
        <v>3256532.2837498444</v>
      </c>
      <c r="BU138" s="4">
        <v>3328781.0988959433</v>
      </c>
    </row>
    <row r="139" spans="1:73" x14ac:dyDescent="0.25">
      <c r="A139" s="3" t="s">
        <v>142</v>
      </c>
      <c r="B139" s="3" t="str">
        <f>VLOOKUP(A139,'storage capacity'!$A$2:$C$195,3,FALSE)</f>
        <v>Other Asia pacific</v>
      </c>
      <c r="C139" s="4">
        <v>715143.53333331645</v>
      </c>
      <c r="D139" s="4">
        <v>770015.3291353879</v>
      </c>
      <c r="E139" s="4">
        <v>828506.52805704274</v>
      </c>
      <c r="F139" s="4">
        <v>890811.43930204213</v>
      </c>
      <c r="G139" s="4">
        <v>957131.86832024693</v>
      </c>
      <c r="H139" s="4">
        <v>1027677.2378564671</v>
      </c>
      <c r="I139" s="4">
        <v>1102664.7021537551</v>
      </c>
      <c r="J139" s="4">
        <v>1182319.2538644949</v>
      </c>
      <c r="K139" s="4">
        <v>1266873.8232290416</v>
      </c>
      <c r="L139" s="4">
        <v>1356569.3690895163</v>
      </c>
      <c r="M139" s="4">
        <v>1451654.961315637</v>
      </c>
      <c r="N139" s="4">
        <v>1552387.854230175</v>
      </c>
      <c r="O139" s="4">
        <v>1659033.5506337273</v>
      </c>
      <c r="P139" s="4">
        <v>1771865.8560419728</v>
      </c>
      <c r="Q139" s="4">
        <v>1891166.9227634096</v>
      </c>
      <c r="R139" s="4">
        <v>2017227.2834616976</v>
      </c>
      <c r="S139" s="4">
        <v>2150345.8738641315</v>
      </c>
      <c r="T139" s="4">
        <v>2290830.0442963815</v>
      </c>
      <c r="U139" s="4">
        <v>2438995.5597434286</v>
      </c>
      <c r="V139" s="4">
        <v>2595166.5881575001</v>
      </c>
      <c r="W139" s="4">
        <v>2759675.6767557668</v>
      </c>
      <c r="X139" s="4">
        <v>2932863.7160734641</v>
      </c>
      <c r="Y139" s="4">
        <v>3115079.8915619561</v>
      </c>
      <c r="Z139" s="4">
        <v>3306681.622545911</v>
      </c>
      <c r="AA139" s="4">
        <v>3508034.4883792168</v>
      </c>
      <c r="AB139" s="4">
        <v>3719512.1416653697</v>
      </c>
      <c r="AC139" s="4">
        <v>3941496.2084348067</v>
      </c>
      <c r="AD139" s="4">
        <v>4174376.1751988875</v>
      </c>
      <c r="AE139" s="4">
        <v>4418549.2628279263</v>
      </c>
      <c r="AF139" s="4">
        <v>4674420.287228683</v>
      </c>
      <c r="AG139" s="4">
        <v>4942401.5068250271</v>
      </c>
      <c r="AH139" s="4">
        <v>5222912.4568739422</v>
      </c>
      <c r="AI139" s="4">
        <v>5516379.7706775852</v>
      </c>
      <c r="AJ139" s="4">
        <v>5823236.9877806557</v>
      </c>
      <c r="AK139" s="4">
        <v>6143924.3492707666</v>
      </c>
      <c r="AL139" s="4">
        <v>6478888.5803278061</v>
      </c>
      <c r="AM139" s="4">
        <v>6828582.660196255</v>
      </c>
      <c r="AN139" s="4">
        <v>7193465.579782092</v>
      </c>
      <c r="AO139" s="4">
        <v>7574002.087103148</v>
      </c>
      <c r="AP139" s="4">
        <v>7970662.4208484814</v>
      </c>
      <c r="AQ139" s="4">
        <v>8383922.0323284734</v>
      </c>
      <c r="AR139" s="4">
        <v>8814261.2961227968</v>
      </c>
      <c r="AS139" s="4">
        <v>9262165.2097581588</v>
      </c>
      <c r="AT139" s="4">
        <v>9728123.0827716012</v>
      </c>
      <c r="AU139" s="4">
        <v>10212628.21553826</v>
      </c>
      <c r="AV139" s="4">
        <v>10716177.56826454</v>
      </c>
      <c r="AW139" s="4">
        <v>11239271.420568841</v>
      </c>
      <c r="AX139" s="4">
        <v>11782413.022092042</v>
      </c>
      <c r="AY139" s="4">
        <v>12346108.234598972</v>
      </c>
      <c r="AZ139" s="4">
        <v>12930865.166049941</v>
      </c>
      <c r="BA139" s="4">
        <v>13537193.797138089</v>
      </c>
      <c r="BB139" s="4">
        <v>14165605.600803817</v>
      </c>
      <c r="BC139" s="4">
        <v>14816613.155251727</v>
      </c>
      <c r="BD139" s="4">
        <v>15490729.751008514</v>
      </c>
      <c r="BE139" s="4">
        <v>16188468.992571861</v>
      </c>
      <c r="BF139" s="4">
        <v>16910344.395210743</v>
      </c>
      <c r="BG139" s="4">
        <v>17656868.97748654</v>
      </c>
      <c r="BH139" s="4">
        <v>18428554.850072034</v>
      </c>
      <c r="BI139" s="4">
        <v>19225912.801451698</v>
      </c>
      <c r="BJ139" s="4">
        <v>20049451.881091602</v>
      </c>
      <c r="BK139" s="4">
        <v>20899678.980670985</v>
      </c>
      <c r="BL139" s="4">
        <v>21777098.413969699</v>
      </c>
      <c r="BM139" s="4">
        <v>22682211.496006887</v>
      </c>
      <c r="BN139" s="4">
        <v>23615516.12202568</v>
      </c>
      <c r="BO139" s="4">
        <v>24577506.346917294</v>
      </c>
      <c r="BP139" s="4">
        <v>25568671.965674847</v>
      </c>
      <c r="BQ139" s="4">
        <v>26589498.095463127</v>
      </c>
      <c r="BR139" s="4">
        <v>27640464.759885155</v>
      </c>
      <c r="BS139" s="4">
        <v>28722046.476019934</v>
      </c>
      <c r="BT139" s="4">
        <v>29834711.844797906</v>
      </c>
      <c r="BU139" s="4">
        <v>30978923.145272024</v>
      </c>
    </row>
    <row r="140" spans="1:73" x14ac:dyDescent="0.25">
      <c r="A140" s="3" t="s">
        <v>143</v>
      </c>
      <c r="B140" s="3" t="str">
        <f>VLOOKUP(A140,'storage capacity'!$A$2:$C$195,3,FALSE)</f>
        <v>Country specific</v>
      </c>
      <c r="C140" s="4">
        <v>1195422.5333333462</v>
      </c>
      <c r="D140" s="4">
        <v>1263689.880182666</v>
      </c>
      <c r="E140" s="4">
        <v>1335134.1314204712</v>
      </c>
      <c r="F140" s="4">
        <v>1409862.7362934558</v>
      </c>
      <c r="G140" s="4">
        <v>1487984.8531186709</v>
      </c>
      <c r="H140" s="4">
        <v>1569611.2968154131</v>
      </c>
      <c r="I140" s="4">
        <v>1654854.4832618178</v>
      </c>
      <c r="J140" s="4">
        <v>1743828.3705223883</v>
      </c>
      <c r="K140" s="4">
        <v>1836648.3969995652</v>
      </c>
      <c r="L140" s="4">
        <v>1933431.4165692136</v>
      </c>
      <c r="M140" s="4">
        <v>2034295.6307665331</v>
      </c>
      <c r="N140" s="4">
        <v>2139360.5180953727</v>
      </c>
      <c r="O140" s="4">
        <v>2248746.7605402409</v>
      </c>
      <c r="P140" s="4">
        <v>2362576.1673664046</v>
      </c>
      <c r="Q140" s="4">
        <v>2480971.5962993884</v>
      </c>
      <c r="R140" s="4">
        <v>2604056.8721808549</v>
      </c>
      <c r="S140" s="4">
        <v>2731956.7032032991</v>
      </c>
      <c r="T140" s="4">
        <v>2864796.5948311752</v>
      </c>
      <c r="U140" s="4">
        <v>3002702.7615210046</v>
      </c>
      <c r="V140" s="4">
        <v>3145802.0363576468</v>
      </c>
      <c r="W140" s="4">
        <v>3294221.778728297</v>
      </c>
      <c r="X140" s="4">
        <v>3448089.7801598092</v>
      </c>
      <c r="Y140" s="4">
        <v>3607534.1684487122</v>
      </c>
      <c r="Z140" s="4">
        <v>3772683.3102167184</v>
      </c>
      <c r="AA140" s="4">
        <v>3943665.7120276392</v>
      </c>
      <c r="AB140" s="4">
        <v>4120609.9202044168</v>
      </c>
      <c r="AC140" s="4">
        <v>4303644.4194874354</v>
      </c>
      <c r="AD140" s="4">
        <v>4492897.5306773977</v>
      </c>
      <c r="AE140" s="4">
        <v>4688497.3074078532</v>
      </c>
      <c r="AF140" s="4">
        <v>4890571.4321938967</v>
      </c>
      <c r="AG140" s="4">
        <v>5099247.1119046928</v>
      </c>
      <c r="AH140" s="4">
        <v>5314650.9728082344</v>
      </c>
      <c r="AI140" s="4">
        <v>5536908.9553372161</v>
      </c>
      <c r="AJ140" s="4">
        <v>5766146.2087250054</v>
      </c>
      <c r="AK140" s="4">
        <v>6002486.9856604701</v>
      </c>
      <c r="AL140" s="4">
        <v>6246054.5371099152</v>
      </c>
      <c r="AM140" s="4">
        <v>6496971.0074535161</v>
      </c>
      <c r="AN140" s="4">
        <v>6755357.3300824817</v>
      </c>
      <c r="AO140" s="4">
        <v>7021333.12360173</v>
      </c>
      <c r="AP140" s="4">
        <v>7295016.5887810988</v>
      </c>
      <c r="AQ140" s="4">
        <v>7576524.4063960928</v>
      </c>
      <c r="AR140" s="4">
        <v>7865971.6360968547</v>
      </c>
      <c r="AS140" s="4">
        <v>8163471.6164414631</v>
      </c>
      <c r="AT140" s="4">
        <v>8469135.8662268594</v>
      </c>
      <c r="AU140" s="4">
        <v>8783073.9872476291</v>
      </c>
      <c r="AV140" s="4">
        <v>9105393.5686095506</v>
      </c>
      <c r="AW140" s="4">
        <v>9436200.092721343</v>
      </c>
      <c r="AX140" s="4">
        <v>9775596.8430842645</v>
      </c>
      <c r="AY140" s="4">
        <v>10123684.8139954</v>
      </c>
      <c r="AZ140" s="4">
        <v>10480562.622276245</v>
      </c>
      <c r="BA140" s="4">
        <v>10846326.421134068</v>
      </c>
      <c r="BB140" s="4">
        <v>11221069.816259025</v>
      </c>
      <c r="BC140" s="4">
        <v>11604883.784255482</v>
      </c>
      <c r="BD140" s="4">
        <v>11997856.593501331</v>
      </c>
      <c r="BE140" s="4">
        <v>12400073.727524249</v>
      </c>
      <c r="BF140" s="4">
        <v>12811617.810979005</v>
      </c>
      <c r="BG140" s="4">
        <v>13232568.538304901</v>
      </c>
      <c r="BH140" s="4">
        <v>13663002.605137397</v>
      </c>
      <c r="BI140" s="4">
        <v>14102993.64254285</v>
      </c>
      <c r="BJ140" s="4">
        <v>14552612.15414015</v>
      </c>
      <c r="BK140" s="4">
        <v>15011925.456167798</v>
      </c>
      <c r="BL140" s="4">
        <v>15480997.620549826</v>
      </c>
      <c r="BM140" s="4">
        <v>15959889.421008637</v>
      </c>
      <c r="BN140" s="4">
        <v>16448658.282267731</v>
      </c>
      <c r="BO140" s="4">
        <v>16947358.23238194</v>
      </c>
      <c r="BP140" s="4">
        <v>17456039.858227741</v>
      </c>
      <c r="BQ140" s="4">
        <v>17974750.264180947</v>
      </c>
      <c r="BR140" s="4">
        <v>18503533.034004066</v>
      </c>
      <c r="BS140" s="4">
        <v>19042428.195960477</v>
      </c>
      <c r="BT140" s="4">
        <v>19591472.191167701</v>
      </c>
      <c r="BU140" s="4">
        <v>20150697.845196985</v>
      </c>
    </row>
    <row r="141" spans="1:73" x14ac:dyDescent="0.25">
      <c r="A141" s="3" t="s">
        <v>144</v>
      </c>
      <c r="B141" s="3" t="str">
        <f>VLOOKUP(A141,'storage capacity'!$A$2:$C$195,3,FALSE)</f>
        <v>Country specific</v>
      </c>
      <c r="C141" s="4">
        <v>394084.66666666418</v>
      </c>
      <c r="D141" s="4">
        <v>410793.58357340109</v>
      </c>
      <c r="E141" s="4">
        <v>428036.773349569</v>
      </c>
      <c r="F141" s="4">
        <v>445824.08165498002</v>
      </c>
      <c r="G141" s="4">
        <v>464165.28683937341</v>
      </c>
      <c r="H141" s="4">
        <v>483070.09168179636</v>
      </c>
      <c r="I141" s="4">
        <v>502548.11515040591</v>
      </c>
      <c r="J141" s="4">
        <v>522608.88419420423</v>
      </c>
      <c r="K141" s="4">
        <v>543261.82557811565</v>
      </c>
      <c r="L141" s="4">
        <v>564516.25777268212</v>
      </c>
      <c r="M141" s="4">
        <v>586381.38290950481</v>
      </c>
      <c r="N141" s="4">
        <v>608866.27881338599</v>
      </c>
      <c r="O141" s="4">
        <v>631979.89112192881</v>
      </c>
      <c r="P141" s="4">
        <v>655731.02550314122</v>
      </c>
      <c r="Q141" s="4">
        <v>680128.33998135454</v>
      </c>
      <c r="R141" s="4">
        <v>705180.33738151554</v>
      </c>
      <c r="S141" s="4">
        <v>730895.35790164059</v>
      </c>
      <c r="T141" s="4">
        <v>757281.57182293583</v>
      </c>
      <c r="U141" s="4">
        <v>784346.97236678365</v>
      </c>
      <c r="V141" s="4">
        <v>812099.36870748142</v>
      </c>
      <c r="W141" s="4">
        <v>840546.37914928701</v>
      </c>
      <c r="X141" s="4">
        <v>869695.42447598453</v>
      </c>
      <c r="Y141" s="4">
        <v>899553.72148083046</v>
      </c>
      <c r="Z141" s="4">
        <v>930128.27668437501</v>
      </c>
      <c r="AA141" s="4">
        <v>961425.88024728314</v>
      </c>
      <c r="AB141" s="4">
        <v>993453.10008489375</v>
      </c>
      <c r="AC141" s="4">
        <v>1026216.2761898736</v>
      </c>
      <c r="AD141" s="4">
        <v>1059721.5151689204</v>
      </c>
      <c r="AE141" s="4">
        <v>1093974.6849990769</v>
      </c>
      <c r="AF141" s="4">
        <v>1128981.4100088079</v>
      </c>
      <c r="AG141" s="4">
        <v>1164747.0660885889</v>
      </c>
      <c r="AH141" s="4">
        <v>1201276.7761353471</v>
      </c>
      <c r="AI141" s="4">
        <v>1238575.4057346794</v>
      </c>
      <c r="AJ141" s="4">
        <v>1276647.5590843703</v>
      </c>
      <c r="AK141" s="4">
        <v>1315497.5751623148</v>
      </c>
      <c r="AL141" s="4">
        <v>1355129.5241415503</v>
      </c>
      <c r="AM141" s="4">
        <v>1395547.2040546911</v>
      </c>
      <c r="AN141" s="4">
        <v>1436754.1377096593</v>
      </c>
      <c r="AO141" s="4">
        <v>1478753.5698582081</v>
      </c>
      <c r="AP141" s="4">
        <v>1521548.4646183387</v>
      </c>
      <c r="AQ141" s="4">
        <v>1565141.5031513267</v>
      </c>
      <c r="AR141" s="4">
        <v>1609535.081593689</v>
      </c>
      <c r="AS141" s="4">
        <v>1654731.3092440523</v>
      </c>
      <c r="AT141" s="4">
        <v>1700732.0070045129</v>
      </c>
      <c r="AU141" s="4">
        <v>1747538.7060757249</v>
      </c>
      <c r="AV141" s="4">
        <v>1795152.6469045933</v>
      </c>
      <c r="AW141" s="4">
        <v>1843574.7783831221</v>
      </c>
      <c r="AX141" s="4">
        <v>1892805.7572966218</v>
      </c>
      <c r="AY141" s="4">
        <v>1942845.9480191711</v>
      </c>
      <c r="AZ141" s="4">
        <v>1993695.4224539078</v>
      </c>
      <c r="BA141" s="4">
        <v>2045353.960215433</v>
      </c>
      <c r="BB141" s="4">
        <v>2097821.0490513141</v>
      </c>
      <c r="BC141" s="4">
        <v>2151095.8854994057</v>
      </c>
      <c r="BD141" s="4">
        <v>2205177.3757774294</v>
      </c>
      <c r="BE141" s="4">
        <v>2260064.1369010136</v>
      </c>
      <c r="BF141" s="4">
        <v>2315754.4980261405</v>
      </c>
      <c r="BG141" s="4">
        <v>2372246.5020117261</v>
      </c>
      <c r="BH141" s="4">
        <v>2429537.9071978368</v>
      </c>
      <c r="BI141" s="4">
        <v>2487626.1893948452</v>
      </c>
      <c r="BJ141" s="4">
        <v>2546508.5440786341</v>
      </c>
      <c r="BK141" s="4">
        <v>2606181.888786776</v>
      </c>
      <c r="BL141" s="4">
        <v>2666642.8657104485</v>
      </c>
      <c r="BM141" s="4">
        <v>2727887.8444766947</v>
      </c>
      <c r="BN141" s="4">
        <v>2789912.9251154903</v>
      </c>
      <c r="BO141" s="4">
        <v>2852713.9412059505</v>
      </c>
      <c r="BP141" s="4">
        <v>2916286.4631958907</v>
      </c>
      <c r="BQ141" s="4">
        <v>2980625.8018888514</v>
      </c>
      <c r="BR141" s="4">
        <v>3045727.0120925982</v>
      </c>
      <c r="BS141" s="4">
        <v>3111584.8964230292</v>
      </c>
      <c r="BT141" s="4">
        <v>3178194.0092573506</v>
      </c>
      <c r="BU141" s="4">
        <v>3245548.6608303133</v>
      </c>
    </row>
    <row r="142" spans="1:73" x14ac:dyDescent="0.25">
      <c r="A142" s="3" t="s">
        <v>145</v>
      </c>
      <c r="B142" s="3" t="str">
        <f>VLOOKUP(A142,'storage capacity'!$A$2:$C$195,3,FALSE)</f>
        <v>Middle east</v>
      </c>
      <c r="C142" s="4">
        <v>298701.59999999776</v>
      </c>
      <c r="D142" s="4">
        <v>306399.07806055649</v>
      </c>
      <c r="E142" s="4">
        <v>314215.96012391034</v>
      </c>
      <c r="F142" s="4">
        <v>322152.10414587246</v>
      </c>
      <c r="G142" s="4">
        <v>330207.32527317246</v>
      </c>
      <c r="H142" s="4">
        <v>338381.39602674427</v>
      </c>
      <c r="I142" s="4">
        <v>346674.04651783052</v>
      </c>
      <c r="J142" s="4">
        <v>355084.96469625481</v>
      </c>
      <c r="K142" s="4">
        <v>363613.79663018009</v>
      </c>
      <c r="L142" s="4">
        <v>372260.14681664447</v>
      </c>
      <c r="M142" s="4">
        <v>381023.57852213556</v>
      </c>
      <c r="N142" s="4">
        <v>389903.61415244214</v>
      </c>
      <c r="O142" s="4">
        <v>398899.7356509947</v>
      </c>
      <c r="P142" s="4">
        <v>408011.3849248875</v>
      </c>
      <c r="Q142" s="4">
        <v>417237.96429775294</v>
      </c>
      <c r="R142" s="4">
        <v>426578.83698864112</v>
      </c>
      <c r="S142" s="4">
        <v>436033.32761604135</v>
      </c>
      <c r="T142" s="4">
        <v>445600.72272616695</v>
      </c>
      <c r="U142" s="4">
        <v>455280.27134461235</v>
      </c>
      <c r="V142" s="4">
        <v>465071.18555047916</v>
      </c>
      <c r="W142" s="4">
        <v>474972.64107206027</v>
      </c>
      <c r="X142" s="4">
        <v>484983.77790315973</v>
      </c>
      <c r="Y142" s="4">
        <v>495103.70093912323</v>
      </c>
      <c r="Z142" s="4">
        <v>505331.48063164699</v>
      </c>
      <c r="AA142" s="4">
        <v>515666.15366143</v>
      </c>
      <c r="AB142" s="4">
        <v>526106.72362773377</v>
      </c>
      <c r="AC142" s="4">
        <v>536652.16175391094</v>
      </c>
      <c r="AD142" s="4">
        <v>547301.40760796878</v>
      </c>
      <c r="AE142" s="4">
        <v>558053.36983723158</v>
      </c>
      <c r="AF142" s="4">
        <v>568906.92691617412</v>
      </c>
      <c r="AG142" s="4">
        <v>579860.92790649983</v>
      </c>
      <c r="AH142" s="4">
        <v>590914.19322854443</v>
      </c>
      <c r="AI142" s="4">
        <v>602065.51544309536</v>
      </c>
      <c r="AJ142" s="4">
        <v>613313.6600427212</v>
      </c>
      <c r="AK142" s="4">
        <v>624657.36625171918</v>
      </c>
      <c r="AL142" s="4">
        <v>636095.34783379734</v>
      </c>
      <c r="AM142" s="4">
        <v>647626.29390661803</v>
      </c>
      <c r="AN142" s="4">
        <v>659248.86976234638</v>
      </c>
      <c r="AO142" s="4">
        <v>670961.71769335342</v>
      </c>
      <c r="AP142" s="4">
        <v>682763.45782224508</v>
      </c>
      <c r="AQ142" s="4">
        <v>694652.68893539812</v>
      </c>
      <c r="AR142" s="4">
        <v>706627.98931920039</v>
      </c>
      <c r="AS142" s="4">
        <v>718687.91759821086</v>
      </c>
      <c r="AT142" s="4">
        <v>730831.01357446925</v>
      </c>
      <c r="AU142" s="4">
        <v>743055.79906720412</v>
      </c>
      <c r="AV142" s="4">
        <v>755360.77875220438</v>
      </c>
      <c r="AW142" s="4">
        <v>767744.44100013957</v>
      </c>
      <c r="AX142" s="4">
        <v>780205.25871313142</v>
      </c>
      <c r="AY142" s="4">
        <v>792741.69015889789</v>
      </c>
      <c r="AZ142" s="4">
        <v>805352.1798018124</v>
      </c>
      <c r="BA142" s="4">
        <v>818035.15913023788</v>
      </c>
      <c r="BB142" s="4">
        <v>830789.04747951892</v>
      </c>
      <c r="BC142" s="4">
        <v>843612.25285002997</v>
      </c>
      <c r="BD142" s="4">
        <v>856503.17271970445</v>
      </c>
      <c r="BE142" s="4">
        <v>869460.19485048461</v>
      </c>
      <c r="BF142" s="4">
        <v>882481.69808815548</v>
      </c>
      <c r="BG142" s="4">
        <v>895566.05315504631</v>
      </c>
      <c r="BH142" s="4">
        <v>908711.62343510264</v>
      </c>
      <c r="BI142" s="4">
        <v>921916.76575085428</v>
      </c>
      <c r="BJ142" s="4">
        <v>935179.83113182464</v>
      </c>
      <c r="BK142" s="4">
        <v>948499.16557394504</v>
      </c>
      <c r="BL142" s="4">
        <v>961873.11078956292</v>
      </c>
      <c r="BM142" s="4">
        <v>975300.00494764966</v>
      </c>
      <c r="BN142" s="4">
        <v>988778.18340383237</v>
      </c>
      <c r="BO142" s="4">
        <v>1002305.9794199006</v>
      </c>
      <c r="BP142" s="4">
        <v>1015881.7248724503</v>
      </c>
      <c r="BQ142" s="4">
        <v>1029503.7509503554</v>
      </c>
      <c r="BR142" s="4">
        <v>1043170.3888407678</v>
      </c>
      <c r="BS142" s="4">
        <v>1056879.9704033756</v>
      </c>
      <c r="BT142" s="4">
        <v>1070630.8288326594</v>
      </c>
      <c r="BU142" s="4">
        <v>1084421.29930791</v>
      </c>
    </row>
    <row r="143" spans="1:73" x14ac:dyDescent="0.25">
      <c r="A143" s="3" t="s">
        <v>146</v>
      </c>
      <c r="B143" s="3" t="str">
        <f>VLOOKUP(A143,'storage capacity'!$A$2:$C$195,3,FALSE)</f>
        <v>Other eurasia</v>
      </c>
      <c r="C143" s="4">
        <v>535235.73333334178</v>
      </c>
      <c r="D143" s="4">
        <v>558664.89203371445</v>
      </c>
      <c r="E143" s="4">
        <v>582875.08041356306</v>
      </c>
      <c r="F143" s="4">
        <v>607881.84304167063</v>
      </c>
      <c r="G143" s="4">
        <v>633700.66064261016</v>
      </c>
      <c r="H143" s="4">
        <v>660346.93728079705</v>
      </c>
      <c r="I143" s="4">
        <v>687835.98751883698</v>
      </c>
      <c r="J143" s="4">
        <v>716183.02356833266</v>
      </c>
      <c r="K143" s="4">
        <v>745403.14245126129</v>
      </c>
      <c r="L143" s="4">
        <v>775511.31318996032</v>
      </c>
      <c r="M143" s="4">
        <v>806522.36404363229</v>
      </c>
      <c r="N143" s="4">
        <v>838450.9698091239</v>
      </c>
      <c r="O143" s="4">
        <v>871311.63920354203</v>
      </c>
      <c r="P143" s="4">
        <v>905118.70234603598</v>
      </c>
      <c r="Q143" s="4">
        <v>939886.29835581605</v>
      </c>
      <c r="R143" s="4">
        <v>975628.36308317923</v>
      </c>
      <c r="S143" s="4">
        <v>1012358.616989987</v>
      </c>
      <c r="T143" s="4">
        <v>1050090.5531956796</v>
      </c>
      <c r="U143" s="4">
        <v>1088837.425704529</v>
      </c>
      <c r="V143" s="4">
        <v>1128612.2378294105</v>
      </c>
      <c r="W143" s="4">
        <v>1169427.7308269404</v>
      </c>
      <c r="X143" s="4">
        <v>1211296.3727583596</v>
      </c>
      <c r="Y143" s="4">
        <v>1254230.347590053</v>
      </c>
      <c r="Z143" s="4">
        <v>1298241.5445470891</v>
      </c>
      <c r="AA143" s="4">
        <v>1343341.5477326354</v>
      </c>
      <c r="AB143" s="4">
        <v>1389541.6260255564</v>
      </c>
      <c r="AC143" s="4">
        <v>1436852.7232679431</v>
      </c>
      <c r="AD143" s="4">
        <v>1485285.4487537395</v>
      </c>
      <c r="AE143" s="4">
        <v>1534850.0680290456</v>
      </c>
      <c r="AF143" s="4">
        <v>1585556.4940140743</v>
      </c>
      <c r="AG143" s="4">
        <v>1637414.2784561256</v>
      </c>
      <c r="AH143" s="4">
        <v>1690432.603722323</v>
      </c>
      <c r="AI143" s="4">
        <v>1744620.2749402307</v>
      </c>
      <c r="AJ143" s="4">
        <v>1799985.7124938385</v>
      </c>
      <c r="AK143" s="4">
        <v>1856536.9448817684</v>
      </c>
      <c r="AL143" s="4">
        <v>1914281.6019439141</v>
      </c>
      <c r="AM143" s="4">
        <v>1973226.9084620934</v>
      </c>
      <c r="AN143" s="4">
        <v>2033379.6781396547</v>
      </c>
      <c r="AO143" s="4">
        <v>2094746.3079643424</v>
      </c>
      <c r="AP143" s="4">
        <v>2157332.7729580998</v>
      </c>
      <c r="AQ143" s="4">
        <v>2221144.6213168539</v>
      </c>
      <c r="AR143" s="4">
        <v>2286186.9699427215</v>
      </c>
      <c r="AS143" s="4">
        <v>2352464.5003704447</v>
      </c>
      <c r="AT143" s="4">
        <v>2419981.4550892767</v>
      </c>
      <c r="AU143" s="4">
        <v>2488741.6342609352</v>
      </c>
      <c r="AV143" s="4">
        <v>2558748.3928336622</v>
      </c>
      <c r="AW143" s="4">
        <v>2630004.6380518475</v>
      </c>
      <c r="AX143" s="4">
        <v>2702512.8273601299</v>
      </c>
      <c r="AY143" s="4">
        <v>2776274.966700328</v>
      </c>
      <c r="AZ143" s="4">
        <v>2851292.6091990266</v>
      </c>
      <c r="BA143" s="4">
        <v>2927566.8542431309</v>
      </c>
      <c r="BB143" s="4">
        <v>3005098.3469401933</v>
      </c>
      <c r="BC143" s="4">
        <v>3083887.2779598343</v>
      </c>
      <c r="BD143" s="4">
        <v>3163933.3837521109</v>
      </c>
      <c r="BE143" s="4">
        <v>3245235.9471382326</v>
      </c>
      <c r="BF143" s="4">
        <v>3327793.7982685901</v>
      </c>
      <c r="BG143" s="4">
        <v>3411605.3159426544</v>
      </c>
      <c r="BH143" s="4">
        <v>3496668.429284893</v>
      </c>
      <c r="BI143" s="4">
        <v>3582980.6197704799</v>
      </c>
      <c r="BJ143" s="4">
        <v>3670538.9235942173</v>
      </c>
      <c r="BK143" s="4">
        <v>3759339.9343757406</v>
      </c>
      <c r="BL143" s="4">
        <v>3849379.8061937597</v>
      </c>
      <c r="BM143" s="4">
        <v>3940654.256941787</v>
      </c>
      <c r="BN143" s="4">
        <v>4033158.5719975233</v>
      </c>
      <c r="BO143" s="4">
        <v>4126887.608197798</v>
      </c>
      <c r="BP143" s="4">
        <v>4221835.7981107328</v>
      </c>
      <c r="BQ143" s="4">
        <v>4317997.1545965578</v>
      </c>
      <c r="BR143" s="4">
        <v>4415365.2756483089</v>
      </c>
      <c r="BS143" s="4">
        <v>4513933.3495034473</v>
      </c>
      <c r="BT143" s="4">
        <v>4613694.1600172827</v>
      </c>
      <c r="BU143" s="4">
        <v>4714640.0922889085</v>
      </c>
    </row>
    <row r="144" spans="1:73" x14ac:dyDescent="0.25">
      <c r="A144" s="3" t="s">
        <v>147</v>
      </c>
      <c r="B144" s="3" t="str">
        <f>VLOOKUP(A144,'storage capacity'!$A$2:$C$195,3,FALSE)</f>
        <v>Country specific</v>
      </c>
      <c r="C144" s="4">
        <v>2562274.0666666925</v>
      </c>
      <c r="D144" s="4">
        <v>2721360.4141732305</v>
      </c>
      <c r="E144" s="4">
        <v>2888634.4701495599</v>
      </c>
      <c r="F144" s="4">
        <v>3064414.8135112943</v>
      </c>
      <c r="G144" s="4">
        <v>3249027.0428367211</v>
      </c>
      <c r="H144" s="4">
        <v>3442803.6887540249</v>
      </c>
      <c r="I144" s="4">
        <v>3646084.114905308</v>
      </c>
      <c r="J144" s="4">
        <v>3859214.407443224</v>
      </c>
      <c r="K144" s="4">
        <v>4082547.2530404553</v>
      </c>
      <c r="L144" s="4">
        <v>4316441.8054168886</v>
      </c>
      <c r="M144" s="4">
        <v>4561263.5404141191</v>
      </c>
      <c r="N144" s="4">
        <v>4817384.099671741</v>
      </c>
      <c r="O144" s="4">
        <v>5085181.1229847455</v>
      </c>
      <c r="P144" s="4">
        <v>5365038.0694460487</v>
      </c>
      <c r="Q144" s="4">
        <v>5657344.0275028031</v>
      </c>
      <c r="R144" s="4">
        <v>5962493.5140794637</v>
      </c>
      <c r="S144" s="4">
        <v>6280886.2629446471</v>
      </c>
      <c r="T144" s="4">
        <v>6612927.0025224546</v>
      </c>
      <c r="U144" s="4">
        <v>6959025.2233721912</v>
      </c>
      <c r="V144" s="4">
        <v>7319594.9355830569</v>
      </c>
      <c r="W144" s="4">
        <v>7695054.4163525393</v>
      </c>
      <c r="X144" s="4">
        <v>8085825.9480387028</v>
      </c>
      <c r="Y144" s="4">
        <v>8492335.5469973162</v>
      </c>
      <c r="Z144" s="4">
        <v>8915012.6835348066</v>
      </c>
      <c r="AA144" s="4">
        <v>9354289.9933271855</v>
      </c>
      <c r="AB144" s="4">
        <v>9810602.9806734584</v>
      </c>
      <c r="AC144" s="4">
        <v>10284389.713969417</v>
      </c>
      <c r="AD144" s="4">
        <v>10776090.513804223</v>
      </c>
      <c r="AE144" s="4">
        <v>11286147.634097643</v>
      </c>
      <c r="AF144" s="4">
        <v>11815004.93671024</v>
      </c>
      <c r="AG144" s="4">
        <v>12363107.559972255</v>
      </c>
      <c r="AH144" s="4">
        <v>12930901.58158916</v>
      </c>
      <c r="AI144" s="4">
        <v>13518833.676393148</v>
      </c>
      <c r="AJ144" s="4">
        <v>14127350.769419758</v>
      </c>
      <c r="AK144" s="4">
        <v>14756899.6847979</v>
      </c>
      <c r="AL144" s="4">
        <v>15407926.790949183</v>
      </c>
      <c r="AM144" s="4">
        <v>16080877.642599121</v>
      </c>
      <c r="AN144" s="4">
        <v>16776196.620108157</v>
      </c>
      <c r="AO144" s="4">
        <v>17494326.566634748</v>
      </c>
      <c r="AP144" s="4">
        <v>18235708.423645776</v>
      </c>
      <c r="AQ144" s="4">
        <v>19000780.865291554</v>
      </c>
      <c r="AR144" s="4">
        <v>19789979.932163335</v>
      </c>
      <c r="AS144" s="4">
        <v>20603738.664951</v>
      </c>
      <c r="AT144" s="4">
        <v>21442486.738517012</v>
      </c>
      <c r="AU144" s="4">
        <v>22306650.09690012</v>
      </c>
      <c r="AV144" s="4">
        <v>23196650.589758709</v>
      </c>
      <c r="AW144" s="4">
        <v>24112905.61075886</v>
      </c>
      <c r="AX144" s="4">
        <v>25055827.738406442</v>
      </c>
      <c r="AY144" s="4">
        <v>26025824.379815876</v>
      </c>
      <c r="AZ144" s="4">
        <v>27023297.417900369</v>
      </c>
      <c r="BA144" s="4">
        <v>28048642.862459835</v>
      </c>
      <c r="BB144" s="4">
        <v>29102250.505633231</v>
      </c>
      <c r="BC144" s="4">
        <v>30184503.582171455</v>
      </c>
      <c r="BD144" s="4">
        <v>31295778.434975993</v>
      </c>
      <c r="BE144" s="4">
        <v>32436444.186336253</v>
      </c>
      <c r="BF144" s="4">
        <v>33606862.415286042</v>
      </c>
      <c r="BG144" s="4">
        <v>34807386.841486111</v>
      </c>
      <c r="BH144" s="4">
        <v>36038363.016025633</v>
      </c>
      <c r="BI144" s="4">
        <v>37300128.019521005</v>
      </c>
      <c r="BJ144" s="4">
        <v>38593010.167874977</v>
      </c>
      <c r="BK144" s="4">
        <v>39917328.726043567</v>
      </c>
      <c r="BL144" s="4">
        <v>41273393.630142055</v>
      </c>
      <c r="BM144" s="4">
        <v>42661505.218204752</v>
      </c>
      <c r="BN144" s="4">
        <v>44081953.969896354</v>
      </c>
      <c r="BO144" s="4">
        <v>45535020.255455509</v>
      </c>
      <c r="BP144" s="4">
        <v>47020974.094133653</v>
      </c>
      <c r="BQ144" s="4">
        <v>48540074.922374547</v>
      </c>
      <c r="BR144" s="4">
        <v>50092571.371961862</v>
      </c>
      <c r="BS144" s="4">
        <v>51678701.058344446</v>
      </c>
      <c r="BT144" s="4">
        <v>53298690.379330456</v>
      </c>
      <c r="BU144" s="4">
        <v>54952754.324323557</v>
      </c>
    </row>
    <row r="145" spans="1:73" x14ac:dyDescent="0.25">
      <c r="A145" s="3" t="s">
        <v>148</v>
      </c>
      <c r="B145" s="3" t="str">
        <f>VLOOKUP(A145,'storage capacity'!$A$2:$C$195,3,FALSE)</f>
        <v>Sub-saharan africa</v>
      </c>
      <c r="C145" s="4">
        <v>19236.533333333209</v>
      </c>
      <c r="D145" s="4">
        <v>19704.707278848738</v>
      </c>
      <c r="E145" s="4">
        <v>20179.479842500936</v>
      </c>
      <c r="F145" s="4">
        <v>20660.829634202393</v>
      </c>
      <c r="G145" s="4">
        <v>21148.732952684284</v>
      </c>
      <c r="H145" s="4">
        <v>21643.163805668923</v>
      </c>
      <c r="I145" s="4">
        <v>22144.093931648942</v>
      </c>
      <c r="J145" s="4">
        <v>22651.492823228229</v>
      </c>
      <c r="K145" s="4">
        <v>23165.327751978624</v>
      </c>
      <c r="L145" s="4">
        <v>23685.563794765359</v>
      </c>
      <c r="M145" s="4">
        <v>24212.16386149318</v>
      </c>
      <c r="N145" s="4">
        <v>24745.088724224381</v>
      </c>
      <c r="O145" s="4">
        <v>25284.297047619035</v>
      </c>
      <c r="P145" s="4">
        <v>25829.745420647225</v>
      </c>
      <c r="Q145" s="4">
        <v>26381.388389522395</v>
      </c>
      <c r="R145" s="4">
        <v>26939.178491804461</v>
      </c>
      <c r="S145" s="4">
        <v>27503.066291621068</v>
      </c>
      <c r="T145" s="4">
        <v>28073.000415954866</v>
      </c>
      <c r="U145" s="4">
        <v>28648.927591944706</v>
      </c>
      <c r="V145" s="4">
        <v>29230.792685148317</v>
      </c>
      <c r="W145" s="4">
        <v>29818.538738714109</v>
      </c>
      <c r="X145" s="4">
        <v>30412.107013409772</v>
      </c>
      <c r="Y145" s="4">
        <v>31011.437028455373</v>
      </c>
      <c r="Z145" s="4">
        <v>31616.466603108918</v>
      </c>
      <c r="AA145" s="4">
        <v>32227.131898952546</v>
      </c>
      <c r="AB145" s="4">
        <v>32843.36746282789</v>
      </c>
      <c r="AC145" s="4">
        <v>33465.106270369492</v>
      </c>
      <c r="AD145" s="4">
        <v>34092.279770085617</v>
      </c>
      <c r="AE145" s="4">
        <v>34724.817927936361</v>
      </c>
      <c r="AF145" s="4">
        <v>35362.649272359427</v>
      </c>
      <c r="AG145" s="4">
        <v>36005.700939694689</v>
      </c>
      <c r="AH145" s="4">
        <v>36653.898719959237</v>
      </c>
      <c r="AI145" s="4">
        <v>37307.167102925356</v>
      </c>
      <c r="AJ145" s="4">
        <v>37965.429324454672</v>
      </c>
      <c r="AK145" s="4">
        <v>38628.607413042511</v>
      </c>
      <c r="AL145" s="4">
        <v>39296.622236527357</v>
      </c>
      <c r="AM145" s="4">
        <v>39969.3935489211</v>
      </c>
      <c r="AN145" s="4">
        <v>40646.840037316979</v>
      </c>
      <c r="AO145" s="4">
        <v>41328.879368832648</v>
      </c>
      <c r="AP145" s="4">
        <v>42015.428237547174</v>
      </c>
      <c r="AQ145" s="4">
        <v>42706.402411391573</v>
      </c>
      <c r="AR145" s="4">
        <v>43401.716778953574</v>
      </c>
      <c r="AS145" s="4">
        <v>44101.285396158411</v>
      </c>
      <c r="AT145" s="4">
        <v>44805.021532788436</v>
      </c>
      <c r="AU145" s="4">
        <v>45512.837718805487</v>
      </c>
      <c r="AV145" s="4">
        <v>46224.645790441158</v>
      </c>
      <c r="AW145" s="4">
        <v>46940.356936020973</v>
      </c>
      <c r="AX145" s="4">
        <v>47659.881741489931</v>
      </c>
      <c r="AY145" s="4">
        <v>48383.130235607787</v>
      </c>
      <c r="AZ145" s="4">
        <v>49110.011934783652</v>
      </c>
      <c r="BA145" s="4">
        <v>49840.43588752074</v>
      </c>
      <c r="BB145" s="4">
        <v>50574.310718443034</v>
      </c>
      <c r="BC145" s="4">
        <v>51311.544671877098</v>
      </c>
      <c r="BD145" s="4">
        <v>52052.045654963098</v>
      </c>
      <c r="BE145" s="4">
        <v>52795.721280270489</v>
      </c>
      <c r="BF145" s="4">
        <v>53542.478907894816</v>
      </c>
      <c r="BG145" s="4">
        <v>54292.225687013313</v>
      </c>
      <c r="BH145" s="4">
        <v>55044.868596878114</v>
      </c>
      <c r="BI145" s="4">
        <v>55800.314487226868</v>
      </c>
      <c r="BJ145" s="4">
        <v>56558.470118091893</v>
      </c>
      <c r="BK145" s="4">
        <v>57319.242198989909</v>
      </c>
      <c r="BL145" s="4">
        <v>58082.53742747561</v>
      </c>
      <c r="BM145" s="4">
        <v>58848.262527043305</v>
      </c>
      <c r="BN145" s="4">
        <v>59616.324284362025</v>
      </c>
      <c r="BO145" s="4">
        <v>60386.629585830364</v>
      </c>
      <c r="BP145" s="4">
        <v>61159.085453438631</v>
      </c>
      <c r="BQ145" s="4">
        <v>61933.599079926542</v>
      </c>
      <c r="BR145" s="4">
        <v>62710.077863225997</v>
      </c>
      <c r="BS145" s="4">
        <v>63488.429440179287</v>
      </c>
      <c r="BT145" s="4">
        <v>64268.561719523968</v>
      </c>
      <c r="BU145" s="4">
        <v>65050.382914136775</v>
      </c>
    </row>
    <row r="146" spans="1:73" x14ac:dyDescent="0.25">
      <c r="A146" s="3" t="s">
        <v>149</v>
      </c>
      <c r="B146" s="3" t="str">
        <f>VLOOKUP(A146,'storage capacity'!$A$2:$C$195,3,FALSE)</f>
        <v>Other latin america</v>
      </c>
      <c r="C146" s="4">
        <v>1583.0666666666802</v>
      </c>
      <c r="D146" s="4">
        <v>1682.6134245774167</v>
      </c>
      <c r="E146" s="4">
        <v>1787.3618395450476</v>
      </c>
      <c r="F146" s="4">
        <v>1897.5185064074099</v>
      </c>
      <c r="G146" s="4">
        <v>2013.294767406921</v>
      </c>
      <c r="H146" s="4">
        <v>2134.9066632996005</v>
      </c>
      <c r="I146" s="4">
        <v>2262.5748769015536</v>
      </c>
      <c r="J146" s="4">
        <v>2396.524669023122</v>
      </c>
      <c r="K146" s="4">
        <v>2536.9858067569462</v>
      </c>
      <c r="L146" s="4">
        <v>2684.1924841024093</v>
      </c>
      <c r="M146" s="4">
        <v>2838.3832349253412</v>
      </c>
      <c r="N146" s="4">
        <v>2999.8008382683761</v>
      </c>
      <c r="O146" s="4">
        <v>3168.6922160439076</v>
      </c>
      <c r="P146" s="4">
        <v>3345.3083231581877</v>
      </c>
      <c r="Q146" s="4">
        <v>3529.904030131629</v>
      </c>
      <c r="R146" s="4">
        <v>3722.7379982968228</v>
      </c>
      <c r="S146" s="4">
        <v>3924.072547672069</v>
      </c>
      <c r="T146" s="4">
        <v>4134.1735176243346</v>
      </c>
      <c r="U146" s="4">
        <v>4353.3101204513996</v>
      </c>
      <c r="V146" s="4">
        <v>4581.754788028542</v>
      </c>
      <c r="W146" s="4">
        <v>4819.7830116803416</v>
      </c>
      <c r="X146" s="4">
        <v>5067.6731754530574</v>
      </c>
      <c r="Y146" s="4">
        <v>5325.7063829774715</v>
      </c>
      <c r="Z146" s="4">
        <v>5594.1662781260902</v>
      </c>
      <c r="AA146" s="4">
        <v>5873.3388596820687</v>
      </c>
      <c r="AB146" s="4">
        <v>6163.5122902501962</v>
      </c>
      <c r="AC146" s="4">
        <v>6464.9766996526623</v>
      </c>
      <c r="AD146" s="4">
        <v>6778.0239830641076</v>
      </c>
      <c r="AE146" s="4">
        <v>7102.9475941516384</v>
      </c>
      <c r="AF146" s="4">
        <v>7440.042333495976</v>
      </c>
      <c r="AG146" s="4">
        <v>7789.604132579756</v>
      </c>
      <c r="AH146" s="4">
        <v>8151.929833638098</v>
      </c>
      <c r="AI146" s="4">
        <v>8527.3169656749888</v>
      </c>
      <c r="AJ146" s="4">
        <v>8916.0635169566758</v>
      </c>
      <c r="AK146" s="4">
        <v>9318.4677043002048</v>
      </c>
      <c r="AL146" s="4">
        <v>9734.8277394813595</v>
      </c>
      <c r="AM146" s="4">
        <v>10165.441593091677</v>
      </c>
      <c r="AN146" s="4">
        <v>10610.606756178802</v>
      </c>
      <c r="AO146" s="4">
        <v>11070.620000008263</v>
      </c>
      <c r="AP146" s="4">
        <v>11545.7771342878</v>
      </c>
      <c r="AQ146" s="4">
        <v>12036.372764197667</v>
      </c>
      <c r="AR146" s="4">
        <v>12542.700046571745</v>
      </c>
      <c r="AS146" s="4">
        <v>13065.050445575098</v>
      </c>
      <c r="AT146" s="4">
        <v>13603.713488223504</v>
      </c>
      <c r="AU146" s="4">
        <v>14158.9765200897</v>
      </c>
      <c r="AV146" s="4">
        <v>14731.124461539546</v>
      </c>
      <c r="AW146" s="4">
        <v>15320.439564839075</v>
      </c>
      <c r="AX146" s="4">
        <v>15927.20117247033</v>
      </c>
      <c r="AY146" s="4">
        <v>16551.685476990366</v>
      </c>
      <c r="AZ146" s="4">
        <v>17194.165282763308</v>
      </c>
      <c r="BA146" s="4">
        <v>17854.909769890506</v>
      </c>
      <c r="BB146" s="4">
        <v>18534.184260658083</v>
      </c>
      <c r="BC146" s="4">
        <v>19232.2499888151</v>
      </c>
      <c r="BD146" s="4">
        <v>19949.363871988651</v>
      </c>
      <c r="BE146" s="4">
        <v>20685.778287534922</v>
      </c>
      <c r="BF146" s="4">
        <v>21441.740852117393</v>
      </c>
      <c r="BG146" s="4">
        <v>22217.494205294945</v>
      </c>
      <c r="BH146" s="4">
        <v>23013.275797393879</v>
      </c>
      <c r="BI146" s="4">
        <v>23829.317681928565</v>
      </c>
      <c r="BJ146" s="4">
        <v>24665.846312825761</v>
      </c>
      <c r="BK146" s="4">
        <v>25523.082346697611</v>
      </c>
      <c r="BL146" s="4">
        <v>26401.240450398029</v>
      </c>
      <c r="BM146" s="4">
        <v>27300.529114086308</v>
      </c>
      <c r="BN146" s="4">
        <v>28221.150470011024</v>
      </c>
      <c r="BO146" s="4">
        <v>29163.300117215884</v>
      </c>
      <c r="BP146" s="4">
        <v>30127.166952357922</v>
      </c>
      <c r="BQ146" s="4">
        <v>31112.933006816638</v>
      </c>
      <c r="BR146" s="4">
        <v>32120.773290261011</v>
      </c>
      <c r="BS146" s="4">
        <v>33150.855640829323</v>
      </c>
      <c r="BT146" s="4">
        <v>34203.340582064775</v>
      </c>
      <c r="BU146" s="4">
        <v>35278.381186737781</v>
      </c>
    </row>
    <row r="147" spans="1:73" x14ac:dyDescent="0.25">
      <c r="A147" s="3" t="s">
        <v>150</v>
      </c>
      <c r="B147" s="3" t="str">
        <f>VLOOKUP(A147,'storage capacity'!$A$2:$C$195,3,FALSE)</f>
        <v>Other latin america</v>
      </c>
      <c r="C147" s="4">
        <v>3451.2666666666628</v>
      </c>
      <c r="D147" s="4">
        <v>3611.8556081674178</v>
      </c>
      <c r="E147" s="4">
        <v>3778.2362109256742</v>
      </c>
      <c r="F147" s="4">
        <v>3950.5407085219326</v>
      </c>
      <c r="G147" s="4">
        <v>4128.9014395811964</v>
      </c>
      <c r="H147" s="4">
        <v>4313.4507441536762</v>
      </c>
      <c r="I147" s="4">
        <v>4504.32085895829</v>
      </c>
      <c r="J147" s="4">
        <v>4701.6438116372174</v>
      </c>
      <c r="K147" s="4">
        <v>4905.5513141715073</v>
      </c>
      <c r="L147" s="4">
        <v>5116.1746556090666</v>
      </c>
      <c r="M147" s="4">
        <v>5333.6445942573964</v>
      </c>
      <c r="N147" s="4">
        <v>5558.0912494941103</v>
      </c>
      <c r="O147" s="4">
        <v>5789.643993348589</v>
      </c>
      <c r="P147" s="4">
        <v>6028.4313420081235</v>
      </c>
      <c r="Q147" s="4">
        <v>6274.5808474015566</v>
      </c>
      <c r="R147" s="4">
        <v>6528.2189890127493</v>
      </c>
      <c r="S147" s="4">
        <v>6789.4710660752198</v>
      </c>
      <c r="T147" s="4">
        <v>7058.4610902979812</v>
      </c>
      <c r="U147" s="4">
        <v>7335.3116792709898</v>
      </c>
      <c r="V147" s="4">
        <v>7620.1439506967172</v>
      </c>
      <c r="W147" s="4">
        <v>7913.0774175921315</v>
      </c>
      <c r="X147" s="4">
        <v>8214.2298846029134</v>
      </c>
      <c r="Y147" s="4">
        <v>8523.7173455689717</v>
      </c>
      <c r="Z147" s="4">
        <v>8841.653882477327</v>
      </c>
      <c r="AA147" s="4">
        <v>9168.151565935179</v>
      </c>
      <c r="AB147" s="4">
        <v>9503.320357292494</v>
      </c>
      <c r="AC147" s="4">
        <v>9847.2680125397364</v>
      </c>
      <c r="AD147" s="4">
        <v>10200.099988102482</v>
      </c>
      <c r="AE147" s="4">
        <v>10561.919348650528</v>
      </c>
      <c r="AF147" s="4">
        <v>10932.826677034833</v>
      </c>
      <c r="AG147" s="4">
        <v>11312.919986461202</v>
      </c>
      <c r="AH147" s="4">
        <v>11702.294635004977</v>
      </c>
      <c r="AI147" s="4">
        <v>12101.043242566309</v>
      </c>
      <c r="AJ147" s="4">
        <v>12509.255610360673</v>
      </c>
      <c r="AK147" s="4">
        <v>12927.018643034344</v>
      </c>
      <c r="AL147" s="4">
        <v>13354.416273489474</v>
      </c>
      <c r="AM147" s="4">
        <v>13791.529390498214</v>
      </c>
      <c r="AN147" s="4">
        <v>14238.435769180151</v>
      </c>
      <c r="AO147" s="4">
        <v>14695.21000441202</v>
      </c>
      <c r="AP147" s="4">
        <v>15161.923447233294</v>
      </c>
      <c r="AQ147" s="4">
        <v>15638.64414430595</v>
      </c>
      <c r="AR147" s="4">
        <v>16125.436780481285</v>
      </c>
      <c r="AS147" s="4">
        <v>16622.362624521298</v>
      </c>
      <c r="AT147" s="4">
        <v>17129.479478016787</v>
      </c>
      <c r="AU147" s="4">
        <v>17646.841627538903</v>
      </c>
      <c r="AV147" s="4">
        <v>18174.499800055615</v>
      </c>
      <c r="AW147" s="4">
        <v>18712.501121639285</v>
      </c>
      <c r="AX147" s="4">
        <v>19260.889079486224</v>
      </c>
      <c r="AY147" s="4">
        <v>19819.703487263992</v>
      </c>
      <c r="AZ147" s="4">
        <v>20388.98045379711</v>
      </c>
      <c r="BA147" s="4">
        <v>20968.752355096749</v>
      </c>
      <c r="BB147" s="4">
        <v>21559.047809735159</v>
      </c>
      <c r="BC147" s="4">
        <v>22159.891657560576</v>
      </c>
      <c r="BD147" s="4">
        <v>22771.304941743827</v>
      </c>
      <c r="BE147" s="4">
        <v>23393.304894143028</v>
      </c>
      <c r="BF147" s="4">
        <v>24025.904923968446</v>
      </c>
      <c r="BG147" s="4">
        <v>24669.114609725053</v>
      </c>
      <c r="BH147" s="4">
        <v>25322.939694406199</v>
      </c>
      <c r="BI147" s="4">
        <v>25987.382083907614</v>
      </c>
      <c r="BJ147" s="4">
        <v>26662.439848627037</v>
      </c>
      <c r="BK147" s="4">
        <v>27348.107228210934</v>
      </c>
      <c r="BL147" s="4">
        <v>28044.374639406065</v>
      </c>
      <c r="BM147" s="4">
        <v>28751.228686970167</v>
      </c>
      <c r="BN147" s="4">
        <v>29468.652177592663</v>
      </c>
      <c r="BO147" s="4">
        <v>30196.624136773044</v>
      </c>
      <c r="BP147" s="4">
        <v>30935.119828601564</v>
      </c>
      <c r="BQ147" s="4">
        <v>31684.110778384013</v>
      </c>
      <c r="BR147" s="4">
        <v>32443.564798049501</v>
      </c>
      <c r="BS147" s="4">
        <v>33213.446014277812</v>
      </c>
      <c r="BT147" s="4">
        <v>33993.714899280276</v>
      </c>
      <c r="BU147" s="4">
        <v>34784.32830416604</v>
      </c>
    </row>
    <row r="148" spans="1:73" x14ac:dyDescent="0.25">
      <c r="A148" s="3" t="s">
        <v>151</v>
      </c>
      <c r="B148" s="3" t="str">
        <f>VLOOKUP(A148,'storage capacity'!$A$2:$C$195,3,FALSE)</f>
        <v>Oceania</v>
      </c>
      <c r="C148" s="4">
        <v>1450.1333333333314</v>
      </c>
      <c r="D148" s="4">
        <v>1496.0327578448766</v>
      </c>
      <c r="E148" s="4">
        <v>1542.911462476045</v>
      </c>
      <c r="F148" s="4">
        <v>1590.7756509029061</v>
      </c>
      <c r="G148" s="4">
        <v>1639.6311915336785</v>
      </c>
      <c r="H148" s="4">
        <v>1689.4836126274188</v>
      </c>
      <c r="I148" s="4">
        <v>1740.3380977295253</v>
      </c>
      <c r="J148" s="4">
        <v>1792.1994814269481</v>
      </c>
      <c r="K148" s="4">
        <v>1845.0722454254869</v>
      </c>
      <c r="L148" s="4">
        <v>1898.9605149510501</v>
      </c>
      <c r="M148" s="4">
        <v>1953.8680554762402</v>
      </c>
      <c r="N148" s="4">
        <v>2009.7982697731413</v>
      </c>
      <c r="O148" s="4">
        <v>2066.7541952926917</v>
      </c>
      <c r="P148" s="4">
        <v>2124.7385018705459</v>
      </c>
      <c r="Q148" s="4">
        <v>2183.7534897588639</v>
      </c>
      <c r="R148" s="4">
        <v>2243.8010879830117</v>
      </c>
      <c r="S148" s="4">
        <v>2304.8828530216915</v>
      </c>
      <c r="T148" s="4">
        <v>2366.9999678086101</v>
      </c>
      <c r="U148" s="4">
        <v>2430.1532410533482</v>
      </c>
      <c r="V148" s="4">
        <v>2494.3431068786967</v>
      </c>
      <c r="W148" s="4">
        <v>2559.5696247713263</v>
      </c>
      <c r="X148" s="4">
        <v>2625.8324798422668</v>
      </c>
      <c r="Y148" s="4">
        <v>2693.1309833933165</v>
      </c>
      <c r="Z148" s="4">
        <v>2761.4640737851391</v>
      </c>
      <c r="AA148" s="4">
        <v>2830.8303176024638</v>
      </c>
      <c r="AB148" s="4">
        <v>2901.2279111114967</v>
      </c>
      <c r="AC148" s="4">
        <v>2972.6546820043213</v>
      </c>
      <c r="AD148" s="4">
        <v>3045.1080914247909</v>
      </c>
      <c r="AE148" s="4">
        <v>3118.5852362701307</v>
      </c>
      <c r="AF148" s="4">
        <v>3193.0828517622085</v>
      </c>
      <c r="AG148" s="4">
        <v>3268.5973142821867</v>
      </c>
      <c r="AH148" s="4">
        <v>3345.1246444620424</v>
      </c>
      <c r="AI148" s="4">
        <v>3422.6605105262233</v>
      </c>
      <c r="AJ148" s="4">
        <v>3501.2002318765171</v>
      </c>
      <c r="AK148" s="4">
        <v>3580.7387829130257</v>
      </c>
      <c r="AL148" s="4">
        <v>3661.2707970839724</v>
      </c>
      <c r="AM148" s="4">
        <v>3742.790571156916</v>
      </c>
      <c r="AN148" s="4">
        <v>3825.2920697038144</v>
      </c>
      <c r="AO148" s="4">
        <v>3908.7689297922625</v>
      </c>
      <c r="AP148" s="4">
        <v>3993.214465875119</v>
      </c>
      <c r="AQ148" s="4">
        <v>4078.6216748706474</v>
      </c>
      <c r="AR148" s="4">
        <v>4164.9832414252251</v>
      </c>
      <c r="AS148" s="4">
        <v>4252.2915433506068</v>
      </c>
      <c r="AT148" s="4">
        <v>4340.5386572276884</v>
      </c>
      <c r="AU148" s="4">
        <v>4429.7163641686675</v>
      </c>
      <c r="AV148" s="4">
        <v>4519.816155729497</v>
      </c>
      <c r="AW148" s="4">
        <v>4610.8292399644997</v>
      </c>
      <c r="AX148" s="4">
        <v>4702.7465476150246</v>
      </c>
      <c r="AY148" s="4">
        <v>4795.5587384240407</v>
      </c>
      <c r="AZ148" s="4">
        <v>4889.2562075685901</v>
      </c>
      <c r="BA148" s="4">
        <v>4983.8290922020524</v>
      </c>
      <c r="BB148" s="4">
        <v>5079.2672780982411</v>
      </c>
      <c r="BC148" s="4">
        <v>5175.5604063893816</v>
      </c>
      <c r="BD148" s="4">
        <v>5272.6978803901238</v>
      </c>
      <c r="BE148" s="4">
        <v>5370.6688724997875</v>
      </c>
      <c r="BF148" s="4">
        <v>5469.4623311751484</v>
      </c>
      <c r="BG148" s="4">
        <v>5569.0669879661546</v>
      </c>
      <c r="BH148" s="4">
        <v>5669.4713646070795</v>
      </c>
      <c r="BI148" s="4">
        <v>5770.663780155719</v>
      </c>
      <c r="BJ148" s="4">
        <v>5872.6323581733504</v>
      </c>
      <c r="BK148" s="4">
        <v>5975.3650339383275</v>
      </c>
      <c r="BL148" s="4">
        <v>6078.8495616862747</v>
      </c>
      <c r="BM148" s="4">
        <v>6183.0735218700138</v>
      </c>
      <c r="BN148" s="4">
        <v>6288.0243284324933</v>
      </c>
      <c r="BO148" s="4">
        <v>6393.6892360861148</v>
      </c>
      <c r="BP148" s="4">
        <v>6500.0553475920406</v>
      </c>
      <c r="BQ148" s="4">
        <v>6607.1096210331907</v>
      </c>
      <c r="BR148" s="4">
        <v>6714.838877074817</v>
      </c>
      <c r="BS148" s="4">
        <v>6823.2298062067002</v>
      </c>
      <c r="BT148" s="4">
        <v>6932.2689759611803</v>
      </c>
      <c r="BU148" s="4">
        <v>7041.9428381014095</v>
      </c>
    </row>
    <row r="149" spans="1:73" x14ac:dyDescent="0.25">
      <c r="A149" s="3" t="s">
        <v>152</v>
      </c>
      <c r="B149" s="3" t="str">
        <f>VLOOKUP(A149,'storage capacity'!$A$2:$C$195,3,FALSE)</f>
        <v>Other eurasia</v>
      </c>
      <c r="C149" s="4">
        <v>2513.0000000000291</v>
      </c>
      <c r="D149" s="4">
        <v>2732.126749100647</v>
      </c>
      <c r="E149" s="4">
        <v>2967.9784133006647</v>
      </c>
      <c r="F149" s="4">
        <v>3221.627927121333</v>
      </c>
      <c r="G149" s="4">
        <v>3494.2015786767988</v>
      </c>
      <c r="H149" s="4">
        <v>3786.8806316478926</v>
      </c>
      <c r="I149" s="4">
        <v>4100.9029357162644</v>
      </c>
      <c r="J149" s="4">
        <v>4437.5645215326749</v>
      </c>
      <c r="K149" s="4">
        <v>4798.2211761954086</v>
      </c>
      <c r="L149" s="4">
        <v>5184.2899951270638</v>
      </c>
      <c r="M149" s="4">
        <v>5597.2509061609462</v>
      </c>
      <c r="N149" s="4">
        <v>6038.6481615825023</v>
      </c>
      <c r="O149" s="4">
        <v>6510.0917938171424</v>
      </c>
      <c r="P149" s="4">
        <v>7013.2590304138912</v>
      </c>
      <c r="Q149" s="4">
        <v>7549.8956639448952</v>
      </c>
      <c r="R149" s="4">
        <v>8121.817372424397</v>
      </c>
      <c r="S149" s="4">
        <v>8730.9109858474858</v>
      </c>
      <c r="T149" s="4">
        <v>9379.1356944591244</v>
      </c>
      <c r="U149" s="4">
        <v>10068.524194387786</v>
      </c>
      <c r="V149" s="4">
        <v>10801.183766315653</v>
      </c>
      <c r="W149" s="4">
        <v>11579.297282908734</v>
      </c>
      <c r="X149" s="4">
        <v>12405.124140795688</v>
      </c>
      <c r="Y149" s="4">
        <v>13281.001112963233</v>
      </c>
      <c r="Z149" s="4">
        <v>14209.343117529068</v>
      </c>
      <c r="AA149" s="4">
        <v>15192.643898959694</v>
      </c>
      <c r="AB149" s="4">
        <v>16233.476617920574</v>
      </c>
      <c r="AC149" s="4">
        <v>17334.494346079093</v>
      </c>
      <c r="AD149" s="4">
        <v>18498.430462326756</v>
      </c>
      <c r="AE149" s="4">
        <v>19728.098947045466</v>
      </c>
      <c r="AF149" s="4">
        <v>21026.394571213106</v>
      </c>
      <c r="AG149" s="4">
        <v>22396.292977325738</v>
      </c>
      <c r="AH149" s="4">
        <v>23840.850649306729</v>
      </c>
      <c r="AI149" s="4">
        <v>25363.20476877673</v>
      </c>
      <c r="AJ149" s="4">
        <v>26966.572955271909</v>
      </c>
      <c r="AK149" s="4">
        <v>28654.252888220541</v>
      </c>
      <c r="AL149" s="4">
        <v>30429.621808719377</v>
      </c>
      <c r="AM149" s="4">
        <v>32296.135899390476</v>
      </c>
      <c r="AN149" s="4">
        <v>34257.329540845341</v>
      </c>
      <c r="AO149" s="4">
        <v>36316.814443536066</v>
      </c>
      <c r="AP149" s="4">
        <v>38478.278654031354</v>
      </c>
      <c r="AQ149" s="4">
        <v>40745.48543501836</v>
      </c>
      <c r="AR149" s="4">
        <v>43122.272018598298</v>
      </c>
      <c r="AS149" s="4">
        <v>45612.548232713809</v>
      </c>
      <c r="AT149" s="4">
        <v>48220.295000818529</v>
      </c>
      <c r="AU149" s="4">
        <v>50949.562715173095</v>
      </c>
      <c r="AV149" s="4">
        <v>53804.469484426139</v>
      </c>
      <c r="AW149" s="4">
        <v>56789.199256412925</v>
      </c>
      <c r="AX149" s="4">
        <v>59907.999817377437</v>
      </c>
      <c r="AY149" s="4">
        <v>63165.180669094487</v>
      </c>
      <c r="AZ149" s="4">
        <v>66565.110785636847</v>
      </c>
      <c r="BA149" s="4">
        <v>70112.216251797261</v>
      </c>
      <c r="BB149" s="4">
        <v>73810.977785435141</v>
      </c>
      <c r="BC149" s="4">
        <v>77665.928146273422</v>
      </c>
      <c r="BD149" s="4">
        <v>81681.649433920189</v>
      </c>
      <c r="BE149" s="4">
        <v>85862.770278132419</v>
      </c>
      <c r="BF149" s="4">
        <v>90213.962924575186</v>
      </c>
      <c r="BG149" s="4">
        <v>94739.940219556607</v>
      </c>
      <c r="BH149" s="4">
        <v>99445.452497438775</v>
      </c>
      <c r="BI149" s="4">
        <v>104335.28437463427</v>
      </c>
      <c r="BJ149" s="4">
        <v>109414.25145429875</v>
      </c>
      <c r="BK149" s="4">
        <v>114687.19694602008</v>
      </c>
      <c r="BL149" s="4">
        <v>120158.98820498413</v>
      </c>
      <c r="BM149" s="4">
        <v>125834.51319526618</v>
      </c>
      <c r="BN149" s="4">
        <v>131718.67688205381</v>
      </c>
      <c r="BO149" s="4">
        <v>137816.39755775276</v>
      </c>
      <c r="BP149" s="4">
        <v>144132.60310706025</v>
      </c>
      <c r="BQ149" s="4">
        <v>150672.22721621214</v>
      </c>
      <c r="BR149" s="4">
        <v>157440.20553171748</v>
      </c>
      <c r="BS149" s="4">
        <v>164441.47177399142</v>
      </c>
      <c r="BT149" s="4">
        <v>171680.953811379</v>
      </c>
      <c r="BU149" s="4">
        <v>179163.56970013358</v>
      </c>
    </row>
    <row r="150" spans="1:73" x14ac:dyDescent="0.25">
      <c r="A150" s="3" t="s">
        <v>153</v>
      </c>
      <c r="B150" s="3" t="str">
        <f>VLOOKUP(A150,'storage capacity'!$A$2:$C$195,3,FALSE)</f>
        <v>Sub-saharan africa</v>
      </c>
      <c r="C150" s="4">
        <v>1476.666666666657</v>
      </c>
      <c r="D150" s="4">
        <v>1549.3434759057125</v>
      </c>
      <c r="E150" s="4">
        <v>1624.8346678978571</v>
      </c>
      <c r="F150" s="4">
        <v>1703.2124457757318</v>
      </c>
      <c r="G150" s="4">
        <v>1784.5493776478743</v>
      </c>
      <c r="H150" s="4">
        <v>1868.9183439486401</v>
      </c>
      <c r="I150" s="4">
        <v>1956.3924837213599</v>
      </c>
      <c r="J150" s="4">
        <v>2047.0451399083997</v>
      </c>
      <c r="K150" s="4">
        <v>2140.9498037237804</v>
      </c>
      <c r="L150" s="4">
        <v>2238.1800581858538</v>
      </c>
      <c r="M150" s="4">
        <v>2338.8095208891518</v>
      </c>
      <c r="N150" s="4">
        <v>2442.911786095985</v>
      </c>
      <c r="O150" s="4">
        <v>2550.5603662296148</v>
      </c>
      <c r="P150" s="4">
        <v>2661.8286328518921</v>
      </c>
      <c r="Q150" s="4">
        <v>2776.7897572091224</v>
      </c>
      <c r="R150" s="4">
        <v>2895.5166504305994</v>
      </c>
      <c r="S150" s="4">
        <v>3018.0819034647297</v>
      </c>
      <c r="T150" s="4">
        <v>3144.5577268379657</v>
      </c>
      <c r="U150" s="4">
        <v>3275.015890321878</v>
      </c>
      <c r="V150" s="4">
        <v>3409.5276625935967</v>
      </c>
      <c r="W150" s="4">
        <v>3548.1637509746038</v>
      </c>
      <c r="X150" s="4">
        <v>3690.9942413323947</v>
      </c>
      <c r="Y150" s="4">
        <v>3838.0885382289111</v>
      </c>
      <c r="Z150" s="4">
        <v>3989.5153053988392</v>
      </c>
      <c r="AA150" s="4">
        <v>4145.3424066399066</v>
      </c>
      <c r="AB150" s="4">
        <v>4305.6368471961769</v>
      </c>
      <c r="AC150" s="4">
        <v>4470.4647157140425</v>
      </c>
      <c r="AD150" s="4">
        <v>4639.8911268491947</v>
      </c>
      <c r="AE150" s="4">
        <v>4813.9801646012329</v>
      </c>
      <c r="AF150" s="4">
        <v>4992.7948264508759</v>
      </c>
      <c r="AG150" s="4">
        <v>5176.3969683728528</v>
      </c>
      <c r="AH150" s="4">
        <v>5364.8472507955739</v>
      </c>
      <c r="AI150" s="4">
        <v>5558.2050855765738</v>
      </c>
      <c r="AJ150" s="4">
        <v>5756.5285840605038</v>
      </c>
      <c r="AK150" s="4">
        <v>5959.8745062841072</v>
      </c>
      <c r="AL150" s="4">
        <v>6168.2982113902153</v>
      </c>
      <c r="AM150" s="4">
        <v>6381.8536093102812</v>
      </c>
      <c r="AN150" s="4">
        <v>6600.593113772361</v>
      </c>
      <c r="AO150" s="4">
        <v>6824.5675966888111</v>
      </c>
      <c r="AP150" s="4">
        <v>7053.8263439752236</v>
      </c>
      <c r="AQ150" s="4">
        <v>7288.4170128493179</v>
      </c>
      <c r="AR150" s="4">
        <v>7528.3855906556928</v>
      </c>
      <c r="AS150" s="4">
        <v>7773.7763552594288</v>
      </c>
      <c r="AT150" s="4">
        <v>8024.6318370486288</v>
      </c>
      <c r="AU150" s="4">
        <v>8280.9927825830127</v>
      </c>
      <c r="AV150" s="4">
        <v>8542.8981199227401</v>
      </c>
      <c r="AW150" s="4">
        <v>8810.384925668608</v>
      </c>
      <c r="AX150" s="4">
        <v>9083.4883937418217</v>
      </c>
      <c r="AY150" s="4">
        <v>9362.2418059285174</v>
      </c>
      <c r="AZ150" s="4">
        <v>9646.6765042112111</v>
      </c>
      <c r="BA150" s="4">
        <v>9936.8218649064311</v>
      </c>
      <c r="BB150" s="4">
        <v>10232.705274624775</v>
      </c>
      <c r="BC150" s="4">
        <v>10534.352108066738</v>
      </c>
      <c r="BD150" s="4">
        <v>10841.785707664741</v>
      </c>
      <c r="BE150" s="4">
        <v>11155.02736507896</v>
      </c>
      <c r="BF150" s="4">
        <v>11474.096304551666</v>
      </c>
      <c r="BG150" s="4">
        <v>11799.009668122093</v>
      </c>
      <c r="BH150" s="4">
        <v>12129.78250270108</v>
      </c>
      <c r="BI150" s="4">
        <v>12466.427749002059</v>
      </c>
      <c r="BJ150" s="4">
        <v>12808.956232322384</v>
      </c>
      <c r="BK150" s="4">
        <v>13157.376655166432</v>
      </c>
      <c r="BL150" s="4">
        <v>13511.695591699447</v>
      </c>
      <c r="BM150" s="4">
        <v>13871.917484018657</v>
      </c>
      <c r="BN150" s="4">
        <v>14238.044640225929</v>
      </c>
      <c r="BO150" s="4">
        <v>14610.077234283883</v>
      </c>
      <c r="BP150" s="4">
        <v>14988.013307635294</v>
      </c>
      <c r="BQ150" s="4">
        <v>15371.848772563484</v>
      </c>
      <c r="BR150" s="4">
        <v>15761.577417269369</v>
      </c>
      <c r="BS150" s="4">
        <v>16157.190912638969</v>
      </c>
      <c r="BT150" s="4">
        <v>16558.678820673256</v>
      </c>
      <c r="BU150" s="4">
        <v>16966.028604550607</v>
      </c>
    </row>
    <row r="151" spans="1:73" x14ac:dyDescent="0.25">
      <c r="A151" s="3" t="s">
        <v>154</v>
      </c>
      <c r="B151" s="3" t="str">
        <f>VLOOKUP(A151,'storage capacity'!$A$2:$C$195,3,FALSE)</f>
        <v>Country specific</v>
      </c>
      <c r="C151" s="4">
        <v>1471716.8666666597</v>
      </c>
      <c r="D151" s="4">
        <v>1589227.0193569618</v>
      </c>
      <c r="E151" s="4">
        <v>1714850.9153621055</v>
      </c>
      <c r="F151" s="4">
        <v>1849049.4835512568</v>
      </c>
      <c r="G151" s="4">
        <v>1992302.9833574255</v>
      </c>
      <c r="H151" s="4">
        <v>2145111.4040099424</v>
      </c>
      <c r="I151" s="4">
        <v>2307994.849762701</v>
      </c>
      <c r="J151" s="4">
        <v>2481493.9098460879</v>
      </c>
      <c r="K151" s="4">
        <v>2666170.0118725537</v>
      </c>
      <c r="L151" s="4">
        <v>2862605.7574317232</v>
      </c>
      <c r="M151" s="4">
        <v>3071405.2386208666</v>
      </c>
      <c r="N151" s="4">
        <v>3293194.3342704936</v>
      </c>
      <c r="O151" s="4">
        <v>3528620.9846427673</v>
      </c>
      <c r="P151" s="4">
        <v>3778355.4434023858</v>
      </c>
      <c r="Q151" s="4">
        <v>4043090.5056855138</v>
      </c>
      <c r="R151" s="4">
        <v>4323541.7111222334</v>
      </c>
      <c r="S151" s="4">
        <v>4620447.520701739</v>
      </c>
      <c r="T151" s="4">
        <v>4934569.4664071063</v>
      </c>
      <c r="U151" s="4">
        <v>5266692.2725877883</v>
      </c>
      <c r="V151" s="4">
        <v>5617623.9480829164</v>
      </c>
      <c r="W151" s="4">
        <v>5988195.8481569858</v>
      </c>
      <c r="X151" s="4">
        <v>6379262.7053613067</v>
      </c>
      <c r="Y151" s="4">
        <v>6791702.6284897141</v>
      </c>
      <c r="Z151" s="4">
        <v>7226417.0688551525</v>
      </c>
      <c r="AA151" s="4">
        <v>7684330.7531748163</v>
      </c>
      <c r="AB151" s="4">
        <v>8166391.5824153144</v>
      </c>
      <c r="AC151" s="4">
        <v>8673570.4960156083</v>
      </c>
      <c r="AD151" s="4">
        <v>9206861.300974125</v>
      </c>
      <c r="AE151" s="4">
        <v>9767280.4653571714</v>
      </c>
      <c r="AF151" s="4">
        <v>10355866.875858443</v>
      </c>
      <c r="AG151" s="4">
        <v>10973681.55911367</v>
      </c>
      <c r="AH151" s="4">
        <v>11621807.36655027</v>
      </c>
      <c r="AI151" s="4">
        <v>12301348.622628704</v>
      </c>
      <c r="AJ151" s="4">
        <v>13013430.736410243</v>
      </c>
      <c r="AK151" s="4">
        <v>13759199.776464403</v>
      </c>
      <c r="AL151" s="4">
        <v>14539822.009208344</v>
      </c>
      <c r="AM151" s="4">
        <v>15356483.400849959</v>
      </c>
      <c r="AN151" s="4">
        <v>16210389.083185537</v>
      </c>
      <c r="AO151" s="4">
        <v>17102762.783581961</v>
      </c>
      <c r="AP151" s="4">
        <v>18034846.219551913</v>
      </c>
      <c r="AQ151" s="4">
        <v>19007898.458408326</v>
      </c>
      <c r="AR151" s="4">
        <v>20023195.24256108</v>
      </c>
      <c r="AS151" s="4">
        <v>21082028.281094573</v>
      </c>
      <c r="AT151" s="4">
        <v>22185704.508338939</v>
      </c>
      <c r="AU151" s="4">
        <v>23335545.310220178</v>
      </c>
      <c r="AV151" s="4">
        <v>24532885.719245121</v>
      </c>
      <c r="AW151" s="4">
        <v>25779073.579045869</v>
      </c>
      <c r="AX151" s="4">
        <v>27075468.679474551</v>
      </c>
      <c r="AY151" s="4">
        <v>28423441.8633033</v>
      </c>
      <c r="AZ151" s="4">
        <v>29824374.105645783</v>
      </c>
      <c r="BA151" s="4">
        <v>31279655.56727498</v>
      </c>
      <c r="BB151" s="4">
        <v>32790684.623067938</v>
      </c>
      <c r="BC151" s="4">
        <v>34358866.866860606</v>
      </c>
      <c r="BD151" s="4">
        <v>35985614.094045572</v>
      </c>
      <c r="BE151" s="4">
        <v>37672343.26329165</v>
      </c>
      <c r="BF151" s="4">
        <v>39420475.438807137</v>
      </c>
      <c r="BG151" s="4">
        <v>41231434.714607932</v>
      </c>
      <c r="BH151" s="4">
        <v>43106647.122287631</v>
      </c>
      <c r="BI151" s="4">
        <v>45047539.523818836</v>
      </c>
      <c r="BJ151" s="4">
        <v>47055538.490943521</v>
      </c>
      <c r="BK151" s="4">
        <v>49132069.172735296</v>
      </c>
      <c r="BL151" s="4">
        <v>51278554.152937353</v>
      </c>
      <c r="BM151" s="4">
        <v>53496412.298697472</v>
      </c>
      <c r="BN151" s="4">
        <v>55787057.602335051</v>
      </c>
      <c r="BO151" s="4">
        <v>58151898.017785169</v>
      </c>
      <c r="BP151" s="4">
        <v>60592334.293370664</v>
      </c>
      <c r="BQ151" s="4">
        <v>63109758.802556112</v>
      </c>
      <c r="BR151" s="4">
        <v>65705554.37433625</v>
      </c>
      <c r="BS151" s="4">
        <v>68381093.124906778</v>
      </c>
      <c r="BT151" s="4">
        <v>71137735.292257339</v>
      </c>
      <c r="BU151" s="4">
        <v>73976828.075314671</v>
      </c>
    </row>
    <row r="152" spans="1:73" x14ac:dyDescent="0.25">
      <c r="A152" s="3" t="s">
        <v>155</v>
      </c>
      <c r="B152" s="3" t="str">
        <f>VLOOKUP(A152,'storage capacity'!$A$2:$C$195,3,FALSE)</f>
        <v>Sub-saharan africa</v>
      </c>
      <c r="C152" s="4">
        <v>53310.46666666586</v>
      </c>
      <c r="D152" s="4">
        <v>57200.199803043753</v>
      </c>
      <c r="E152" s="4">
        <v>61332.007142731745</v>
      </c>
      <c r="F152" s="4">
        <v>65717.96939043852</v>
      </c>
      <c r="G152" s="4">
        <v>70370.58359155072</v>
      </c>
      <c r="H152" s="4">
        <v>75302.767403672202</v>
      </c>
      <c r="I152" s="4">
        <v>80527.86290133874</v>
      </c>
      <c r="J152" s="4">
        <v>86059.639893154235</v>
      </c>
      <c r="K152" s="4">
        <v>91912.298731294009</v>
      </c>
      <c r="L152" s="4">
        <v>98100.472594089588</v>
      </c>
      <c r="M152" s="4">
        <v>104639.22922324642</v>
      </c>
      <c r="N152" s="4">
        <v>111544.07209814855</v>
      </c>
      <c r="O152" s="4">
        <v>118830.94103066964</v>
      </c>
      <c r="P152" s="4">
        <v>126516.21216493615</v>
      </c>
      <c r="Q152" s="4">
        <v>134616.69736757208</v>
      </c>
      <c r="R152" s="4">
        <v>143149.6429950922</v>
      </c>
      <c r="S152" s="4">
        <v>152132.72802630009</v>
      </c>
      <c r="T152" s="4">
        <v>161584.06154878301</v>
      </c>
      <c r="U152" s="4">
        <v>171522.1795898756</v>
      </c>
      <c r="V152" s="4">
        <v>181966.04128378339</v>
      </c>
      <c r="W152" s="4">
        <v>192935.02436791183</v>
      </c>
      <c r="X152" s="4">
        <v>204448.9200028331</v>
      </c>
      <c r="Y152" s="4">
        <v>216527.92691173489</v>
      </c>
      <c r="Z152" s="4">
        <v>229192.6448366316</v>
      </c>
      <c r="AA152" s="4">
        <v>242464.06731007175</v>
      </c>
      <c r="AB152" s="4">
        <v>256363.5737425418</v>
      </c>
      <c r="AC152" s="4">
        <v>270912.92082724313</v>
      </c>
      <c r="AD152" s="4">
        <v>286134.23326539848</v>
      </c>
      <c r="AE152" s="4">
        <v>302049.99381672475</v>
      </c>
      <c r="AF152" s="4">
        <v>318683.03268118325</v>
      </c>
      <c r="AG152" s="4">
        <v>336056.51621958538</v>
      </c>
      <c r="AH152" s="4">
        <v>354193.93502208282</v>
      </c>
      <c r="AI152" s="4">
        <v>373119.091335006</v>
      </c>
      <c r="AJ152" s="4">
        <v>392856.08585792605</v>
      </c>
      <c r="AK152" s="4">
        <v>413429.30392419972</v>
      </c>
      <c r="AL152" s="4">
        <v>434863.40107961278</v>
      </c>
      <c r="AM152" s="4">
        <v>457183.28807505639</v>
      </c>
      <c r="AN152" s="4">
        <v>480414.11529045296</v>
      </c>
      <c r="AO152" s="4">
        <v>504581.2566083892</v>
      </c>
      <c r="AP152" s="4">
        <v>529710.29275710776</v>
      </c>
      <c r="AQ152" s="4">
        <v>555826.99414365727</v>
      </c>
      <c r="AR152" s="4">
        <v>582957.30319909542</v>
      </c>
      <c r="AS152" s="4">
        <v>611127.31625868112</v>
      </c>
      <c r="AT152" s="4">
        <v>640363.26500097709</v>
      </c>
      <c r="AU152" s="4">
        <v>670691.49747071066</v>
      </c>
      <c r="AV152" s="4">
        <v>702138.45871110447</v>
      </c>
      <c r="AW152" s="4">
        <v>734730.67103219149</v>
      </c>
      <c r="AX152" s="4">
        <v>768494.71394236514</v>
      </c>
      <c r="AY152" s="4">
        <v>803457.20377108804</v>
      </c>
      <c r="AZ152" s="4">
        <v>839644.7730112843</v>
      </c>
      <c r="BA152" s="4">
        <v>877084.04941047868</v>
      </c>
      <c r="BB152" s="4">
        <v>915801.63484020985</v>
      </c>
      <c r="BC152" s="4">
        <v>955824.08397364372</v>
      </c>
      <c r="BD152" s="4">
        <v>997177.88280164055</v>
      </c>
      <c r="BE152" s="4">
        <v>1039889.4270177848</v>
      </c>
      <c r="BF152" s="4">
        <v>1083985.0003030761</v>
      </c>
      <c r="BG152" s="4">
        <v>1129490.7525410987</v>
      </c>
      <c r="BH152" s="4">
        <v>1176432.6779945351</v>
      </c>
      <c r="BI152" s="4">
        <v>1224836.5934738719</v>
      </c>
      <c r="BJ152" s="4">
        <v>1274728.1165290617</v>
      </c>
      <c r="BK152" s="4">
        <v>1326132.6436947521</v>
      </c>
      <c r="BL152" s="4">
        <v>1379075.3288194791</v>
      </c>
      <c r="BM152" s="4">
        <v>1433581.061508944</v>
      </c>
      <c r="BN152" s="4">
        <v>1489674.4457131498</v>
      </c>
      <c r="BO152" s="4">
        <v>1547379.7784867813</v>
      </c>
      <c r="BP152" s="4">
        <v>1606721.028951745</v>
      </c>
      <c r="BQ152" s="4">
        <v>1667721.817490286</v>
      </c>
      <c r="BR152" s="4">
        <v>1730405.3951965203</v>
      </c>
      <c r="BS152" s="4">
        <v>1794794.6236136169</v>
      </c>
      <c r="BT152" s="4">
        <v>1860911.9547831863</v>
      </c>
      <c r="BU152" s="4">
        <v>1928779.4116327316</v>
      </c>
    </row>
    <row r="153" spans="1:73" x14ac:dyDescent="0.25">
      <c r="A153" s="3" t="s">
        <v>156</v>
      </c>
      <c r="B153" s="3" t="str">
        <f>VLOOKUP(A153,'storage capacity'!$A$2:$C$195,3,FALSE)</f>
        <v>Other eurasia</v>
      </c>
      <c r="C153" s="4">
        <v>123905.06666666642</v>
      </c>
      <c r="D153" s="4">
        <v>130132.56491922615</v>
      </c>
      <c r="E153" s="4">
        <v>136607.65378373241</v>
      </c>
      <c r="F153" s="4">
        <v>143336.95502655898</v>
      </c>
      <c r="G153" s="4">
        <v>150327.13418313037</v>
      </c>
      <c r="H153" s="4">
        <v>157584.89589462292</v>
      </c>
      <c r="I153" s="4">
        <v>165116.97913195018</v>
      </c>
      <c r="J153" s="4">
        <v>172930.15231343341</v>
      </c>
      <c r="K153" s="4">
        <v>181031.20832277901</v>
      </c>
      <c r="L153" s="4">
        <v>189426.95943418849</v>
      </c>
      <c r="M153" s="4">
        <v>198124.23215161526</v>
      </c>
      <c r="N153" s="4">
        <v>207129.8619693525</v>
      </c>
      <c r="O153" s="4">
        <v>216450.68806129097</v>
      </c>
      <c r="P153" s="4">
        <v>226093.54790632025</v>
      </c>
      <c r="Q153" s="4">
        <v>236065.2718574662</v>
      </c>
      <c r="R153" s="4">
        <v>246372.67766245769</v>
      </c>
      <c r="S153" s="4">
        <v>257022.56494349739</v>
      </c>
      <c r="T153" s="4">
        <v>268021.70964407705</v>
      </c>
      <c r="U153" s="4">
        <v>279376.858450723</v>
      </c>
      <c r="V153" s="4">
        <v>291094.72319758794</v>
      </c>
      <c r="W153" s="4">
        <v>303181.97526181536</v>
      </c>
      <c r="X153" s="4">
        <v>315645.23995759664</v>
      </c>
      <c r="Y153" s="4">
        <v>328491.09093681839</v>
      </c>
      <c r="Z153" s="4">
        <v>341726.0446041564</v>
      </c>
      <c r="AA153" s="4">
        <v>355356.55455441657</v>
      </c>
      <c r="AB153" s="4">
        <v>369389.00603984942</v>
      </c>
      <c r="AC153" s="4">
        <v>383829.71047507768</v>
      </c>
      <c r="AD153" s="4">
        <v>398684.89998717041</v>
      </c>
      <c r="AE153" s="4">
        <v>413960.722018281</v>
      </c>
      <c r="AF153" s="4">
        <v>429663.23398813116</v>
      </c>
      <c r="AG153" s="4">
        <v>445798.39802347939</v>
      </c>
      <c r="AH153" s="4">
        <v>462372.07576154935</v>
      </c>
      <c r="AI153" s="4">
        <v>479390.02323422575</v>
      </c>
      <c r="AJ153" s="4">
        <v>496857.88583963778</v>
      </c>
      <c r="AK153" s="4">
        <v>514781.19340755849</v>
      </c>
      <c r="AL153" s="4">
        <v>533165.35536484059</v>
      </c>
      <c r="AM153" s="4">
        <v>552015.65600689629</v>
      </c>
      <c r="AN153" s="4">
        <v>571337.24988100282</v>
      </c>
      <c r="AO153" s="4">
        <v>591135.15728698333</v>
      </c>
      <c r="AP153" s="4">
        <v>611414.25990057387</v>
      </c>
      <c r="AQ153" s="4">
        <v>632179.29652453796</v>
      </c>
      <c r="AR153" s="4">
        <v>653434.85897233698</v>
      </c>
      <c r="AS153" s="4">
        <v>675185.38808890851</v>
      </c>
      <c r="AT153" s="4">
        <v>697435.16991283756</v>
      </c>
      <c r="AU153" s="4">
        <v>720188.33198393905</v>
      </c>
      <c r="AV153" s="4">
        <v>743448.83980000007</v>
      </c>
      <c r="AW153" s="4">
        <v>767220.49342615332</v>
      </c>
      <c r="AX153" s="4">
        <v>791506.92426008137</v>
      </c>
      <c r="AY153" s="4">
        <v>816311.59195597004</v>
      </c>
      <c r="AZ153" s="4">
        <v>841637.78150985332</v>
      </c>
      <c r="BA153" s="4">
        <v>867488.60050871456</v>
      </c>
      <c r="BB153" s="4">
        <v>893866.97654542897</v>
      </c>
      <c r="BC153" s="4">
        <v>920775.65480135812</v>
      </c>
      <c r="BD153" s="4">
        <v>948217.19579813094</v>
      </c>
      <c r="BE153" s="4">
        <v>976193.97331987508</v>
      </c>
      <c r="BF153" s="4">
        <v>1004708.1725068906</v>
      </c>
      <c r="BG153" s="4">
        <v>1033761.7881214931</v>
      </c>
      <c r="BH153" s="4">
        <v>1063356.6229864901</v>
      </c>
      <c r="BI153" s="4">
        <v>1093494.2865964994</v>
      </c>
      <c r="BJ153" s="4">
        <v>1124176.1939020581</v>
      </c>
      <c r="BK153" s="4">
        <v>1155403.5642662295</v>
      </c>
      <c r="BL153" s="4">
        <v>1187177.4205931704</v>
      </c>
      <c r="BM153" s="4">
        <v>1219498.5886278793</v>
      </c>
      <c r="BN153" s="4">
        <v>1252367.6964261255</v>
      </c>
      <c r="BO153" s="4">
        <v>1285785.1739933244</v>
      </c>
      <c r="BP153" s="4">
        <v>1319751.253090915</v>
      </c>
      <c r="BQ153" s="4">
        <v>1354265.967208582</v>
      </c>
      <c r="BR153" s="4">
        <v>1389329.1517004606</v>
      </c>
      <c r="BS153" s="4">
        <v>1424940.4440832739</v>
      </c>
      <c r="BT153" s="4">
        <v>1461099.2844941551</v>
      </c>
      <c r="BU153" s="4">
        <v>1497804.9163057366</v>
      </c>
    </row>
    <row r="154" spans="1:73" x14ac:dyDescent="0.25">
      <c r="A154" s="3" t="s">
        <v>157</v>
      </c>
      <c r="B154" s="3" t="str">
        <f>VLOOKUP(A154,'storage capacity'!$A$2:$C$195,3,FALSE)</f>
        <v>Sub-saharan africa</v>
      </c>
      <c r="C154" s="4">
        <v>2907.8666666666977</v>
      </c>
      <c r="D154" s="4">
        <v>3019.124455541561</v>
      </c>
      <c r="E154" s="4">
        <v>3133.4839287460727</v>
      </c>
      <c r="F154" s="4">
        <v>3250.9882386532663</v>
      </c>
      <c r="G154" s="4">
        <v>3371.679803315511</v>
      </c>
      <c r="H154" s="4">
        <v>3495.6002694378685</v>
      </c>
      <c r="I154" s="4">
        <v>3622.7904759921262</v>
      </c>
      <c r="J154" s="4">
        <v>3753.2904185179204</v>
      </c>
      <c r="K154" s="4">
        <v>3887.139214155879</v>
      </c>
      <c r="L154" s="4">
        <v>4024.3750674561202</v>
      </c>
      <c r="M154" s="4">
        <v>4165.0352370038327</v>
      </c>
      <c r="N154" s="4">
        <v>4309.1560029019511</v>
      </c>
      <c r="O154" s="4">
        <v>4456.7726351491874</v>
      </c>
      <c r="P154" s="4">
        <v>4607.9193629499032</v>
      </c>
      <c r="Q154" s="4">
        <v>4762.6293449904297</v>
      </c>
      <c r="R154" s="4">
        <v>4920.9346407145895</v>
      </c>
      <c r="S154" s="4">
        <v>5082.8661826292273</v>
      </c>
      <c r="T154" s="4">
        <v>5248.453749668648</v>
      </c>
      <c r="U154" s="4">
        <v>5417.725941644836</v>
      </c>
      <c r="V154" s="4">
        <v>5590.7101548084011</v>
      </c>
      <c r="W154" s="4">
        <v>5767.4325585431407</v>
      </c>
      <c r="X154" s="4">
        <v>5947.9180732151299</v>
      </c>
      <c r="Y154" s="4">
        <v>6132.1903491952071</v>
      </c>
      <c r="Z154" s="4">
        <v>6320.2717470717371</v>
      </c>
      <c r="AA154" s="4">
        <v>6512.1833190684783</v>
      </c>
      <c r="AB154" s="4">
        <v>6707.9447916804265</v>
      </c>
      <c r="AC154" s="4">
        <v>6907.5745495384681</v>
      </c>
      <c r="AD154" s="4">
        <v>7111.0896205117397</v>
      </c>
      <c r="AE154" s="4">
        <v>7318.5056620546156</v>
      </c>
      <c r="AF154" s="4">
        <v>7529.8369488033304</v>
      </c>
      <c r="AG154" s="4">
        <v>7745.0963614253269</v>
      </c>
      <c r="AH154" s="4">
        <v>7964.2953767225808</v>
      </c>
      <c r="AI154" s="4">
        <v>8187.4440589882797</v>
      </c>
      <c r="AJ154" s="4">
        <v>8414.5510526144753</v>
      </c>
      <c r="AK154" s="4">
        <v>8645.623575946558</v>
      </c>
      <c r="AL154" s="4">
        <v>8880.6674163786702</v>
      </c>
      <c r="AM154" s="4">
        <v>9119.6869266825597</v>
      </c>
      <c r="AN154" s="4">
        <v>9362.6850225606995</v>
      </c>
      <c r="AO154" s="4">
        <v>9609.6631814129632</v>
      </c>
      <c r="AP154" s="4">
        <v>9860.6214423046422</v>
      </c>
      <c r="AQ154" s="4">
        <v>10115.558407122075</v>
      </c>
      <c r="AR154" s="4">
        <v>10374.47124290081</v>
      </c>
      <c r="AS154" s="4">
        <v>10637.355685309851</v>
      </c>
      <c r="AT154" s="4">
        <v>10904.206043274198</v>
      </c>
      <c r="AU154" s="4">
        <v>11175.015204716767</v>
      </c>
      <c r="AV154" s="4">
        <v>11449.774643399449</v>
      </c>
      <c r="AW154" s="4">
        <v>11728.474426842109</v>
      </c>
      <c r="AX154" s="4">
        <v>12011.103225297144</v>
      </c>
      <c r="AY154" s="4">
        <v>12297.648321756305</v>
      </c>
      <c r="AZ154" s="4">
        <v>12588.095622965509</v>
      </c>
      <c r="BA154" s="4">
        <v>12882.429671422529</v>
      </c>
      <c r="BB154" s="4">
        <v>13180.633658331612</v>
      </c>
      <c r="BC154" s="4">
        <v>13482.689437488358</v>
      </c>
      <c r="BD154" s="4">
        <v>13788.577540067457</v>
      </c>
      <c r="BE154" s="4">
        <v>14098.277190285311</v>
      </c>
      <c r="BF154" s="4">
        <v>14411.766321908925</v>
      </c>
      <c r="BG154" s="4">
        <v>14729.021595582048</v>
      </c>
      <c r="BH154" s="4">
        <v>15050.018416938954</v>
      </c>
      <c r="BI154" s="4">
        <v>15374.73095547599</v>
      </c>
      <c r="BJ154" s="4">
        <v>15703.132164150595</v>
      </c>
      <c r="BK154" s="4">
        <v>16035.193799677225</v>
      </c>
      <c r="BL154" s="4">
        <v>16370.886443489433</v>
      </c>
      <c r="BM154" s="4">
        <v>16710.179523337105</v>
      </c>
      <c r="BN154" s="4">
        <v>17053.041335487782</v>
      </c>
      <c r="BO154" s="4">
        <v>17399.439067500902</v>
      </c>
      <c r="BP154" s="4">
        <v>17749.338821543766</v>
      </c>
      <c r="BQ154" s="4">
        <v>18102.705638218042</v>
      </c>
      <c r="BR154" s="4">
        <v>18459.50352086571</v>
      </c>
      <c r="BS154" s="4">
        <v>18819.695460323455</v>
      </c>
      <c r="BT154" s="4">
        <v>19183.243460094614</v>
      </c>
      <c r="BU154" s="4">
        <v>19550.108561908091</v>
      </c>
    </row>
    <row r="155" spans="1:73" x14ac:dyDescent="0.25">
      <c r="A155" s="3" t="s">
        <v>158</v>
      </c>
      <c r="B155" s="3" t="str">
        <f>VLOOKUP(A155,'storage capacity'!$A$2:$C$195,3,FALSE)</f>
        <v>Sub-saharan africa</v>
      </c>
      <c r="C155" s="4">
        <v>9279.7999999999302</v>
      </c>
      <c r="D155" s="4">
        <v>9704.1136408170532</v>
      </c>
      <c r="E155" s="4">
        <v>10143.391633008678</v>
      </c>
      <c r="F155" s="4">
        <v>10597.962878434071</v>
      </c>
      <c r="G155" s="4">
        <v>11068.156090461416</v>
      </c>
      <c r="H155" s="4">
        <v>11554.299531786755</v>
      </c>
      <c r="I155" s="4">
        <v>12056.720750070268</v>
      </c>
      <c r="J155" s="4">
        <v>12575.746311765179</v>
      </c>
      <c r="K155" s="4">
        <v>13111.701534517351</v>
      </c>
      <c r="L155" s="4">
        <v>13664.91021851551</v>
      </c>
      <c r="M155" s="4">
        <v>14235.694377173077</v>
      </c>
      <c r="N155" s="4">
        <v>14824.373967522779</v>
      </c>
      <c r="O155" s="4">
        <v>15431.266620704604</v>
      </c>
      <c r="P155" s="4">
        <v>16056.687372926152</v>
      </c>
      <c r="Q155" s="4">
        <v>16700.948397272197</v>
      </c>
      <c r="R155" s="4">
        <v>17364.358736737253</v>
      </c>
      <c r="S155" s="4">
        <v>18047.224038851069</v>
      </c>
      <c r="T155" s="4">
        <v>18749.846292262439</v>
      </c>
      <c r="U155" s="4">
        <v>19472.523565641415</v>
      </c>
      <c r="V155" s="4">
        <v>20215.549749254053</v>
      </c>
      <c r="W155" s="4">
        <v>20979.214299557123</v>
      </c>
      <c r="X155" s="4">
        <v>21763.801987152929</v>
      </c>
      <c r="Y155" s="4">
        <v>22569.592648436475</v>
      </c>
      <c r="Z155" s="4">
        <v>23396.860941258707</v>
      </c>
      <c r="AA155" s="4">
        <v>24245.876104920462</v>
      </c>
      <c r="AB155" s="4">
        <v>25116.901724802272</v>
      </c>
      <c r="AC155" s="4">
        <v>26010.195501924944</v>
      </c>
      <c r="AD155" s="4">
        <v>26926.009027725515</v>
      </c>
      <c r="AE155" s="4">
        <v>27864.587564321995</v>
      </c>
      <c r="AF155" s="4">
        <v>28826.169830529197</v>
      </c>
      <c r="AG155" s="4">
        <v>29810.987793876091</v>
      </c>
      <c r="AH155" s="4">
        <v>30819.266468863185</v>
      </c>
      <c r="AI155" s="4">
        <v>31851.223721686129</v>
      </c>
      <c r="AJ155" s="4">
        <v>32907.070081639147</v>
      </c>
      <c r="AK155" s="4">
        <v>33987.008559399226</v>
      </c>
      <c r="AL155" s="4">
        <v>35091.234472378885</v>
      </c>
      <c r="AM155" s="4">
        <v>36219.935277322445</v>
      </c>
      <c r="AN155" s="4">
        <v>37373.290410307272</v>
      </c>
      <c r="AO155" s="4">
        <v>38551.471134298416</v>
      </c>
      <c r="AP155" s="4">
        <v>39754.640394391463</v>
      </c>
      <c r="AQ155" s="4">
        <v>40982.952680865274</v>
      </c>
      <c r="AR155" s="4">
        <v>42236.553900152707</v>
      </c>
      <c r="AS155" s="4">
        <v>43515.581253824261</v>
      </c>
      <c r="AT155" s="4">
        <v>44820.163125666171</v>
      </c>
      <c r="AU155" s="4">
        <v>46150.418976921443</v>
      </c>
      <c r="AV155" s="4">
        <v>47506.459249749198</v>
      </c>
      <c r="AW155" s="4">
        <v>48888.38527894477</v>
      </c>
      <c r="AX155" s="4">
        <v>50296.289211950374</v>
      </c>
      <c r="AY155" s="4">
        <v>51730.253937173438</v>
      </c>
      <c r="AZ155" s="4">
        <v>53190.353020617593</v>
      </c>
      <c r="BA155" s="4">
        <v>54676.650650819043</v>
      </c>
      <c r="BB155" s="4">
        <v>56189.201592069301</v>
      </c>
      <c r="BC155" s="4">
        <v>57728.051145893653</v>
      </c>
      <c r="BD155" s="4">
        <v>59293.235120743557</v>
      </c>
      <c r="BE155" s="4">
        <v>60884.77980985005</v>
      </c>
      <c r="BF155" s="4">
        <v>62502.701977174765</v>
      </c>
      <c r="BG155" s="4">
        <v>64147.008851384729</v>
      </c>
      <c r="BH155" s="4">
        <v>65817.698127767202</v>
      </c>
      <c r="BI155" s="4">
        <v>67514.757977991336</v>
      </c>
      <c r="BJ155" s="4">
        <v>69238.167067613904</v>
      </c>
      <c r="BK155" s="4">
        <v>70987.894581217799</v>
      </c>
      <c r="BL155" s="4">
        <v>72763.900255063432</v>
      </c>
      <c r="BM155" s="4">
        <v>74566.134417124907</v>
      </c>
      <c r="BN155" s="4">
        <v>76394.538034375466</v>
      </c>
      <c r="BO155" s="4">
        <v>78249.042767179155</v>
      </c>
      <c r="BP155" s="4">
        <v>80129.571030638996</v>
      </c>
      <c r="BQ155" s="4">
        <v>82036.036062745188</v>
      </c>
      <c r="BR155" s="4">
        <v>83968.341999161101</v>
      </c>
      <c r="BS155" s="4">
        <v>85926.383954478937</v>
      </c>
      <c r="BT155" s="4">
        <v>87910.048109771727</v>
      </c>
      <c r="BU155" s="4">
        <v>89919.211806263644</v>
      </c>
    </row>
    <row r="156" spans="1:73" x14ac:dyDescent="0.25">
      <c r="A156" s="3" t="s">
        <v>159</v>
      </c>
      <c r="B156" s="3" t="str">
        <f>VLOOKUP(A156,'storage capacity'!$A$2:$C$195,3,FALSE)</f>
        <v>Other Asia pacific</v>
      </c>
      <c r="C156" s="4">
        <v>712881.46666666865</v>
      </c>
      <c r="D156" s="4">
        <v>749358.86126141297</v>
      </c>
      <c r="E156" s="4">
        <v>787319.32671309973</v>
      </c>
      <c r="F156" s="4">
        <v>826803.93088568549</v>
      </c>
      <c r="G156" s="4">
        <v>867854.06719428243</v>
      </c>
      <c r="H156" s="4">
        <v>910511.426647051</v>
      </c>
      <c r="I156" s="4">
        <v>954817.96911049157</v>
      </c>
      <c r="J156" s="4">
        <v>1000815.8938356609</v>
      </c>
      <c r="K156" s="4">
        <v>1048547.6092843966</v>
      </c>
      <c r="L156" s="4">
        <v>1098055.7022960999</v>
      </c>
      <c r="M156" s="4">
        <v>1149382.9066369911</v>
      </c>
      <c r="N156" s="4">
        <v>1202572.0709750187</v>
      </c>
      <c r="O156" s="4">
        <v>1257666.1263247542</v>
      </c>
      <c r="P156" s="4">
        <v>1314708.0530076632</v>
      </c>
      <c r="Q156" s="4">
        <v>1373740.8471740789</v>
      </c>
      <c r="R156" s="4">
        <v>1434807.4869340351</v>
      </c>
      <c r="S156" s="4">
        <v>1497950.8981448412</v>
      </c>
      <c r="T156" s="4">
        <v>1563213.9199038777</v>
      </c>
      <c r="U156" s="4">
        <v>1630639.2697955954</v>
      </c>
      <c r="V156" s="4">
        <v>1700269.5089420741</v>
      </c>
      <c r="W156" s="4">
        <v>1772147.0069067734</v>
      </c>
      <c r="X156" s="4">
        <v>1846313.9065012569</v>
      </c>
      <c r="Y156" s="4">
        <v>1922812.0885447261</v>
      </c>
      <c r="Z156" s="4">
        <v>2001683.1366261321</v>
      </c>
      <c r="AA156" s="4">
        <v>2082968.3019184647</v>
      </c>
      <c r="AB156" s="4">
        <v>2166708.4680945454</v>
      </c>
      <c r="AC156" s="4">
        <v>2252944.1163932662</v>
      </c>
      <c r="AD156" s="4">
        <v>2341715.2908847439</v>
      </c>
      <c r="AE156" s="4">
        <v>2433061.5639822702</v>
      </c>
      <c r="AF156" s="4">
        <v>2527022.0022482825</v>
      </c>
      <c r="AG156" s="4">
        <v>2623635.1325407913</v>
      </c>
      <c r="AH156" s="4">
        <v>2722938.9085458689</v>
      </c>
      <c r="AI156" s="4">
        <v>2824970.6777408523</v>
      </c>
      <c r="AJ156" s="4">
        <v>2929767.1488318983</v>
      </c>
      <c r="AK156" s="4">
        <v>3037364.3597084288</v>
      </c>
      <c r="AL156" s="4">
        <v>3147797.6459558355</v>
      </c>
      <c r="AM156" s="4">
        <v>3261101.6099665742</v>
      </c>
      <c r="AN156" s="4">
        <v>3377310.0906884759</v>
      </c>
      <c r="AO156" s="4">
        <v>3496456.1340477262</v>
      </c>
      <c r="AP156" s="4">
        <v>3618571.9640825647</v>
      </c>
      <c r="AQ156" s="4">
        <v>3743688.9548222576</v>
      </c>
      <c r="AR156" s="4">
        <v>3871837.6029443974</v>
      </c>
      <c r="AS156" s="4">
        <v>4003047.5012420127</v>
      </c>
      <c r="AT156" s="4">
        <v>4137347.3129303618</v>
      </c>
      <c r="AU156" s="4">
        <v>4274764.7468216689</v>
      </c>
      <c r="AV156" s="4">
        <v>4415326.5333943767</v>
      </c>
      <c r="AW156" s="4">
        <v>4559058.401781817</v>
      </c>
      <c r="AX156" s="4">
        <v>4705985.0577034745</v>
      </c>
      <c r="AY156" s="4">
        <v>4856130.1623603199</v>
      </c>
      <c r="AZ156" s="4">
        <v>5009516.3123139199</v>
      </c>
      <c r="BA156" s="4">
        <v>5166165.0203673076</v>
      </c>
      <c r="BB156" s="4">
        <v>5326096.6974638449</v>
      </c>
      <c r="BC156" s="4">
        <v>5489330.6356185591</v>
      </c>
      <c r="BD156" s="4">
        <v>5655884.9918946847</v>
      </c>
      <c r="BE156" s="4">
        <v>5825776.7734364178</v>
      </c>
      <c r="BF156" s="4">
        <v>5999021.8235671641</v>
      </c>
      <c r="BG156" s="4">
        <v>6175634.8089608382</v>
      </c>
      <c r="BH156" s="4">
        <v>6355629.2078921096</v>
      </c>
      <c r="BI156" s="4">
        <v>6539017.2995697819</v>
      </c>
      <c r="BJ156" s="4">
        <v>6725810.1545558851</v>
      </c>
      <c r="BK156" s="4">
        <v>6916017.6262714285</v>
      </c>
      <c r="BL156" s="4">
        <v>7109648.3435881715</v>
      </c>
      <c r="BM156" s="4">
        <v>7306709.7045042152</v>
      </c>
      <c r="BN156" s="4">
        <v>7507207.8708997071</v>
      </c>
      <c r="BO156" s="4">
        <v>7711147.7643674817</v>
      </c>
      <c r="BP156" s="4">
        <v>7918533.0631119795</v>
      </c>
      <c r="BQ156" s="4">
        <v>8129366.1999084316</v>
      </c>
      <c r="BR156" s="4">
        <v>8343648.3611129168</v>
      </c>
      <c r="BS156" s="4">
        <v>8561379.4867125954</v>
      </c>
      <c r="BT156" s="4">
        <v>8782558.2714041527</v>
      </c>
      <c r="BU156" s="4">
        <v>9007182.1666872781</v>
      </c>
    </row>
    <row r="157" spans="1:73" x14ac:dyDescent="0.25">
      <c r="A157" s="3" t="s">
        <v>160</v>
      </c>
      <c r="B157" s="3" t="str">
        <f>VLOOKUP(A157,'storage capacity'!$A$2:$C$195,3,FALSE)</f>
        <v>Other eurasia</v>
      </c>
      <c r="C157" s="4">
        <v>193706.19999999925</v>
      </c>
      <c r="D157" s="4">
        <v>202767.35002960337</v>
      </c>
      <c r="E157" s="4">
        <v>212157.51062294663</v>
      </c>
      <c r="F157" s="4">
        <v>221884.27957557689</v>
      </c>
      <c r="G157" s="4">
        <v>231955.26383704491</v>
      </c>
      <c r="H157" s="4">
        <v>242378.0735907442</v>
      </c>
      <c r="I157" s="4">
        <v>253160.31626391079</v>
      </c>
      <c r="J157" s="4">
        <v>264309.59047624847</v>
      </c>
      <c r="K157" s="4">
        <v>275833.47993575357</v>
      </c>
      <c r="L157" s="4">
        <v>287739.54729040345</v>
      </c>
      <c r="M157" s="4">
        <v>300035.32794444013</v>
      </c>
      <c r="N157" s="4">
        <v>312728.32384803082</v>
      </c>
      <c r="O157" s="4">
        <v>325825.99726911588</v>
      </c>
      <c r="P157" s="4">
        <v>339335.7645562645</v>
      </c>
      <c r="Q157" s="4">
        <v>353264.98990134825</v>
      </c>
      <c r="R157" s="4">
        <v>367620.97911081521</v>
      </c>
      <c r="S157" s="4">
        <v>382410.97339429834</v>
      </c>
      <c r="T157" s="4">
        <v>397642.14317922678</v>
      </c>
      <c r="U157" s="4">
        <v>413321.58196002553</v>
      </c>
      <c r="V157" s="4">
        <v>429456.30019038706</v>
      </c>
      <c r="W157" s="4">
        <v>446053.21922698029</v>
      </c>
      <c r="X157" s="4">
        <v>463119.16533282999</v>
      </c>
      <c r="Y157" s="4">
        <v>480660.86374844657</v>
      </c>
      <c r="Z157" s="4">
        <v>498684.93283862434</v>
      </c>
      <c r="AA157" s="4">
        <v>517197.87832264416</v>
      </c>
      <c r="AB157" s="4">
        <v>536206.08759542543</v>
      </c>
      <c r="AC157" s="4">
        <v>555715.82414696435</v>
      </c>
      <c r="AD157" s="4">
        <v>575733.22208717722</v>
      </c>
      <c r="AE157" s="4">
        <v>596264.28078303952</v>
      </c>
      <c r="AF157" s="4">
        <v>617314.85961466632</v>
      </c>
      <c r="AG157" s="4">
        <v>638890.6728567339</v>
      </c>
      <c r="AH157" s="4">
        <v>660997.28469137801</v>
      </c>
      <c r="AI157" s="4">
        <v>683640.10435843829</v>
      </c>
      <c r="AJ157" s="4">
        <v>706824.3814486413</v>
      </c>
      <c r="AK157" s="4">
        <v>730555.20134503301</v>
      </c>
      <c r="AL157" s="4">
        <v>754837.4808176792</v>
      </c>
      <c r="AM157" s="4">
        <v>779675.96377636341</v>
      </c>
      <c r="AN157" s="4">
        <v>805075.21718570776</v>
      </c>
      <c r="AO157" s="4">
        <v>831039.62714684464</v>
      </c>
      <c r="AP157" s="4">
        <v>857573.39514945785</v>
      </c>
      <c r="AQ157" s="4">
        <v>884680.53449770878</v>
      </c>
      <c r="AR157" s="4">
        <v>912364.86691324937</v>
      </c>
      <c r="AS157" s="4">
        <v>940630.01931821927</v>
      </c>
      <c r="AT157" s="4">
        <v>969479.42080081138</v>
      </c>
      <c r="AU157" s="4">
        <v>998916.29976568324</v>
      </c>
      <c r="AV157" s="4">
        <v>1028943.6812711838</v>
      </c>
      <c r="AW157" s="4">
        <v>1059564.3845550595</v>
      </c>
      <c r="AX157" s="4">
        <v>1090781.0207500011</v>
      </c>
      <c r="AY157" s="4">
        <v>1122595.9907900942</v>
      </c>
      <c r="AZ157" s="4">
        <v>1155011.4835089378</v>
      </c>
      <c r="BA157" s="4">
        <v>1188029.4739299072</v>
      </c>
      <c r="BB157" s="4">
        <v>1221651.7217487497</v>
      </c>
      <c r="BC157" s="4">
        <v>1255879.7700084194</v>
      </c>
      <c r="BD157" s="4">
        <v>1290714.9439657819</v>
      </c>
      <c r="BE157" s="4">
        <v>1326158.3501495542</v>
      </c>
      <c r="BF157" s="4">
        <v>1362210.8756085776</v>
      </c>
      <c r="BG157" s="4">
        <v>1398873.187349268</v>
      </c>
      <c r="BH157" s="4">
        <v>1436145.7319608398</v>
      </c>
      <c r="BI157" s="4">
        <v>1474028.7354266611</v>
      </c>
      <c r="BJ157" s="4">
        <v>1512522.2031198598</v>
      </c>
      <c r="BK157" s="4">
        <v>1551625.919981082</v>
      </c>
      <c r="BL157" s="4">
        <v>1591339.4508760851</v>
      </c>
      <c r="BM157" s="4">
        <v>1631662.1411306402</v>
      </c>
      <c r="BN157" s="4">
        <v>1672593.1172400224</v>
      </c>
      <c r="BO157" s="4">
        <v>1714131.2877501743</v>
      </c>
      <c r="BP157" s="4">
        <v>1756275.3443074534</v>
      </c>
      <c r="BQ157" s="4">
        <v>1799023.7628736987</v>
      </c>
      <c r="BR157" s="4">
        <v>1842374.80510319</v>
      </c>
      <c r="BS157" s="4">
        <v>1886326.5198779244</v>
      </c>
      <c r="BT157" s="4">
        <v>1930876.7449974855</v>
      </c>
      <c r="BU157" s="4">
        <v>1976023.1090196576</v>
      </c>
    </row>
    <row r="158" spans="1:73" x14ac:dyDescent="0.25">
      <c r="A158" s="3" t="s">
        <v>161</v>
      </c>
      <c r="B158" s="3" t="str">
        <f>VLOOKUP(A158,'storage capacity'!$A$2:$C$195,3,FALSE)</f>
        <v>Other eurasia</v>
      </c>
      <c r="C158" s="4">
        <v>97647.800000000745</v>
      </c>
      <c r="D158" s="4">
        <v>102331.21594290796</v>
      </c>
      <c r="E158" s="4">
        <v>107190.17898889622</v>
      </c>
      <c r="F158" s="4">
        <v>112228.96195128758</v>
      </c>
      <c r="G158" s="4">
        <v>117451.85095879021</v>
      </c>
      <c r="H158" s="4">
        <v>122863.14222364451</v>
      </c>
      <c r="I158" s="4">
        <v>128467.13875866229</v>
      </c>
      <c r="J158" s="4">
        <v>134268.14704774832</v>
      </c>
      <c r="K158" s="4">
        <v>140270.47367458287</v>
      </c>
      <c r="L158" s="4">
        <v>146478.4219142221</v>
      </c>
      <c r="M158" s="4">
        <v>152896.28829244032</v>
      </c>
      <c r="N158" s="4">
        <v>159528.35911769429</v>
      </c>
      <c r="O158" s="4">
        <v>166378.90699063329</v>
      </c>
      <c r="P158" s="4">
        <v>173452.18729611329</v>
      </c>
      <c r="Q158" s="4">
        <v>180752.43468269438</v>
      </c>
      <c r="R158" s="4">
        <v>188283.8595346119</v>
      </c>
      <c r="S158" s="4">
        <v>196050.64444121209</v>
      </c>
      <c r="T158" s="4">
        <v>204056.94066883103</v>
      </c>
      <c r="U158" s="4">
        <v>212306.86464007484</v>
      </c>
      <c r="V158" s="4">
        <v>220804.49442542673</v>
      </c>
      <c r="W158" s="4">
        <v>229553.8662520631</v>
      </c>
      <c r="X158" s="4">
        <v>238558.97103471044</v>
      </c>
      <c r="Y158" s="4">
        <v>247823.75093331045</v>
      </c>
      <c r="Z158" s="4">
        <v>257352.09594219059</v>
      </c>
      <c r="AA158" s="4">
        <v>267147.84051535669</v>
      </c>
      <c r="AB158" s="4">
        <v>277214.76023243449</v>
      </c>
      <c r="AC158" s="4">
        <v>287556.56850968912</v>
      </c>
      <c r="AD158" s="4">
        <v>298176.91336044658</v>
      </c>
      <c r="AE158" s="4">
        <v>309079.37420912832</v>
      </c>
      <c r="AF158" s="4">
        <v>320267.45876298804</v>
      </c>
      <c r="AG158" s="4">
        <v>331744.59994551481</v>
      </c>
      <c r="AH158" s="4">
        <v>343514.15289533202</v>
      </c>
      <c r="AI158" s="4">
        <v>355579.39203428244</v>
      </c>
      <c r="AJ158" s="4">
        <v>367943.50820824568</v>
      </c>
      <c r="AK158" s="4">
        <v>380609.60590408376</v>
      </c>
      <c r="AL158" s="4">
        <v>393580.7005459569</v>
      </c>
      <c r="AM158" s="4">
        <v>406859.71587409358</v>
      </c>
      <c r="AN158" s="4">
        <v>420449.48140893574</v>
      </c>
      <c r="AO158" s="4">
        <v>434352.73000341683</v>
      </c>
      <c r="AP158" s="4">
        <v>448572.09548596083</v>
      </c>
      <c r="AQ158" s="4">
        <v>463110.11039662111</v>
      </c>
      <c r="AR158" s="4">
        <v>477969.20381860592</v>
      </c>
      <c r="AS158" s="4">
        <v>493151.69930726395</v>
      </c>
      <c r="AT158" s="4">
        <v>508659.81291842891</v>
      </c>
      <c r="AU158" s="4">
        <v>524495.65133784676</v>
      </c>
      <c r="AV158" s="4">
        <v>540661.2101132347</v>
      </c>
      <c r="AW158" s="4">
        <v>557158.37199034588</v>
      </c>
      <c r="AX158" s="4">
        <v>573988.90535423846</v>
      </c>
      <c r="AY158" s="4">
        <v>591154.4627767764</v>
      </c>
      <c r="AZ158" s="4">
        <v>608656.57967121457</v>
      </c>
      <c r="BA158" s="4">
        <v>626496.67305455264</v>
      </c>
      <c r="BB158" s="4">
        <v>644676.0404181726</v>
      </c>
      <c r="BC158" s="4">
        <v>663195.85870710807</v>
      </c>
      <c r="BD158" s="4">
        <v>682057.18340813252</v>
      </c>
      <c r="BE158" s="4">
        <v>701260.94774668873</v>
      </c>
      <c r="BF158" s="4">
        <v>720807.96199252899</v>
      </c>
      <c r="BG158" s="4">
        <v>740698.91287377744</v>
      </c>
      <c r="BH158" s="4">
        <v>760934.36309897888</v>
      </c>
      <c r="BI158" s="4">
        <v>781514.75098654849</v>
      </c>
      <c r="BJ158" s="4">
        <v>802440.39020089654</v>
      </c>
      <c r="BK158" s="4">
        <v>823711.46959436429</v>
      </c>
      <c r="BL158" s="4">
        <v>845328.05315397098</v>
      </c>
      <c r="BM158" s="4">
        <v>867290.08005184622</v>
      </c>
      <c r="BN158" s="4">
        <v>889597.36479809217</v>
      </c>
      <c r="BO158" s="4">
        <v>912249.59749470733</v>
      </c>
      <c r="BP158" s="4">
        <v>935246.34418908227</v>
      </c>
      <c r="BQ158" s="4">
        <v>958587.047325472</v>
      </c>
      <c r="BR158" s="4">
        <v>982271.02629274386</v>
      </c>
      <c r="BS158" s="4">
        <v>1006297.4780666004</v>
      </c>
      <c r="BT158" s="4">
        <v>1030665.4779443835</v>
      </c>
      <c r="BU158" s="4">
        <v>1055373.9803704747</v>
      </c>
    </row>
    <row r="159" spans="1:73" x14ac:dyDescent="0.25">
      <c r="A159" s="3" t="s">
        <v>162</v>
      </c>
      <c r="B159" s="3" t="str">
        <f>VLOOKUP(A159,'storage capacity'!$A$2:$C$195,3,FALSE)</f>
        <v>Oceania</v>
      </c>
      <c r="C159" s="4">
        <v>2359.8666666666686</v>
      </c>
      <c r="D159" s="4">
        <v>2554.9443117930018</v>
      </c>
      <c r="E159" s="4">
        <v>2764.0359530901501</v>
      </c>
      <c r="F159" s="4">
        <v>2987.977212104935</v>
      </c>
      <c r="G159" s="4">
        <v>3227.641267218909</v>
      </c>
      <c r="H159" s="4">
        <v>3483.9397742847805</v>
      </c>
      <c r="I159" s="4">
        <v>3757.8237669720256</v>
      </c>
      <c r="J159" s="4">
        <v>4050.284534193916</v>
      </c>
      <c r="K159" s="4">
        <v>4362.3544719650736</v>
      </c>
      <c r="L159" s="4">
        <v>4695.1079070232063</v>
      </c>
      <c r="M159" s="4">
        <v>5049.6618895411693</v>
      </c>
      <c r="N159" s="4">
        <v>5427.1769522560389</v>
      </c>
      <c r="O159" s="4">
        <v>5828.8578333506302</v>
      </c>
      <c r="P159" s="4">
        <v>6255.954160440001</v>
      </c>
      <c r="Q159" s="4">
        <v>6709.7610930409328</v>
      </c>
      <c r="R159" s="4">
        <v>7191.6199209363058</v>
      </c>
      <c r="S159" s="4">
        <v>7702.9186158886232</v>
      </c>
      <c r="T159" s="4">
        <v>8245.0923342076876</v>
      </c>
      <c r="U159" s="4">
        <v>8819.6238677365072</v>
      </c>
      <c r="V159" s="4">
        <v>9428.0440408868544</v>
      </c>
      <c r="W159" s="4">
        <v>10071.932051431306</v>
      </c>
      <c r="X159" s="4">
        <v>10752.915752841946</v>
      </c>
      <c r="Y159" s="4">
        <v>11472.671876057018</v>
      </c>
      <c r="Z159" s="4">
        <v>12232.926188655394</v>
      </c>
      <c r="AA159" s="4">
        <v>13035.453589524544</v>
      </c>
      <c r="AB159" s="4">
        <v>13882.078137220473</v>
      </c>
      <c r="AC159" s="4">
        <v>14774.673010337441</v>
      </c>
      <c r="AD159" s="4">
        <v>15715.160398330987</v>
      </c>
      <c r="AE159" s="4">
        <v>16705.511321369278</v>
      </c>
      <c r="AF159" s="4">
        <v>17747.745377924934</v>
      </c>
      <c r="AG159" s="4">
        <v>18843.930418961503</v>
      </c>
      <c r="AH159" s="4">
        <v>19996.182147715714</v>
      </c>
      <c r="AI159" s="4">
        <v>21206.66364422745</v>
      </c>
      <c r="AJ159" s="4">
        <v>22477.58481392423</v>
      </c>
      <c r="AK159" s="4">
        <v>23811.20175972479</v>
      </c>
      <c r="AL159" s="4">
        <v>25209.816077287236</v>
      </c>
      <c r="AM159" s="4">
        <v>26675.774073189968</v>
      </c>
      <c r="AN159" s="4">
        <v>28211.465905998404</v>
      </c>
      <c r="AO159" s="4">
        <v>29819.32465033633</v>
      </c>
      <c r="AP159" s="4">
        <v>31501.825284247359</v>
      </c>
      <c r="AQ159" s="4">
        <v>33261.483600298721</v>
      </c>
      <c r="AR159" s="4">
        <v>35100.855041046059</v>
      </c>
      <c r="AS159" s="4">
        <v>37022.533459643571</v>
      </c>
      <c r="AT159" s="4">
        <v>39029.149806548106</v>
      </c>
      <c r="AU159" s="4">
        <v>41123.370743428197</v>
      </c>
      <c r="AV159" s="4">
        <v>43307.897185549293</v>
      </c>
      <c r="AW159" s="4">
        <v>45585.462774063635</v>
      </c>
      <c r="AX159" s="4">
        <v>47958.832279787377</v>
      </c>
      <c r="AY159" s="4">
        <v>50430.799940197983</v>
      </c>
      <c r="AZ159" s="4">
        <v>53004.187731531129</v>
      </c>
      <c r="BA159" s="4">
        <v>55681.843577998021</v>
      </c>
      <c r="BB159" s="4">
        <v>58466.639500281111</v>
      </c>
      <c r="BC159" s="4">
        <v>61361.469705597265</v>
      </c>
      <c r="BD159" s="4">
        <v>64369.248621743893</v>
      </c>
      <c r="BE159" s="4">
        <v>67492.908877662951</v>
      </c>
      <c r="BF159" s="4">
        <v>70735.399233171658</v>
      </c>
      <c r="BG159" s="4">
        <v>74099.682460616008</v>
      </c>
      <c r="BH159" s="4">
        <v>77588.733181303149</v>
      </c>
      <c r="BI159" s="4">
        <v>81205.535659662462</v>
      </c>
      <c r="BJ159" s="4">
        <v>84953.081558170918</v>
      </c>
      <c r="BK159" s="4">
        <v>88834.367656157323</v>
      </c>
      <c r="BL159" s="4">
        <v>92852.393535671203</v>
      </c>
      <c r="BM159" s="4">
        <v>97010.159237665503</v>
      </c>
      <c r="BN159" s="4">
        <v>101310.66289179838</v>
      </c>
      <c r="BO159" s="4">
        <v>105756.89832320713</v>
      </c>
      <c r="BP159" s="4">
        <v>110351.85263964777</v>
      </c>
      <c r="BQ159" s="4">
        <v>115098.50380242566</v>
      </c>
      <c r="BR159" s="4">
        <v>119999.81818456748</v>
      </c>
      <c r="BS159" s="4">
        <v>125058.74811970127</v>
      </c>
      <c r="BT159" s="4">
        <v>130278.2294451199</v>
      </c>
      <c r="BU159" s="4">
        <v>135661.17904250501</v>
      </c>
    </row>
    <row r="160" spans="1:73" x14ac:dyDescent="0.25">
      <c r="A160" s="3" t="s">
        <v>163</v>
      </c>
      <c r="B160" s="3" t="str">
        <f>VLOOKUP(A160,'storage capacity'!$A$2:$C$195,3,FALSE)</f>
        <v>Sub-saharan africa</v>
      </c>
      <c r="C160" s="4">
        <v>19821.133333333302</v>
      </c>
      <c r="D160" s="4">
        <v>20355.970828319972</v>
      </c>
      <c r="E160" s="4">
        <v>20899.747256242797</v>
      </c>
      <c r="F160" s="4">
        <v>21452.466755759946</v>
      </c>
      <c r="G160" s="4">
        <v>22014.130233209846</v>
      </c>
      <c r="H160" s="4">
        <v>22584.735364535118</v>
      </c>
      <c r="I160" s="4">
        <v>23164.276599850171</v>
      </c>
      <c r="J160" s="4">
        <v>23752.74517061625</v>
      </c>
      <c r="K160" s="4">
        <v>24350.129099384812</v>
      </c>
      <c r="L160" s="4">
        <v>24956.413212067204</v>
      </c>
      <c r="M160" s="4">
        <v>25571.579152686045</v>
      </c>
      <c r="N160" s="4">
        <v>26195.605400561093</v>
      </c>
      <c r="O160" s="4">
        <v>26828.467289880045</v>
      </c>
      <c r="P160" s="4">
        <v>27470.137031602419</v>
      </c>
      <c r="Q160" s="4">
        <v>28120.583737642442</v>
      </c>
      <c r="R160" s="4">
        <v>28779.773447275107</v>
      </c>
      <c r="S160" s="4">
        <v>29447.66915570743</v>
      </c>
      <c r="T160" s="4">
        <v>30124.230844755442</v>
      </c>
      <c r="U160" s="4">
        <v>30809.415515565735</v>
      </c>
      <c r="V160" s="4">
        <v>31503.177223319017</v>
      </c>
      <c r="W160" s="4">
        <v>32205.467113851715</v>
      </c>
      <c r="X160" s="4">
        <v>32916.233462130629</v>
      </c>
      <c r="Y160" s="4">
        <v>33635.421712514464</v>
      </c>
      <c r="Z160" s="4">
        <v>34362.974520735195</v>
      </c>
      <c r="AA160" s="4">
        <v>35098.831797531442</v>
      </c>
      <c r="AB160" s="4">
        <v>35842.930753865374</v>
      </c>
      <c r="AC160" s="4">
        <v>36595.205947653973</v>
      </c>
      <c r="AD160" s="4">
        <v>37355.589331945339</v>
      </c>
      <c r="AE160" s="4">
        <v>38124.010304470059</v>
      </c>
      <c r="AF160" s="4">
        <v>38900.395758497805</v>
      </c>
      <c r="AG160" s="4">
        <v>39684.670134928929</v>
      </c>
      <c r="AH160" s="4">
        <v>40476.755475551101</v>
      </c>
      <c r="AI160" s="4">
        <v>41276.571477390913</v>
      </c>
      <c r="AJ160" s="4">
        <v>42084.035548090869</v>
      </c>
      <c r="AK160" s="4">
        <v>42899.062862242157</v>
      </c>
      <c r="AL160" s="4">
        <v>43721.566418604365</v>
      </c>
      <c r="AM160" s="4">
        <v>44551.457098143503</v>
      </c>
      <c r="AN160" s="4">
        <v>45388.643722820452</v>
      </c>
      <c r="AO160" s="4">
        <v>46233.033115062593</v>
      </c>
      <c r="AP160" s="4">
        <v>47084.530157851987</v>
      </c>
      <c r="AQ160" s="4">
        <v>47943.037855364528</v>
      </c>
      <c r="AR160" s="4">
        <v>48808.457394095152</v>
      </c>
      <c r="AS160" s="4">
        <v>49680.688204405189</v>
      </c>
      <c r="AT160" s="4">
        <v>50559.628022429133</v>
      </c>
      <c r="AU160" s="4">
        <v>51445.17295227891</v>
      </c>
      <c r="AV160" s="4">
        <v>52337.217528484973</v>
      </c>
      <c r="AW160" s="4">
        <v>53235.654778614859</v>
      </c>
      <c r="AX160" s="4">
        <v>54140.376286010811</v>
      </c>
      <c r="AY160" s="4">
        <v>55051.272252589566</v>
      </c>
      <c r="AZ160" s="4">
        <v>55968.23156164855</v>
      </c>
      <c r="BA160" s="4">
        <v>56891.141840624201</v>
      </c>
      <c r="BB160" s="4">
        <v>57819.889523749487</v>
      </c>
      <c r="BC160" s="4">
        <v>58754.359914558947</v>
      </c>
      <c r="BD160" s="4">
        <v>59694.437248191352</v>
      </c>
      <c r="BE160" s="4">
        <v>60640.004753441121</v>
      </c>
      <c r="BF160" s="4">
        <v>61590.944714511526</v>
      </c>
      <c r="BG160" s="4">
        <v>62547.13853242388</v>
      </c>
      <c r="BH160" s="4">
        <v>63508.466786038625</v>
      </c>
      <c r="BI160" s="4">
        <v>64474.809292645674</v>
      </c>
      <c r="BJ160" s="4">
        <v>65446.04516808295</v>
      </c>
      <c r="BK160" s="4">
        <v>66422.052886343576</v>
      </c>
      <c r="BL160" s="4">
        <v>67402.71033863358</v>
      </c>
      <c r="BM160" s="4">
        <v>68387.894891843884</v>
      </c>
      <c r="BN160" s="4">
        <v>69377.4834464015</v>
      </c>
      <c r="BO160" s="4">
        <v>70371.352493466591</v>
      </c>
      <c r="BP160" s="4">
        <v>71369.378171443546</v>
      </c>
      <c r="BQ160" s="4">
        <v>72371.436321775836</v>
      </c>
      <c r="BR160" s="4">
        <v>73377.402543995806</v>
      </c>
      <c r="BS160" s="4">
        <v>74387.152250002036</v>
      </c>
      <c r="BT160" s="4">
        <v>75400.560717538669</v>
      </c>
      <c r="BU160" s="4">
        <v>76417.503142852176</v>
      </c>
    </row>
    <row r="161" spans="1:73" x14ac:dyDescent="0.25">
      <c r="A161" s="3" t="s">
        <v>164</v>
      </c>
      <c r="B161" s="3" t="str">
        <f>VLOOKUP(A161,'storage capacity'!$A$2:$C$195,3,FALSE)</f>
        <v>Country specific</v>
      </c>
      <c r="C161" s="4">
        <v>481591.39999999851</v>
      </c>
      <c r="D161" s="4">
        <v>501336.42171207903</v>
      </c>
      <c r="E161" s="4">
        <v>521685.43447776418</v>
      </c>
      <c r="F161" s="4">
        <v>542648.6545332924</v>
      </c>
      <c r="G161" s="4">
        <v>564236.19710578781</v>
      </c>
      <c r="H161" s="4">
        <v>586458.06773232727</v>
      </c>
      <c r="I161" s="4">
        <v>609324.15364125511</v>
      </c>
      <c r="J161" s="4">
        <v>632844.21520754241</v>
      </c>
      <c r="K161" s="4">
        <v>657027.87749379152</v>
      </c>
      <c r="L161" s="4">
        <v>681884.62188827491</v>
      </c>
      <c r="M161" s="4">
        <v>707423.77785116062</v>
      </c>
      <c r="N161" s="4">
        <v>733654.51477982139</v>
      </c>
      <c r="O161" s="4">
        <v>760585.83400384826</v>
      </c>
      <c r="P161" s="4">
        <v>788226.56092009705</v>
      </c>
      <c r="Q161" s="4">
        <v>816585.33727778541</v>
      </c>
      <c r="R161" s="4">
        <v>845670.61362333084</v>
      </c>
      <c r="S161" s="4">
        <v>875490.64191427804</v>
      </c>
      <c r="T161" s="4">
        <v>906053.46831130807</v>
      </c>
      <c r="U161" s="4">
        <v>937366.92615695519</v>
      </c>
      <c r="V161" s="4">
        <v>969438.62914927164</v>
      </c>
      <c r="W161" s="4">
        <v>1002275.9647182955</v>
      </c>
      <c r="X161" s="4">
        <v>1035886.0876127718</v>
      </c>
      <c r="Y161" s="4">
        <v>1070275.9137041692</v>
      </c>
      <c r="Z161" s="4">
        <v>1105452.1140146211</v>
      </c>
      <c r="AA161" s="4">
        <v>1141421.1089749893</v>
      </c>
      <c r="AB161" s="4">
        <v>1178189.0629188342</v>
      </c>
      <c r="AC161" s="4">
        <v>1215761.8788176293</v>
      </c>
      <c r="AD161" s="4">
        <v>1254145.1932621361</v>
      </c>
      <c r="AE161" s="4">
        <v>1293344.3716944081</v>
      </c>
      <c r="AF161" s="4">
        <v>1333364.5038944676</v>
      </c>
      <c r="AG161" s="4">
        <v>1374210.3997252481</v>
      </c>
      <c r="AH161" s="4">
        <v>1415886.5851389731</v>
      </c>
      <c r="AI161" s="4">
        <v>1458397.2984476972</v>
      </c>
      <c r="AJ161" s="4">
        <v>1501746.4868603116</v>
      </c>
      <c r="AK161" s="4">
        <v>1545937.8032878849</v>
      </c>
      <c r="AL161" s="4">
        <v>1590974.6034187912</v>
      </c>
      <c r="AM161" s="4">
        <v>1636859.9430646547</v>
      </c>
      <c r="AN161" s="4">
        <v>1683596.5757777384</v>
      </c>
      <c r="AO161" s="4">
        <v>1731186.9507399909</v>
      </c>
      <c r="AP161" s="4">
        <v>1779633.2109235753</v>
      </c>
      <c r="AQ161" s="4">
        <v>1828937.1915223137</v>
      </c>
      <c r="AR161" s="4">
        <v>1879100.4186531038</v>
      </c>
      <c r="AS161" s="4">
        <v>1930124.1083259892</v>
      </c>
      <c r="AT161" s="4">
        <v>1982009.1656812157</v>
      </c>
      <c r="AU161" s="4">
        <v>2034756.1844912414</v>
      </c>
      <c r="AV161" s="4">
        <v>2088365.4469253453</v>
      </c>
      <c r="AW161" s="4">
        <v>2142836.9235741426</v>
      </c>
      <c r="AX161" s="4">
        <v>2198170.2737310007</v>
      </c>
      <c r="AY161" s="4">
        <v>2254364.8459270494</v>
      </c>
      <c r="AZ161" s="4">
        <v>2311419.6787161864</v>
      </c>
      <c r="BA161" s="4">
        <v>2369333.5017061993</v>
      </c>
      <c r="BB161" s="4">
        <v>2428104.736831856</v>
      </c>
      <c r="BC161" s="4">
        <v>2487731.4998655743</v>
      </c>
      <c r="BD161" s="4">
        <v>2548211.6021610261</v>
      </c>
      <c r="BE161" s="4">
        <v>2609542.5526248151</v>
      </c>
      <c r="BF161" s="4">
        <v>2671721.5599111533</v>
      </c>
      <c r="BG161" s="4">
        <v>2734745.5348342471</v>
      </c>
      <c r="BH161" s="4">
        <v>2798611.0929929451</v>
      </c>
      <c r="BI161" s="4">
        <v>2863314.5576019883</v>
      </c>
      <c r="BJ161" s="4">
        <v>2928851.9625240797</v>
      </c>
      <c r="BK161" s="4">
        <v>2995219.0554968137</v>
      </c>
      <c r="BL161" s="4">
        <v>3062411.3015483911</v>
      </c>
      <c r="BM161" s="4">
        <v>3130423.886595909</v>
      </c>
      <c r="BN161" s="4">
        <v>3199251.7212199173</v>
      </c>
      <c r="BO161" s="4">
        <v>3268889.4446088304</v>
      </c>
      <c r="BP161" s="4">
        <v>3339331.4286666987</v>
      </c>
      <c r="BQ161" s="4">
        <v>3410571.7822777778</v>
      </c>
      <c r="BR161" s="4">
        <v>3482604.3557212665</v>
      </c>
      <c r="BS161" s="4">
        <v>3555422.7452295376</v>
      </c>
      <c r="BT161" s="4">
        <v>3629020.2976831594</v>
      </c>
      <c r="BU161" s="4">
        <v>3703390.1154359514</v>
      </c>
    </row>
    <row r="162" spans="1:73" x14ac:dyDescent="0.25">
      <c r="A162" s="3" t="s">
        <v>165</v>
      </c>
      <c r="B162" s="3" t="str">
        <f>VLOOKUP(A162,'storage capacity'!$A$2:$C$195,3,FALSE)</f>
        <v>Country specific</v>
      </c>
      <c r="C162" s="4">
        <v>2270140.3333333284</v>
      </c>
      <c r="D162" s="4">
        <v>2375389.8855828159</v>
      </c>
      <c r="E162" s="4">
        <v>2484417.7862031143</v>
      </c>
      <c r="F162" s="4">
        <v>2597309.6312707821</v>
      </c>
      <c r="G162" s="4">
        <v>2714151.0608134978</v>
      </c>
      <c r="H162" s="4">
        <v>2835027.6914858739</v>
      </c>
      <c r="I162" s="4">
        <v>2960025.0485437801</v>
      </c>
      <c r="J162" s="4">
        <v>3089228.4972135397</v>
      </c>
      <c r="K162" s="4">
        <v>3222723.1735533895</v>
      </c>
      <c r="L162" s="4">
        <v>3360593.9149053968</v>
      </c>
      <c r="M162" s="4">
        <v>3502925.1900366028</v>
      </c>
      <c r="N162" s="4">
        <v>3649801.0290685124</v>
      </c>
      <c r="O162" s="4">
        <v>3801304.9532941906</v>
      </c>
      <c r="P162" s="4">
        <v>3957519.9049821366</v>
      </c>
      <c r="Q162" s="4">
        <v>4118528.1772658085</v>
      </c>
      <c r="R162" s="4">
        <v>4284411.3442171616</v>
      </c>
      <c r="S162" s="4">
        <v>4455250.1912018489</v>
      </c>
      <c r="T162" s="4">
        <v>4631124.6456128042</v>
      </c>
      <c r="U162" s="4">
        <v>4812113.7080778228</v>
      </c>
      <c r="V162" s="4">
        <v>4998295.3842354454</v>
      </c>
      <c r="W162" s="4">
        <v>5189746.6171719562</v>
      </c>
      <c r="X162" s="4">
        <v>5386543.2206106428</v>
      </c>
      <c r="Y162" s="4">
        <v>5588759.8129426241</v>
      </c>
      <c r="Z162" s="4">
        <v>5796469.7521865508</v>
      </c>
      <c r="AA162" s="4">
        <v>6009745.0719623314</v>
      </c>
      <c r="AB162" s="4">
        <v>6228656.4185617147</v>
      </c>
      <c r="AC162" s="4">
        <v>6453272.9891961394</v>
      </c>
      <c r="AD162" s="4">
        <v>6683662.4714996703</v>
      </c>
      <c r="AE162" s="4">
        <v>6919890.9843621384</v>
      </c>
      <c r="AF162" s="4">
        <v>7162023.0201648213</v>
      </c>
      <c r="AG162" s="4">
        <v>7410121.3884880412</v>
      </c>
      <c r="AH162" s="4">
        <v>7664247.1613570852</v>
      </c>
      <c r="AI162" s="4">
        <v>7924459.6200897312</v>
      </c>
      <c r="AJ162" s="4">
        <v>8190816.2038055081</v>
      </c>
      <c r="AK162" s="4">
        <v>8463372.4596535396</v>
      </c>
      <c r="AL162" s="4">
        <v>8742181.9948125631</v>
      </c>
      <c r="AM162" s="4">
        <v>9027296.4303133208</v>
      </c>
      <c r="AN162" s="4">
        <v>9318765.3567301463</v>
      </c>
      <c r="AO162" s="4">
        <v>9616636.2917851228</v>
      </c>
      <c r="AP162" s="4">
        <v>9920954.6399047449</v>
      </c>
      <c r="AQ162" s="4">
        <v>10231763.653765539</v>
      </c>
      <c r="AR162" s="4">
        <v>10549104.397861611</v>
      </c>
      <c r="AS162" s="4">
        <v>10873015.714123612</v>
      </c>
      <c r="AT162" s="4">
        <v>11203534.189615142</v>
      </c>
      <c r="AU162" s="4">
        <v>11540694.126329131</v>
      </c>
      <c r="AV162" s="4">
        <v>11884527.513103336</v>
      </c>
      <c r="AW162" s="4">
        <v>12235063.999670621</v>
      </c>
      <c r="AX162" s="4">
        <v>12592330.872856393</v>
      </c>
      <c r="AY162" s="4">
        <v>12956353.034932153</v>
      </c>
      <c r="AZ162" s="4">
        <v>13327152.984130897</v>
      </c>
      <c r="BA162" s="4">
        <v>13704750.797326827</v>
      </c>
      <c r="BB162" s="4">
        <v>14089164.114878703</v>
      </c>
      <c r="BC162" s="4">
        <v>14480408.127633013</v>
      </c>
      <c r="BD162" s="4">
        <v>14878495.566080159</v>
      </c>
      <c r="BE162" s="4">
        <v>15283436.691653814</v>
      </c>
      <c r="BF162" s="4">
        <v>15695239.290160801</v>
      </c>
      <c r="BG162" s="4">
        <v>16113908.667325996</v>
      </c>
      <c r="BH162" s="4">
        <v>16539447.646434058</v>
      </c>
      <c r="BI162" s="4">
        <v>16971856.568047132</v>
      </c>
      <c r="BJ162" s="4">
        <v>17411133.291775201</v>
      </c>
      <c r="BK162" s="4">
        <v>17857273.200073216</v>
      </c>
      <c r="BL162" s="4">
        <v>18310269.20403694</v>
      </c>
      <c r="BM162" s="4">
        <v>18770111.751167025</v>
      </c>
      <c r="BN162" s="4">
        <v>19236788.835068848</v>
      </c>
      <c r="BO162" s="4">
        <v>19710286.007053483</v>
      </c>
      <c r="BP162" s="4">
        <v>20190586.389603358</v>
      </c>
      <c r="BQ162" s="4">
        <v>20677670.691664159</v>
      </c>
      <c r="BR162" s="4">
        <v>21171517.22572301</v>
      </c>
      <c r="BS162" s="4">
        <v>21672101.926631149</v>
      </c>
      <c r="BT162" s="4">
        <v>22179398.372127943</v>
      </c>
      <c r="BU162" s="4">
        <v>22693377.805021603</v>
      </c>
    </row>
    <row r="163" spans="1:73" x14ac:dyDescent="0.25">
      <c r="A163" s="3" t="s">
        <v>166</v>
      </c>
      <c r="B163" s="3" t="str">
        <f>VLOOKUP(A163,'storage capacity'!$A$2:$C$195,3,FALSE)</f>
        <v>Sub-saharan africa</v>
      </c>
      <c r="C163" s="4">
        <v>7957.6666666666861</v>
      </c>
      <c r="D163" s="4">
        <v>7957.6666666666861</v>
      </c>
      <c r="E163" s="4">
        <v>7957.6666666666861</v>
      </c>
      <c r="F163" s="4">
        <v>7957.6666666666861</v>
      </c>
      <c r="G163" s="4">
        <v>7957.6666666666861</v>
      </c>
      <c r="H163" s="4">
        <v>7957.6666666666861</v>
      </c>
      <c r="I163" s="4">
        <v>7957.6666666666861</v>
      </c>
      <c r="J163" s="4">
        <v>7957.6666666666861</v>
      </c>
      <c r="K163" s="4">
        <v>7957.6666666666861</v>
      </c>
      <c r="L163" s="4">
        <v>7957.6666666666861</v>
      </c>
      <c r="M163" s="4">
        <v>7957.6666666666861</v>
      </c>
      <c r="N163" s="4">
        <v>7957.6666666666861</v>
      </c>
      <c r="O163" s="4">
        <v>7957.6666666666861</v>
      </c>
      <c r="P163" s="4">
        <v>7957.6666666666861</v>
      </c>
      <c r="Q163" s="4">
        <v>7957.6666666666861</v>
      </c>
      <c r="R163" s="4">
        <v>7957.6666666666861</v>
      </c>
      <c r="S163" s="4">
        <v>7957.6666666666861</v>
      </c>
      <c r="T163" s="4">
        <v>7957.6666666666861</v>
      </c>
      <c r="U163" s="4">
        <v>7957.6666666666861</v>
      </c>
      <c r="V163" s="4">
        <v>7957.6666666666861</v>
      </c>
      <c r="W163" s="4">
        <v>7957.6666666666861</v>
      </c>
      <c r="X163" s="4">
        <v>7957.6666666666861</v>
      </c>
      <c r="Y163" s="4">
        <v>7957.6666666666861</v>
      </c>
      <c r="Z163" s="4">
        <v>7957.6666666666861</v>
      </c>
      <c r="AA163" s="4">
        <v>7957.6666666666861</v>
      </c>
      <c r="AB163" s="4">
        <v>7957.6666666666861</v>
      </c>
      <c r="AC163" s="4">
        <v>7957.6666666666861</v>
      </c>
      <c r="AD163" s="4">
        <v>7957.6666666666861</v>
      </c>
      <c r="AE163" s="4">
        <v>7957.6666666666861</v>
      </c>
      <c r="AF163" s="4">
        <v>7957.6666666666861</v>
      </c>
      <c r="AG163" s="4">
        <v>7957.6666666666861</v>
      </c>
      <c r="AH163" s="4">
        <v>7957.6666666666861</v>
      </c>
      <c r="AI163" s="4">
        <v>7957.6666666666861</v>
      </c>
      <c r="AJ163" s="4">
        <v>7957.6666666666861</v>
      </c>
      <c r="AK163" s="4">
        <v>7957.6666666666861</v>
      </c>
      <c r="AL163" s="4">
        <v>7957.6666666666861</v>
      </c>
      <c r="AM163" s="4">
        <v>7957.6666666666861</v>
      </c>
      <c r="AN163" s="4">
        <v>7957.6666666666861</v>
      </c>
      <c r="AO163" s="4">
        <v>7957.6666666666861</v>
      </c>
      <c r="AP163" s="4">
        <v>7957.6666666666861</v>
      </c>
      <c r="AQ163" s="4">
        <v>7957.6666666666861</v>
      </c>
      <c r="AR163" s="4">
        <v>7957.6666666666861</v>
      </c>
      <c r="AS163" s="4">
        <v>7957.6666666666861</v>
      </c>
      <c r="AT163" s="4">
        <v>7957.6666666666861</v>
      </c>
      <c r="AU163" s="4">
        <v>7957.6666666666861</v>
      </c>
      <c r="AV163" s="4">
        <v>7957.6666666666861</v>
      </c>
      <c r="AW163" s="4">
        <v>7957.6666666666861</v>
      </c>
      <c r="AX163" s="4">
        <v>7957.6666666666861</v>
      </c>
      <c r="AY163" s="4">
        <v>7957.6666666666861</v>
      </c>
      <c r="AZ163" s="4">
        <v>7957.6666666666861</v>
      </c>
      <c r="BA163" s="4">
        <v>7957.6666666666861</v>
      </c>
      <c r="BB163" s="4">
        <v>7957.6666666666861</v>
      </c>
      <c r="BC163" s="4">
        <v>7957.6666666666861</v>
      </c>
      <c r="BD163" s="4">
        <v>7957.6666666666861</v>
      </c>
      <c r="BE163" s="4">
        <v>7957.6666666666861</v>
      </c>
      <c r="BF163" s="4">
        <v>7957.6666666666861</v>
      </c>
      <c r="BG163" s="4">
        <v>7957.6666666666861</v>
      </c>
      <c r="BH163" s="4">
        <v>7957.6666666666861</v>
      </c>
      <c r="BI163" s="4">
        <v>7957.6666666666861</v>
      </c>
      <c r="BJ163" s="4">
        <v>7957.6666666666861</v>
      </c>
      <c r="BK163" s="4">
        <v>7957.6666666666861</v>
      </c>
      <c r="BL163" s="4">
        <v>7957.6666666666861</v>
      </c>
      <c r="BM163" s="4">
        <v>7957.6666666666861</v>
      </c>
      <c r="BN163" s="4">
        <v>7957.6666666666861</v>
      </c>
      <c r="BO163" s="4">
        <v>7957.6666666666861</v>
      </c>
      <c r="BP163" s="4">
        <v>7957.6666666666861</v>
      </c>
      <c r="BQ163" s="4">
        <v>7957.6666666666861</v>
      </c>
      <c r="BR163" s="4">
        <v>7957.6666666666861</v>
      </c>
      <c r="BS163" s="4">
        <v>7957.6666666666861</v>
      </c>
      <c r="BT163" s="4">
        <v>7957.6666666666861</v>
      </c>
      <c r="BU163" s="4">
        <v>7957.6666666666861</v>
      </c>
    </row>
    <row r="164" spans="1:73" x14ac:dyDescent="0.25">
      <c r="A164" s="3" t="s">
        <v>167</v>
      </c>
      <c r="B164" s="3" t="str">
        <f>VLOOKUP(A164,'storage capacity'!$A$2:$C$195,3,FALSE)</f>
        <v>Country specific</v>
      </c>
      <c r="C164" s="4">
        <v>2268578.2666666508</v>
      </c>
      <c r="D164" s="4">
        <v>2394643.0434024013</v>
      </c>
      <c r="E164" s="4">
        <v>2526382.5313510327</v>
      </c>
      <c r="F164" s="4">
        <v>2663979.6978848665</v>
      </c>
      <c r="G164" s="4">
        <v>2807620.0583797703</v>
      </c>
      <c r="H164" s="4">
        <v>2957491.5765682184</v>
      </c>
      <c r="I164" s="4">
        <v>3113784.5599346925</v>
      </c>
      <c r="J164" s="4">
        <v>3276691.5502590374</v>
      </c>
      <c r="K164" s="4">
        <v>3446407.2094240556</v>
      </c>
      <c r="L164" s="4">
        <v>3623128.2006139988</v>
      </c>
      <c r="M164" s="4">
        <v>3807053.0650407029</v>
      </c>
      <c r="N164" s="4">
        <v>3998382.0943438546</v>
      </c>
      <c r="O164" s="4">
        <v>4197317.1988212802</v>
      </c>
      <c r="P164" s="4">
        <v>4404061.7716541411</v>
      </c>
      <c r="Q164" s="4">
        <v>4618820.5493005402</v>
      </c>
      <c r="R164" s="4">
        <v>4841799.4682391938</v>
      </c>
      <c r="S164" s="4">
        <v>5073205.5182525739</v>
      </c>
      <c r="T164" s="4">
        <v>5313246.5924461586</v>
      </c>
      <c r="U164" s="4">
        <v>5562131.3342072265</v>
      </c>
      <c r="V164" s="4">
        <v>5820068.9813128915</v>
      </c>
      <c r="W164" s="4">
        <v>6087269.2074028458</v>
      </c>
      <c r="X164" s="4">
        <v>6363941.9610375166</v>
      </c>
      <c r="Y164" s="4">
        <v>6650297.3025670676</v>
      </c>
      <c r="Z164" s="4">
        <v>6946545.2390408292</v>
      </c>
      <c r="AA164" s="4">
        <v>7252895.5573903844</v>
      </c>
      <c r="AB164" s="4">
        <v>7569557.6561226062</v>
      </c>
      <c r="AC164" s="4">
        <v>7896740.3757614838</v>
      </c>
      <c r="AD164" s="4">
        <v>8234651.8282795362</v>
      </c>
      <c r="AE164" s="4">
        <v>8583499.2257610559</v>
      </c>
      <c r="AF164" s="4">
        <v>8943488.7085402943</v>
      </c>
      <c r="AG164" s="4">
        <v>9314825.1730580609</v>
      </c>
      <c r="AH164" s="4">
        <v>9697712.0996799804</v>
      </c>
      <c r="AI164" s="4">
        <v>10092351.380718974</v>
      </c>
      <c r="AJ164" s="4">
        <v>10498943.148903262</v>
      </c>
      <c r="AK164" s="4">
        <v>10917685.606529428</v>
      </c>
      <c r="AL164" s="4">
        <v>11348774.855537891</v>
      </c>
      <c r="AM164" s="4">
        <v>11792404.728745351</v>
      </c>
      <c r="AN164" s="4">
        <v>12248766.622465609</v>
      </c>
      <c r="AO164" s="4">
        <v>12718049.330746518</v>
      </c>
      <c r="AP164" s="4">
        <v>13200438.881446745</v>
      </c>
      <c r="AQ164" s="4">
        <v>13696118.374371482</v>
      </c>
      <c r="AR164" s="4">
        <v>14205267.821681416</v>
      </c>
      <c r="AS164" s="4">
        <v>14728063.990783909</v>
      </c>
      <c r="AT164" s="4">
        <v>15264680.249909757</v>
      </c>
      <c r="AU164" s="4">
        <v>15815286.416572845</v>
      </c>
      <c r="AV164" s="4">
        <v>16380048.609103791</v>
      </c>
      <c r="AW164" s="4">
        <v>16959129.101441983</v>
      </c>
      <c r="AX164" s="4">
        <v>17552686.18136356</v>
      </c>
      <c r="AY164" s="4">
        <v>18160874.012315743</v>
      </c>
      <c r="AZ164" s="4">
        <v>18783842.499020565</v>
      </c>
      <c r="BA164" s="4">
        <v>19421737.157003392</v>
      </c>
      <c r="BB164" s="4">
        <v>20074698.98619391</v>
      </c>
      <c r="BC164" s="4">
        <v>20742864.348739251</v>
      </c>
      <c r="BD164" s="4">
        <v>21426364.851160862</v>
      </c>
      <c r="BE164" s="4">
        <v>22125327.230978481</v>
      </c>
      <c r="BF164" s="4">
        <v>22839873.24791624</v>
      </c>
      <c r="BG164" s="4">
        <v>23570119.579797532</v>
      </c>
      <c r="BH164" s="4">
        <v>24316177.723226748</v>
      </c>
      <c r="BI164" s="4">
        <v>25078153.899147566</v>
      </c>
      <c r="BJ164" s="4">
        <v>25856148.963358819</v>
      </c>
      <c r="BK164" s="4">
        <v>26650258.322060496</v>
      </c>
      <c r="BL164" s="4">
        <v>27460571.852493919</v>
      </c>
      <c r="BM164" s="4">
        <v>28287173.828731604</v>
      </c>
      <c r="BN164" s="4">
        <v>29130142.852663852</v>
      </c>
      <c r="BO164" s="4">
        <v>29989551.790220909</v>
      </c>
      <c r="BP164" s="4">
        <v>30865467.712860961</v>
      </c>
      <c r="BQ164" s="4">
        <v>31757951.844346408</v>
      </c>
      <c r="BR164" s="4">
        <v>32667059.512822475</v>
      </c>
      <c r="BS164" s="4">
        <v>33592840.108204558</v>
      </c>
      <c r="BT164" s="4">
        <v>34535337.044872642</v>
      </c>
      <c r="BU164" s="4">
        <v>35494587.729663834</v>
      </c>
    </row>
    <row r="165" spans="1:73" x14ac:dyDescent="0.25">
      <c r="A165" s="3" t="s">
        <v>168</v>
      </c>
      <c r="B165" s="3" t="str">
        <f>VLOOKUP(A165,'storage capacity'!$A$2:$C$195,3,FALSE)</f>
        <v>Other Asia pacific</v>
      </c>
      <c r="C165" s="4">
        <v>70772.666666666511</v>
      </c>
      <c r="D165" s="4">
        <v>73854.542190216525</v>
      </c>
      <c r="E165" s="4">
        <v>77038.460663735925</v>
      </c>
      <c r="F165" s="4">
        <v>80326.428188773891</v>
      </c>
      <c r="G165" s="4">
        <v>83720.441752406696</v>
      </c>
      <c r="H165" s="4">
        <v>87222.487567904609</v>
      </c>
      <c r="I165" s="4">
        <v>90834.53941329231</v>
      </c>
      <c r="J165" s="4">
        <v>94558.556970149075</v>
      </c>
      <c r="K165" s="4">
        <v>98396.484164986396</v>
      </c>
      <c r="L165" s="4">
        <v>102350.24751552772</v>
      </c>
      <c r="M165" s="4">
        <v>106421.75448419669</v>
      </c>
      <c r="N165" s="4">
        <v>110612.89184109759</v>
      </c>
      <c r="O165" s="4">
        <v>114925.52403874396</v>
      </c>
      <c r="P165" s="4">
        <v>119361.49160075966</v>
      </c>
      <c r="Q165" s="4">
        <v>123922.60952674029</v>
      </c>
      <c r="R165" s="4">
        <v>128610.66571542219</v>
      </c>
      <c r="S165" s="4">
        <v>133427.41940826227</v>
      </c>
      <c r="T165" s="4">
        <v>138374.59965548312</v>
      </c>
      <c r="U165" s="4">
        <v>143453.90380658631</v>
      </c>
      <c r="V165" s="4">
        <v>148666.99602728133</v>
      </c>
      <c r="W165" s="4">
        <v>154015.50584471895</v>
      </c>
      <c r="X165" s="4">
        <v>159501.0267228563</v>
      </c>
      <c r="Y165" s="4">
        <v>165125.11466971645</v>
      </c>
      <c r="Z165" s="4">
        <v>170889.28687823756</v>
      </c>
      <c r="AA165" s="4">
        <v>176795.02040233847</v>
      </c>
      <c r="AB165" s="4">
        <v>182843.75086975427</v>
      </c>
      <c r="AC165" s="4">
        <v>189036.8712331226</v>
      </c>
      <c r="AD165" s="4">
        <v>195375.73056072567</v>
      </c>
      <c r="AE165" s="4">
        <v>201861.63286821565</v>
      </c>
      <c r="AF165" s="4">
        <v>208495.83599257277</v>
      </c>
      <c r="AG165" s="4">
        <v>215279.5505094656</v>
      </c>
      <c r="AH165" s="4">
        <v>222213.93869510261</v>
      </c>
      <c r="AI165" s="4">
        <v>229300.11353358268</v>
      </c>
      <c r="AJ165" s="4">
        <v>236539.13777066994</v>
      </c>
      <c r="AK165" s="4">
        <v>243932.02301483674</v>
      </c>
      <c r="AL165" s="4">
        <v>251479.72888633524</v>
      </c>
      <c r="AM165" s="4">
        <v>259183.16221497682</v>
      </c>
      <c r="AN165" s="4">
        <v>267043.17628721514</v>
      </c>
      <c r="AO165" s="4">
        <v>275060.57014304766</v>
      </c>
      <c r="AP165" s="4">
        <v>283236.08792316902</v>
      </c>
      <c r="AQ165" s="4">
        <v>291570.41826672858</v>
      </c>
      <c r="AR165" s="4">
        <v>300064.19375996618</v>
      </c>
      <c r="AS165" s="4">
        <v>308717.99043591955</v>
      </c>
      <c r="AT165" s="4">
        <v>317532.32732532092</v>
      </c>
      <c r="AU165" s="4">
        <v>326507.66605872387</v>
      </c>
      <c r="AV165" s="4">
        <v>335644.41051982623</v>
      </c>
      <c r="AW165" s="4">
        <v>344942.90654988191</v>
      </c>
      <c r="AX165" s="4">
        <v>354403.44170302397</v>
      </c>
      <c r="AY165" s="4">
        <v>364026.24505224935</v>
      </c>
      <c r="AZ165" s="4">
        <v>373811.48704575049</v>
      </c>
      <c r="BA165" s="4">
        <v>383759.27941321151</v>
      </c>
      <c r="BB165" s="4">
        <v>393869.67512162274</v>
      </c>
      <c r="BC165" s="4">
        <v>404142.66838010721</v>
      </c>
      <c r="BD165" s="4">
        <v>414578.19469319086</v>
      </c>
      <c r="BE165" s="4">
        <v>425176.13096189394</v>
      </c>
      <c r="BF165" s="4">
        <v>435936.29563196341</v>
      </c>
      <c r="BG165" s="4">
        <v>446858.44888851483</v>
      </c>
      <c r="BH165" s="4">
        <v>457942.29289630312</v>
      </c>
      <c r="BI165" s="4">
        <v>469187.47208479122</v>
      </c>
      <c r="BJ165" s="4">
        <v>480593.57347714319</v>
      </c>
      <c r="BK165" s="4">
        <v>492160.1270622235</v>
      </c>
      <c r="BL165" s="4">
        <v>503886.60620864545</v>
      </c>
      <c r="BM165" s="4">
        <v>515772.42811987217</v>
      </c>
      <c r="BN165" s="4">
        <v>527816.95432934084</v>
      </c>
      <c r="BO165" s="4">
        <v>540019.49123454501</v>
      </c>
      <c r="BP165" s="4">
        <v>552379.29066898173</v>
      </c>
      <c r="BQ165" s="4">
        <v>564895.55051084235</v>
      </c>
      <c r="BR165" s="4">
        <v>577567.41532729915</v>
      </c>
      <c r="BS165" s="4">
        <v>590393.97705321712</v>
      </c>
      <c r="BT165" s="4">
        <v>603374.275703102</v>
      </c>
      <c r="BU165" s="4">
        <v>616507.30011507438</v>
      </c>
    </row>
    <row r="166" spans="1:73" ht="26.25" x14ac:dyDescent="0.25">
      <c r="A166" s="3" t="s">
        <v>169</v>
      </c>
      <c r="B166" s="3" t="str">
        <f>VLOOKUP(A166,'storage capacity'!$A$2:$C$195,3,FALSE)</f>
        <v>Other latin america</v>
      </c>
      <c r="C166" s="4">
        <v>1588.1999999999825</v>
      </c>
      <c r="D166" s="4">
        <v>1663.974361445765</v>
      </c>
      <c r="E166" s="4">
        <v>1742.5700853808492</v>
      </c>
      <c r="F166" s="4">
        <v>1824.055097972413</v>
      </c>
      <c r="G166" s="4">
        <v>1908.4975099787966</v>
      </c>
      <c r="H166" s="4">
        <v>1995.9655650269297</v>
      </c>
      <c r="I166" s="4">
        <v>2086.5275871166068</v>
      </c>
      <c r="J166" s="4">
        <v>2180.2519274252027</v>
      </c>
      <c r="K166" s="4">
        <v>2277.2069104877496</v>
      </c>
      <c r="L166" s="4">
        <v>2377.4607798284478</v>
      </c>
      <c r="M166" s="4">
        <v>2481.0816431206549</v>
      </c>
      <c r="N166" s="4">
        <v>2588.137416953185</v>
      </c>
      <c r="O166" s="4">
        <v>2698.6957712813664</v>
      </c>
      <c r="P166" s="4">
        <v>2812.8240736417433</v>
      </c>
      <c r="Q166" s="4">
        <v>2930.5893332095525</v>
      </c>
      <c r="R166" s="4">
        <v>3052.0581447782042</v>
      </c>
      <c r="S166" s="4">
        <v>3177.2966327398817</v>
      </c>
      <c r="T166" s="4">
        <v>3306.3703951461348</v>
      </c>
      <c r="U166" s="4">
        <v>3439.3444479268874</v>
      </c>
      <c r="V166" s="4">
        <v>3576.2831693456983</v>
      </c>
      <c r="W166" s="4">
        <v>3717.2502447683519</v>
      </c>
      <c r="X166" s="4">
        <v>3862.3086118209417</v>
      </c>
      <c r="Y166" s="4">
        <v>4011.5204060125438</v>
      </c>
      <c r="Z166" s="4">
        <v>4164.9469068963772</v>
      </c>
      <c r="AA166" s="4">
        <v>4322.6484848419732</v>
      </c>
      <c r="AB166" s="4">
        <v>4484.6845484894166</v>
      </c>
      <c r="AC166" s="4">
        <v>4651.1134929550826</v>
      </c>
      <c r="AD166" s="4">
        <v>4821.992648856567</v>
      </c>
      <c r="AE166" s="4">
        <v>4997.3782322226489</v>
      </c>
      <c r="AF166" s="4">
        <v>5177.3252953521396</v>
      </c>
      <c r="AG166" s="4">
        <v>5361.8876786834444</v>
      </c>
      <c r="AH166" s="4">
        <v>5551.1179637344458</v>
      </c>
      <c r="AI166" s="4">
        <v>5745.0674271701027</v>
      </c>
      <c r="AJ166" s="4">
        <v>5943.7859960527921</v>
      </c>
      <c r="AK166" s="4">
        <v>6147.3222043280293</v>
      </c>
      <c r="AL166" s="4">
        <v>6355.7231505957025</v>
      </c>
      <c r="AM166" s="4">
        <v>6569.0344572144268</v>
      </c>
      <c r="AN166" s="4">
        <v>6787.3002307840152</v>
      </c>
      <c r="AO166" s="4">
        <v>7010.5630240484343</v>
      </c>
      <c r="AP166" s="4">
        <v>7238.863799258912</v>
      </c>
      <c r="AQ166" s="4">
        <v>7472.2418930341719</v>
      </c>
      <c r="AR166" s="4">
        <v>7710.7349827519893</v>
      </c>
      <c r="AS166" s="4">
        <v>7954.3790545035536</v>
      </c>
      <c r="AT166" s="4">
        <v>8203.208372639303</v>
      </c>
      <c r="AU166" s="4">
        <v>8457.2554509321471</v>
      </c>
      <c r="AV166" s="4">
        <v>8716.5510253811881</v>
      </c>
      <c r="AW166" s="4">
        <v>8981.1240286763132</v>
      </c>
      <c r="AX166" s="4">
        <v>9251.0015663412396</v>
      </c>
      <c r="AY166" s="4">
        <v>9526.2088945698706</v>
      </c>
      <c r="AZ166" s="4">
        <v>9806.7693997680872</v>
      </c>
      <c r="BA166" s="4">
        <v>10092.704579810423</v>
      </c>
      <c r="BB166" s="4">
        <v>10384.034027018422</v>
      </c>
      <c r="BC166" s="4">
        <v>10680.77541286485</v>
      </c>
      <c r="BD166" s="4">
        <v>10982.944474405342</v>
      </c>
      <c r="BE166" s="4">
        <v>11290.555002436593</v>
      </c>
      <c r="BF166" s="4">
        <v>11603.618831377684</v>
      </c>
      <c r="BG166" s="4">
        <v>11922.145830868736</v>
      </c>
      <c r="BH166" s="4">
        <v>12246.143899078721</v>
      </c>
      <c r="BI166" s="4">
        <v>12575.61895771198</v>
      </c>
      <c r="BJ166" s="4">
        <v>12910.574948700772</v>
      </c>
      <c r="BK166" s="4">
        <v>13251.013832568986</v>
      </c>
      <c r="BL166" s="4">
        <v>13596.935588450091</v>
      </c>
      <c r="BM166" s="4">
        <v>13948.33821574043</v>
      </c>
      <c r="BN166" s="4">
        <v>14305.217737366898</v>
      </c>
      <c r="BO166" s="4">
        <v>14667.568204646341</v>
      </c>
      <c r="BP166" s="4">
        <v>15035.381703712108</v>
      </c>
      <c r="BQ166" s="4">
        <v>15408.648363481592</v>
      </c>
      <c r="BR166" s="4">
        <v>15787.356365136882</v>
      </c>
      <c r="BS166" s="4">
        <v>16171.491953089189</v>
      </c>
      <c r="BT166" s="4">
        <v>16561.039447396222</v>
      </c>
      <c r="BU166" s="4">
        <v>16955.981257600353</v>
      </c>
    </row>
    <row r="167" spans="1:73" x14ac:dyDescent="0.25">
      <c r="A167" s="3" t="s">
        <v>170</v>
      </c>
      <c r="B167" s="3" t="str">
        <f>VLOOKUP(A167,'storage capacity'!$A$2:$C$195,3,FALSE)</f>
        <v>Middle east</v>
      </c>
      <c r="C167" s="4">
        <v>17590.733333333337</v>
      </c>
      <c r="D167" s="4">
        <v>18257.069241982761</v>
      </c>
      <c r="E167" s="4">
        <v>18941.73014759627</v>
      </c>
      <c r="F167" s="4">
        <v>19644.963252833604</v>
      </c>
      <c r="G167" s="4">
        <v>20367.011266340618</v>
      </c>
      <c r="H167" s="4">
        <v>21108.112190699787</v>
      </c>
      <c r="I167" s="4">
        <v>21868.499114383514</v>
      </c>
      <c r="J167" s="4">
        <v>22648.400007972097</v>
      </c>
      <c r="K167" s="4">
        <v>23448.037524888918</v>
      </c>
      <c r="L167" s="4">
        <v>24267.628806896082</v>
      </c>
      <c r="M167" s="4">
        <v>25107.385294583637</v>
      </c>
      <c r="N167" s="4">
        <v>25967.512543075518</v>
      </c>
      <c r="O167" s="4">
        <v>26848.210043164687</v>
      </c>
      <c r="P167" s="4">
        <v>27749.671048079355</v>
      </c>
      <c r="Q167" s="4">
        <v>28672.08240607108</v>
      </c>
      <c r="R167" s="4">
        <v>29615.62439900438</v>
      </c>
      <c r="S167" s="4">
        <v>30580.470587116237</v>
      </c>
      <c r="T167" s="4">
        <v>31566.787660102258</v>
      </c>
      <c r="U167" s="4">
        <v>32574.735294674785</v>
      </c>
      <c r="V167" s="4">
        <v>33604.466018726467</v>
      </c>
      <c r="W167" s="4">
        <v>34656.125082221151</v>
      </c>
      <c r="X167" s="4">
        <v>35729.850334922172</v>
      </c>
      <c r="Y167" s="4">
        <v>36825.772111056336</v>
      </c>
      <c r="Z167" s="4">
        <v>37944.013121000193</v>
      </c>
      <c r="AA167" s="4">
        <v>39084.688350063516</v>
      </c>
      <c r="AB167" s="4">
        <v>40247.904964433277</v>
      </c>
      <c r="AC167" s="4">
        <v>41433.762224329956</v>
      </c>
      <c r="AD167" s="4">
        <v>42642.351404416579</v>
      </c>
      <c r="AE167" s="4">
        <v>43873.755721489702</v>
      </c>
      <c r="AF167" s="4">
        <v>45128.050269470419</v>
      </c>
      <c r="AG167" s="4">
        <v>46405.301961702651</v>
      </c>
      <c r="AH167" s="4">
        <v>47705.569480555285</v>
      </c>
      <c r="AI167" s="4">
        <v>49028.903234314159</v>
      </c>
      <c r="AJ167" s="4">
        <v>50375.345321339861</v>
      </c>
      <c r="AK167" s="4">
        <v>51744.929501457067</v>
      </c>
      <c r="AL167" s="4">
        <v>53137.681174531746</v>
      </c>
      <c r="AM167" s="4">
        <v>54553.617366182822</v>
      </c>
      <c r="AN167" s="4">
        <v>55992.746720565956</v>
      </c>
      <c r="AO167" s="4">
        <v>57455.069500158148</v>
      </c>
      <c r="AP167" s="4">
        <v>58940.577592463458</v>
      </c>
      <c r="AQ167" s="4">
        <v>60449.254523551797</v>
      </c>
      <c r="AR167" s="4">
        <v>61981.075478334962</v>
      </c>
      <c r="AS167" s="4">
        <v>63536.007327476487</v>
      </c>
      <c r="AT167" s="4">
        <v>65114.008660824802</v>
      </c>
      <c r="AU167" s="4">
        <v>66715.029827252118</v>
      </c>
      <c r="AV167" s="4">
        <v>68339.012980775238</v>
      </c>
      <c r="AW167" s="4">
        <v>69985.89213282807</v>
      </c>
      <c r="AX167" s="4">
        <v>71655.593210550083</v>
      </c>
      <c r="AY167" s="4">
        <v>73348.034120949233</v>
      </c>
      <c r="AZ167" s="4">
        <v>75063.124820793135</v>
      </c>
      <c r="BA167" s="4">
        <v>76800.767392077105</v>
      </c>
      <c r="BB167" s="4">
        <v>78560.856122913887</v>
      </c>
      <c r="BC167" s="4">
        <v>80343.277593685343</v>
      </c>
      <c r="BD167" s="4">
        <v>82147.910768292946</v>
      </c>
      <c r="BE167" s="4">
        <v>83974.62709034064</v>
      </c>
      <c r="BF167" s="4">
        <v>85823.290584080663</v>
      </c>
      <c r="BG167" s="4">
        <v>87693.757959950017</v>
      </c>
      <c r="BH167" s="4">
        <v>89585.878724523427</v>
      </c>
      <c r="BI167" s="4">
        <v>91499.495294706139</v>
      </c>
      <c r="BJ167" s="4">
        <v>93434.443115988834</v>
      </c>
      <c r="BK167" s="4">
        <v>95390.550784584892</v>
      </c>
      <c r="BL167" s="4">
        <v>97367.640173269916</v>
      </c>
      <c r="BM167" s="4">
        <v>99365.526560742073</v>
      </c>
      <c r="BN167" s="4">
        <v>101384.01876432193</v>
      </c>
      <c r="BO167" s="4">
        <v>103422.91927580962</v>
      </c>
      <c r="BP167" s="4">
        <v>105482.02440031822</v>
      </c>
      <c r="BQ167" s="4">
        <v>107561.12439790132</v>
      </c>
      <c r="BR167" s="4">
        <v>109660.00362779491</v>
      </c>
      <c r="BS167" s="4">
        <v>111778.44069509312</v>
      </c>
      <c r="BT167" s="4">
        <v>113916.2085996797</v>
      </c>
      <c r="BU167" s="4">
        <v>116073.07488723742</v>
      </c>
    </row>
    <row r="168" spans="1:73" x14ac:dyDescent="0.25">
      <c r="A168" s="3" t="s">
        <v>171</v>
      </c>
      <c r="B168" s="3" t="str">
        <f>VLOOKUP(A168,'storage capacity'!$A$2:$C$195,3,FALSE)</f>
        <v>Middle east</v>
      </c>
      <c r="C168" s="4">
        <v>41771.466666666791</v>
      </c>
      <c r="D168" s="4">
        <v>43955.033060871901</v>
      </c>
      <c r="E168" s="4">
        <v>46229.766348923768</v>
      </c>
      <c r="F168" s="4">
        <v>48598.295668067993</v>
      </c>
      <c r="G168" s="4">
        <v>51063.275101636107</v>
      </c>
      <c r="H168" s="4">
        <v>53627.381969866874</v>
      </c>
      <c r="I168" s="4">
        <v>56293.315065205417</v>
      </c>
      <c r="J168" s="4">
        <v>59063.792834292624</v>
      </c>
      <c r="K168" s="4">
        <v>61941.551508971505</v>
      </c>
      <c r="L168" s="4">
        <v>64929.343188746127</v>
      </c>
      <c r="M168" s="4">
        <v>68029.933877231277</v>
      </c>
      <c r="N168" s="4">
        <v>71246.101475227537</v>
      </c>
      <c r="O168" s="4">
        <v>74580.633733146169</v>
      </c>
      <c r="P168" s="4">
        <v>78036.326165591818</v>
      </c>
      <c r="Q168" s="4">
        <v>81615.979930987218</v>
      </c>
      <c r="R168" s="4">
        <v>85322.399679193681</v>
      </c>
      <c r="S168" s="4">
        <v>89158.391370143261</v>
      </c>
      <c r="T168" s="4">
        <v>93126.760066553994</v>
      </c>
      <c r="U168" s="4">
        <v>97230.30770384708</v>
      </c>
      <c r="V168" s="4">
        <v>101471.83084042562</v>
      </c>
      <c r="W168" s="4">
        <v>105854.11839150764</v>
      </c>
      <c r="X168" s="4">
        <v>110379.94934973183</v>
      </c>
      <c r="Y168" s="4">
        <v>115052.09049577315</v>
      </c>
      <c r="Z168" s="4">
        <v>119873.29410221628</v>
      </c>
      <c r="AA168" s="4">
        <v>124846.29563393924</v>
      </c>
      <c r="AB168" s="4">
        <v>129973.81144825586</v>
      </c>
      <c r="AC168" s="4">
        <v>135258.5364980562</v>
      </c>
      <c r="AD168" s="4">
        <v>140703.14204116617</v>
      </c>
      <c r="AE168" s="4">
        <v>146310.2733591242</v>
      </c>
      <c r="AF168" s="4">
        <v>152082.5474885421</v>
      </c>
      <c r="AG168" s="4">
        <v>158022.5509681805</v>
      </c>
      <c r="AH168" s="4">
        <v>164132.83760482573</v>
      </c>
      <c r="AI168" s="4">
        <v>170415.92626100648</v>
      </c>
      <c r="AJ168" s="4">
        <v>176874.29866753254</v>
      </c>
      <c r="AK168" s="4">
        <v>183510.39726377872</v>
      </c>
      <c r="AL168" s="4">
        <v>190326.62306856978</v>
      </c>
      <c r="AM168" s="4">
        <v>197325.33358445202</v>
      </c>
      <c r="AN168" s="4">
        <v>204508.8407380615</v>
      </c>
      <c r="AO168" s="4">
        <v>211879.40885921766</v>
      </c>
      <c r="AP168" s="4">
        <v>219439.25270128757</v>
      </c>
      <c r="AQ168" s="4">
        <v>227190.53550527664</v>
      </c>
      <c r="AR168" s="4">
        <v>235135.36711000974</v>
      </c>
      <c r="AS168" s="4">
        <v>243275.80211067075</v>
      </c>
      <c r="AT168" s="4">
        <v>251613.83806786966</v>
      </c>
      <c r="AU168" s="4">
        <v>260151.41376930533</v>
      </c>
      <c r="AV168" s="4">
        <v>268890.40754598682</v>
      </c>
      <c r="AW168" s="4">
        <v>277832.63564487046</v>
      </c>
      <c r="AX168" s="4">
        <v>286979.85065966152</v>
      </c>
      <c r="AY168" s="4">
        <v>296333.74002141907</v>
      </c>
      <c r="AZ168" s="4">
        <v>305895.92455049034</v>
      </c>
      <c r="BA168" s="4">
        <v>315667.95707119122</v>
      </c>
      <c r="BB168" s="4">
        <v>325651.32109053241</v>
      </c>
      <c r="BC168" s="4">
        <v>335847.42954217992</v>
      </c>
      <c r="BD168" s="4">
        <v>346257.62359672348</v>
      </c>
      <c r="BE168" s="4">
        <v>356883.17153921188</v>
      </c>
      <c r="BF168" s="4">
        <v>367725.26771480107</v>
      </c>
      <c r="BG168" s="4">
        <v>378785.0315432474</v>
      </c>
      <c r="BH168" s="4">
        <v>390063.50660286535</v>
      </c>
      <c r="BI168" s="4">
        <v>401561.65978445794</v>
      </c>
      <c r="BJ168" s="4">
        <v>413280.38051561732</v>
      </c>
      <c r="BK168" s="4">
        <v>425220.48005568323</v>
      </c>
      <c r="BL168" s="4">
        <v>437382.69086154102</v>
      </c>
      <c r="BM168" s="4">
        <v>449767.66602433391</v>
      </c>
      <c r="BN168" s="4">
        <v>462375.97877706011</v>
      </c>
      <c r="BO168" s="4">
        <v>475208.12207292602</v>
      </c>
      <c r="BP168" s="4">
        <v>488264.50823422341</v>
      </c>
      <c r="BQ168" s="4">
        <v>501545.46867140592</v>
      </c>
      <c r="BR168" s="4">
        <v>515051.25367194304</v>
      </c>
      <c r="BS168" s="4">
        <v>528782.03225843783</v>
      </c>
      <c r="BT168" s="4">
        <v>542737.89211540879</v>
      </c>
      <c r="BU168" s="4">
        <v>556918.83958404604</v>
      </c>
    </row>
    <row r="169" spans="1:73" x14ac:dyDescent="0.25">
      <c r="A169" s="3" t="s">
        <v>172</v>
      </c>
      <c r="B169" s="3" t="str">
        <f>VLOOKUP(A169,'storage capacity'!$A$2:$C$195,3,FALSE)</f>
        <v>Other latin america</v>
      </c>
      <c r="C169" s="4">
        <v>6574.3333333332557</v>
      </c>
      <c r="D169" s="4">
        <v>6811.2440914112085</v>
      </c>
      <c r="E169" s="4">
        <v>7054.2376164031557</v>
      </c>
      <c r="F169" s="4">
        <v>7303.3833966924058</v>
      </c>
      <c r="G169" s="4">
        <v>7558.7492039598665</v>
      </c>
      <c r="H169" s="4">
        <v>7820.401034033981</v>
      </c>
      <c r="I169" s="4">
        <v>8088.4030493651098</v>
      </c>
      <c r="J169" s="4">
        <v>8362.8175231907444</v>
      </c>
      <c r="K169" s="4">
        <v>8643.7047854546163</v>
      </c>
      <c r="L169" s="4">
        <v>8931.1231705393093</v>
      </c>
      <c r="M169" s="4">
        <v>9225.1289668685204</v>
      </c>
      <c r="N169" s="4">
        <v>9525.7763684315942</v>
      </c>
      <c r="O169" s="4">
        <v>9833.1174282793399</v>
      </c>
      <c r="P169" s="4">
        <v>10147.20201403654</v>
      </c>
      <c r="Q169" s="4">
        <v>10468.077765472946</v>
      </c>
      <c r="R169" s="4">
        <v>10795.790054170857</v>
      </c>
      <c r="S169" s="4">
        <v>11130.381945323728</v>
      </c>
      <c r="T169" s="4">
        <v>11471.894161696615</v>
      </c>
      <c r="U169" s="4">
        <v>11820.365049775543</v>
      </c>
      <c r="V169" s="4">
        <v>12175.830548129319</v>
      </c>
      <c r="W169" s="4">
        <v>12538.324158003634</v>
      </c>
      <c r="X169" s="4">
        <v>12907.876916163716</v>
      </c>
      <c r="Y169" s="4">
        <v>13284.517369998295</v>
      </c>
      <c r="Z169" s="4">
        <v>13668.271554894072</v>
      </c>
      <c r="AA169" s="4">
        <v>14059.162973886463</v>
      </c>
      <c r="AB169" s="4">
        <v>14457.21257958899</v>
      </c>
      <c r="AC169" s="4">
        <v>14862.438758400365</v>
      </c>
      <c r="AD169" s="4">
        <v>15274.857316985004</v>
      </c>
      <c r="AE169" s="4">
        <v>15694.481471019579</v>
      </c>
      <c r="AF169" s="4">
        <v>16121.321836195046</v>
      </c>
      <c r="AG169" s="4">
        <v>16555.386421460596</v>
      </c>
      <c r="AH169" s="4">
        <v>16996.680624493016</v>
      </c>
      <c r="AI169" s="4">
        <v>17445.207229372059</v>
      </c>
      <c r="AJ169" s="4">
        <v>17900.966406439766</v>
      </c>
      <c r="AK169" s="4">
        <v>18363.955714318872</v>
      </c>
      <c r="AL169" s="4">
        <v>18834.170104062989</v>
      </c>
      <c r="AM169" s="4">
        <v>19311.601925408781</v>
      </c>
      <c r="AN169" s="4">
        <v>19796.240935097889</v>
      </c>
      <c r="AO169" s="4">
        <v>20288.074307234274</v>
      </c>
      <c r="AP169" s="4">
        <v>20787.086645640375</v>
      </c>
      <c r="AQ169" s="4">
        <v>21293.259998173518</v>
      </c>
      <c r="AR169" s="4">
        <v>21806.573872962072</v>
      </c>
      <c r="AS169" s="4">
        <v>22327.005256519009</v>
      </c>
      <c r="AT169" s="4">
        <v>22854.528633688911</v>
      </c>
      <c r="AU169" s="4">
        <v>23389.116009382753</v>
      </c>
      <c r="AV169" s="4">
        <v>23930.736932053438</v>
      </c>
      <c r="AW169" s="4">
        <v>24479.358518863617</v>
      </c>
      <c r="AX169" s="4">
        <v>25034.945482496089</v>
      </c>
      <c r="AY169" s="4">
        <v>25597.460159555958</v>
      </c>
      <c r="AZ169" s="4">
        <v>26166.862540512615</v>
      </c>
      <c r="BA169" s="4">
        <v>26743.110301128796</v>
      </c>
      <c r="BB169" s="4">
        <v>27326.158835323025</v>
      </c>
      <c r="BC169" s="4">
        <v>27915.961289411061</v>
      </c>
      <c r="BD169" s="4">
        <v>28512.468597671439</v>
      </c>
      <c r="BE169" s="4">
        <v>29115.629519179514</v>
      </c>
      <c r="BF169" s="4">
        <v>29725.390675854149</v>
      </c>
      <c r="BG169" s="4">
        <v>30341.696591660726</v>
      </c>
      <c r="BH169" s="4">
        <v>30964.489732914077</v>
      </c>
      <c r="BI169" s="4">
        <v>31593.710549624615</v>
      </c>
      <c r="BJ169" s="4">
        <v>32229.297517831033</v>
      </c>
      <c r="BK169" s="4">
        <v>32871.187182862923</v>
      </c>
      <c r="BL169" s="4">
        <v>33519.314203476744</v>
      </c>
      <c r="BM169" s="4">
        <v>34173.611396808832</v>
      </c>
      <c r="BN169" s="4">
        <v>34834.009784089314</v>
      </c>
      <c r="BO169" s="4">
        <v>35500.438637061307</v>
      </c>
      <c r="BP169" s="4">
        <v>36172.825525049971</v>
      </c>
      <c r="BQ169" s="4">
        <v>36851.096362626675</v>
      </c>
      <c r="BR169" s="4">
        <v>37535.175457813952</v>
      </c>
      <c r="BS169" s="4">
        <v>38224.985560777634</v>
      </c>
      <c r="BT169" s="4">
        <v>38920.447912953117</v>
      </c>
      <c r="BU169" s="4">
        <v>39621.482296553491</v>
      </c>
    </row>
    <row r="170" spans="1:73" x14ac:dyDescent="0.25">
      <c r="A170" s="3" t="s">
        <v>173</v>
      </c>
      <c r="B170" s="3" t="str">
        <f>VLOOKUP(A170,'storage capacity'!$A$2:$C$195,3,FALSE)</f>
        <v>Country specific</v>
      </c>
      <c r="C170" s="4">
        <v>760128.26666666567</v>
      </c>
      <c r="D170" s="4">
        <v>794880.17905938113</v>
      </c>
      <c r="E170" s="4">
        <v>830857.48904924397</v>
      </c>
      <c r="F170" s="4">
        <v>868087.12195005862</v>
      </c>
      <c r="G170" s="4">
        <v>906595.98736809392</v>
      </c>
      <c r="H170" s="4">
        <v>946410.95773625968</v>
      </c>
      <c r="I170" s="4">
        <v>987558.84666999546</v>
      </c>
      <c r="J170" s="4">
        <v>1030066.3871756</v>
      </c>
      <c r="K170" s="4">
        <v>1073960.2097419533</v>
      </c>
      <c r="L170" s="4">
        <v>1119266.8203467352</v>
      </c>
      <c r="M170" s="4">
        <v>1166012.5784083318</v>
      </c>
      <c r="N170" s="4">
        <v>1214223.674714633</v>
      </c>
      <c r="O170" s="4">
        <v>1263926.1093598728</v>
      </c>
      <c r="P170" s="4">
        <v>1315145.6697205442</v>
      </c>
      <c r="Q170" s="4">
        <v>1367907.9085012341</v>
      </c>
      <c r="R170" s="4">
        <v>1422238.12188097</v>
      </c>
      <c r="S170" s="4">
        <v>1478161.327790363</v>
      </c>
      <c r="T170" s="4">
        <v>1535702.2443494527</v>
      </c>
      <c r="U170" s="4">
        <v>1594885.2684957238</v>
      </c>
      <c r="V170" s="4">
        <v>1655734.4548312826</v>
      </c>
      <c r="W170" s="4">
        <v>1718273.4947176231</v>
      </c>
      <c r="X170" s="4">
        <v>1782525.6956458266</v>
      </c>
      <c r="Y170" s="4">
        <v>1848513.9609093794</v>
      </c>
      <c r="Z170" s="4">
        <v>1916260.7696061018</v>
      </c>
      <c r="AA170" s="4">
        <v>1985788.1569949407</v>
      </c>
      <c r="AB170" s="4">
        <v>2057117.6952325874</v>
      </c>
      <c r="AC170" s="4">
        <v>2130270.4745140625</v>
      </c>
      <c r="AD170" s="4">
        <v>2205267.0846405467</v>
      </c>
      <c r="AE170" s="4">
        <v>2282127.5970368371</v>
      </c>
      <c r="AF170" s="4">
        <v>2360871.547239881</v>
      </c>
      <c r="AG170" s="4">
        <v>2441517.9178788816</v>
      </c>
      <c r="AH170" s="4">
        <v>2524085.1221664869</v>
      </c>
      <c r="AI170" s="4">
        <v>2608590.9879195672</v>
      </c>
      <c r="AJ170" s="4">
        <v>2695052.7421270525</v>
      </c>
      <c r="AK170" s="4">
        <v>2783486.996081261</v>
      </c>
      <c r="AL170" s="4">
        <v>2873909.7310880926</v>
      </c>
      <c r="AM170" s="4">
        <v>2966336.2847703807</v>
      </c>
      <c r="AN170" s="4">
        <v>3060781.337977617</v>
      </c>
      <c r="AO170" s="4">
        <v>3157258.9023141749</v>
      </c>
      <c r="AP170" s="4">
        <v>3255782.3082970693</v>
      </c>
      <c r="AQ170" s="4">
        <v>3356364.1941531803</v>
      </c>
      <c r="AR170" s="4">
        <v>3459016.4952647937</v>
      </c>
      <c r="AS170" s="4">
        <v>3563750.4342712043</v>
      </c>
      <c r="AT170" s="4">
        <v>3670576.5118330498</v>
      </c>
      <c r="AU170" s="4">
        <v>3779504.4980649627</v>
      </c>
      <c r="AV170" s="4">
        <v>3890543.4246410625</v>
      </c>
      <c r="AW170" s="4">
        <v>4003701.5775767486</v>
      </c>
      <c r="AX170" s="4">
        <v>4118986.490689218</v>
      </c>
      <c r="AY170" s="4">
        <v>4236404.9397381032</v>
      </c>
      <c r="AZ170" s="4">
        <v>4355962.9372466141</v>
      </c>
      <c r="BA170" s="4">
        <v>4477665.7280025864</v>
      </c>
      <c r="BB170" s="4">
        <v>4601517.7852378571</v>
      </c>
      <c r="BC170" s="4">
        <v>4727522.807483458</v>
      </c>
      <c r="BD170" s="4">
        <v>4855683.7160971835</v>
      </c>
      <c r="BE170" s="4">
        <v>4986002.6534591969</v>
      </c>
      <c r="BF170" s="4">
        <v>5118480.9818304665</v>
      </c>
      <c r="BG170" s="4">
        <v>5253119.2828679858</v>
      </c>
      <c r="BH170" s="4">
        <v>5389917.357789902</v>
      </c>
      <c r="BI170" s="4">
        <v>5528874.2281829184</v>
      </c>
      <c r="BJ170" s="4">
        <v>5669988.1374435471</v>
      </c>
      <c r="BK170" s="4">
        <v>5813256.5528440941</v>
      </c>
      <c r="BL170" s="4">
        <v>5958676.1682135453</v>
      </c>
      <c r="BM170" s="4">
        <v>6106242.9072228717</v>
      </c>
      <c r="BN170" s="4">
        <v>6255951.9272636399</v>
      </c>
      <c r="BO170" s="4">
        <v>6407797.623908218</v>
      </c>
      <c r="BP170" s="4">
        <v>6561773.6359393001</v>
      </c>
      <c r="BQ170" s="4">
        <v>6717872.8509359546</v>
      </c>
      <c r="BR170" s="4">
        <v>6876087.4114028886</v>
      </c>
      <c r="BS170" s="4">
        <v>7036408.721429172</v>
      </c>
      <c r="BT170" s="4">
        <v>7198827.4538622191</v>
      </c>
      <c r="BU170" s="4">
        <v>7363333.5579824476</v>
      </c>
    </row>
    <row r="171" spans="1:73" x14ac:dyDescent="0.25">
      <c r="A171" s="3" t="s">
        <v>174</v>
      </c>
      <c r="B171" s="3" t="str">
        <f>VLOOKUP(A171,'storage capacity'!$A$2:$C$195,3,FALSE)</f>
        <v>Country specific</v>
      </c>
      <c r="C171" s="4">
        <v>1231651.9333333224</v>
      </c>
      <c r="D171" s="4">
        <v>1231651.9333333224</v>
      </c>
      <c r="E171" s="4">
        <v>1231651.9333333224</v>
      </c>
      <c r="F171" s="4">
        <v>1231651.9333333224</v>
      </c>
      <c r="G171" s="4">
        <v>1231651.9333333224</v>
      </c>
      <c r="H171" s="4">
        <v>1231651.9333333224</v>
      </c>
      <c r="I171" s="4">
        <v>1231651.9333333224</v>
      </c>
      <c r="J171" s="4">
        <v>1231651.9333333224</v>
      </c>
      <c r="K171" s="4">
        <v>1231651.9333333224</v>
      </c>
      <c r="L171" s="4">
        <v>1231651.9333333224</v>
      </c>
      <c r="M171" s="4">
        <v>1231651.9333333224</v>
      </c>
      <c r="N171" s="4">
        <v>1231651.9333333224</v>
      </c>
      <c r="O171" s="4">
        <v>1231651.9333333224</v>
      </c>
      <c r="P171" s="4">
        <v>1231651.9333333224</v>
      </c>
      <c r="Q171" s="4">
        <v>1231651.9333333224</v>
      </c>
      <c r="R171" s="4">
        <v>1231651.9333333224</v>
      </c>
      <c r="S171" s="4">
        <v>1231651.9333333224</v>
      </c>
      <c r="T171" s="4">
        <v>1231651.9333333224</v>
      </c>
      <c r="U171" s="4">
        <v>1231651.9333333224</v>
      </c>
      <c r="V171" s="4">
        <v>1231651.9333333224</v>
      </c>
      <c r="W171" s="4">
        <v>1231651.9333333224</v>
      </c>
      <c r="X171" s="4">
        <v>1231651.9333333224</v>
      </c>
      <c r="Y171" s="4">
        <v>1231651.9333333224</v>
      </c>
      <c r="Z171" s="4">
        <v>1231651.9333333224</v>
      </c>
      <c r="AA171" s="4">
        <v>1231651.9333333224</v>
      </c>
      <c r="AB171" s="4">
        <v>1231651.9333333224</v>
      </c>
      <c r="AC171" s="4">
        <v>1231651.9333333224</v>
      </c>
      <c r="AD171" s="4">
        <v>1231651.9333333224</v>
      </c>
      <c r="AE171" s="4">
        <v>1231651.9333333224</v>
      </c>
      <c r="AF171" s="4">
        <v>1231651.9333333224</v>
      </c>
      <c r="AG171" s="4">
        <v>1231651.9333333224</v>
      </c>
      <c r="AH171" s="4">
        <v>1231651.9333333224</v>
      </c>
      <c r="AI171" s="4">
        <v>1231651.9333333224</v>
      </c>
      <c r="AJ171" s="4">
        <v>1231651.9333333224</v>
      </c>
      <c r="AK171" s="4">
        <v>1231651.9333333224</v>
      </c>
      <c r="AL171" s="4">
        <v>1231651.9333333224</v>
      </c>
      <c r="AM171" s="4">
        <v>1231651.9333333224</v>
      </c>
      <c r="AN171" s="4">
        <v>1231651.9333333224</v>
      </c>
      <c r="AO171" s="4">
        <v>1231651.9333333224</v>
      </c>
      <c r="AP171" s="4">
        <v>1231651.9333333224</v>
      </c>
      <c r="AQ171" s="4">
        <v>1231651.9333333224</v>
      </c>
      <c r="AR171" s="4">
        <v>1231651.9333333224</v>
      </c>
      <c r="AS171" s="4">
        <v>1231651.9333333224</v>
      </c>
      <c r="AT171" s="4">
        <v>1231651.9333333224</v>
      </c>
      <c r="AU171" s="4">
        <v>1231651.9333333224</v>
      </c>
      <c r="AV171" s="4">
        <v>1231651.9333333224</v>
      </c>
      <c r="AW171" s="4">
        <v>1231651.9333333224</v>
      </c>
      <c r="AX171" s="4">
        <v>1231651.9333333224</v>
      </c>
      <c r="AY171" s="4">
        <v>1231651.9333333224</v>
      </c>
      <c r="AZ171" s="4">
        <v>1231651.9333333224</v>
      </c>
      <c r="BA171" s="4">
        <v>1231651.9333333224</v>
      </c>
      <c r="BB171" s="4">
        <v>1231651.9333333224</v>
      </c>
      <c r="BC171" s="4">
        <v>1231651.9333333224</v>
      </c>
      <c r="BD171" s="4">
        <v>1231651.9333333224</v>
      </c>
      <c r="BE171" s="4">
        <v>1231651.9333333224</v>
      </c>
      <c r="BF171" s="4">
        <v>1231651.9333333224</v>
      </c>
      <c r="BG171" s="4">
        <v>1231651.9333333224</v>
      </c>
      <c r="BH171" s="4">
        <v>1231651.9333333224</v>
      </c>
      <c r="BI171" s="4">
        <v>1231651.9333333224</v>
      </c>
      <c r="BJ171" s="4">
        <v>1231651.9333333224</v>
      </c>
      <c r="BK171" s="4">
        <v>1231651.9333333224</v>
      </c>
      <c r="BL171" s="4">
        <v>1231651.9333333224</v>
      </c>
      <c r="BM171" s="4">
        <v>1231651.9333333224</v>
      </c>
      <c r="BN171" s="4">
        <v>1231651.9333333224</v>
      </c>
      <c r="BO171" s="4">
        <v>1231651.9333333224</v>
      </c>
      <c r="BP171" s="4">
        <v>1231651.9333333224</v>
      </c>
      <c r="BQ171" s="4">
        <v>1231651.9333333224</v>
      </c>
      <c r="BR171" s="4">
        <v>1231651.9333333224</v>
      </c>
      <c r="BS171" s="4">
        <v>1231651.9333333224</v>
      </c>
      <c r="BT171" s="4">
        <v>1231651.9333333224</v>
      </c>
      <c r="BU171" s="4">
        <v>1231651.9333333224</v>
      </c>
    </row>
    <row r="172" spans="1:73" x14ac:dyDescent="0.25">
      <c r="A172" s="3" t="s">
        <v>175</v>
      </c>
      <c r="B172" s="3" t="str">
        <f>VLOOKUP(A172,'storage capacity'!$A$2:$C$195,3,FALSE)</f>
        <v>Middle east</v>
      </c>
      <c r="C172" s="4">
        <v>60043</v>
      </c>
      <c r="D172" s="4">
        <v>62142.812971450614</v>
      </c>
      <c r="E172" s="4">
        <v>64294.327751063262</v>
      </c>
      <c r="F172" s="4">
        <v>66498.072446376143</v>
      </c>
      <c r="G172" s="4">
        <v>68754.559631683296</v>
      </c>
      <c r="H172" s="4">
        <v>71064.285902873817</v>
      </c>
      <c r="I172" s="4">
        <v>73427.731447181373</v>
      </c>
      <c r="J172" s="4">
        <v>75845.359628305901</v>
      </c>
      <c r="K172" s="4">
        <v>78317.616587341181</v>
      </c>
      <c r="L172" s="4">
        <v>80844.930859911925</v>
      </c>
      <c r="M172" s="4">
        <v>83427.71300989468</v>
      </c>
      <c r="N172" s="4">
        <v>86066.355280066506</v>
      </c>
      <c r="O172" s="4">
        <v>88761.231259995722</v>
      </c>
      <c r="P172" s="4">
        <v>91512.695571458637</v>
      </c>
      <c r="Q172" s="4">
        <v>94321.0835716359</v>
      </c>
      <c r="R172" s="4">
        <v>97186.711074312436</v>
      </c>
      <c r="S172" s="4">
        <v>100109.87408927431</v>
      </c>
      <c r="T172" s="4">
        <v>103090.84858006689</v>
      </c>
      <c r="U172" s="4">
        <v>106129.89024024837</v>
      </c>
      <c r="V172" s="4">
        <v>109227.23428824406</v>
      </c>
      <c r="W172" s="4">
        <v>112383.09528087787</v>
      </c>
      <c r="X172" s="4">
        <v>115597.66694562868</v>
      </c>
      <c r="Y172" s="4">
        <v>118871.12203163188</v>
      </c>
      <c r="Z172" s="4">
        <v>122203.61217941843</v>
      </c>
      <c r="AA172" s="4">
        <v>125595.2678093572</v>
      </c>
      <c r="AB172" s="4">
        <v>129046.19802873993</v>
      </c>
      <c r="AC172" s="4">
        <v>132556.49055742263</v>
      </c>
      <c r="AD172" s="4">
        <v>136126.2116719122</v>
      </c>
      <c r="AE172" s="4">
        <v>139755.40616776299</v>
      </c>
      <c r="AF172" s="4">
        <v>143444.09734012411</v>
      </c>
      <c r="AG172" s="4">
        <v>147192.28698225616</v>
      </c>
      <c r="AH172" s="4">
        <v>150999.95540181373</v>
      </c>
      <c r="AI172" s="4">
        <v>154867.06145466908</v>
      </c>
      <c r="AJ172" s="4">
        <v>158793.54259603212</v>
      </c>
      <c r="AK172" s="4">
        <v>162779.31494860235</v>
      </c>
      <c r="AL172" s="4">
        <v>166824.27338747017</v>
      </c>
      <c r="AM172" s="4">
        <v>170928.29164146705</v>
      </c>
      <c r="AN172" s="4">
        <v>175091.22241064752</v>
      </c>
      <c r="AO172" s="4">
        <v>179312.8974995699</v>
      </c>
      <c r="AP172" s="4">
        <v>183593.12796602806</v>
      </c>
      <c r="AQ172" s="4">
        <v>187931.70428487254</v>
      </c>
      <c r="AR172" s="4">
        <v>192328.39652654561</v>
      </c>
      <c r="AS172" s="4">
        <v>196782.9545499438</v>
      </c>
      <c r="AT172" s="4">
        <v>201295.10820920902</v>
      </c>
      <c r="AU172" s="4">
        <v>205864.56757404021</v>
      </c>
      <c r="AV172" s="4">
        <v>210491.02316310667</v>
      </c>
      <c r="AW172" s="4">
        <v>215174.14619013717</v>
      </c>
      <c r="AX172" s="4">
        <v>219913.5888222497</v>
      </c>
      <c r="AY172" s="4">
        <v>224708.98445008131</v>
      </c>
      <c r="AZ172" s="4">
        <v>229559.94796927067</v>
      </c>
      <c r="BA172" s="4">
        <v>234466.07607284089</v>
      </c>
      <c r="BB172" s="4">
        <v>239426.94755402673</v>
      </c>
      <c r="BC172" s="4">
        <v>244442.12361908506</v>
      </c>
      <c r="BD172" s="4">
        <v>249511.14820962722</v>
      </c>
      <c r="BE172" s="4">
        <v>254633.54833400724</v>
      </c>
      <c r="BF172" s="4">
        <v>259808.83440730121</v>
      </c>
      <c r="BG172" s="4">
        <v>265036.50059941073</v>
      </c>
      <c r="BH172" s="4">
        <v>270316.02519082476</v>
      </c>
      <c r="BI172" s="4">
        <v>275646.8709355747</v>
      </c>
      <c r="BJ172" s="4">
        <v>281028.48543091875</v>
      </c>
      <c r="BK172" s="4">
        <v>286460.30149329506</v>
      </c>
      <c r="BL172" s="4">
        <v>291941.73754008417</v>
      </c>
      <c r="BM172" s="4">
        <v>297472.19797672657</v>
      </c>
      <c r="BN172" s="4">
        <v>303051.07358874357</v>
      </c>
      <c r="BO172" s="4">
        <v>308677.74193821521</v>
      </c>
      <c r="BP172" s="4">
        <v>314351.56776427384</v>
      </c>
      <c r="BQ172" s="4">
        <v>320071.90338717715</v>
      </c>
      <c r="BR172" s="4">
        <v>325838.08911553025</v>
      </c>
      <c r="BS172" s="4">
        <v>331649.45365623373</v>
      </c>
      <c r="BT172" s="4">
        <v>337505.31452674035</v>
      </c>
      <c r="BU172" s="4">
        <v>343404.97846921149</v>
      </c>
    </row>
    <row r="173" spans="1:73" x14ac:dyDescent="0.25">
      <c r="A173" s="3" t="s">
        <v>176</v>
      </c>
      <c r="B173" s="3" t="str">
        <f>VLOOKUP(A173,'storage capacity'!$A$2:$C$195,3,FALSE)</f>
        <v>Other eurasia</v>
      </c>
      <c r="C173" s="4">
        <v>20823</v>
      </c>
      <c r="D173" s="4">
        <v>22687.411209404123</v>
      </c>
      <c r="E173" s="4">
        <v>24698.441182677045</v>
      </c>
      <c r="F173" s="4">
        <v>26865.837541940131</v>
      </c>
      <c r="G173" s="4">
        <v>29199.856473167951</v>
      </c>
      <c r="H173" s="4">
        <v>31711.279670535412</v>
      </c>
      <c r="I173" s="4">
        <v>34411.431262767124</v>
      </c>
      <c r="J173" s="4">
        <v>37312.194683911919</v>
      </c>
      <c r="K173" s="4">
        <v>40426.029449705122</v>
      </c>
      <c r="L173" s="4">
        <v>43765.987799508934</v>
      </c>
      <c r="M173" s="4">
        <v>47345.731162743279</v>
      </c>
      <c r="N173" s="4">
        <v>51179.546407743124</v>
      </c>
      <c r="O173" s="4">
        <v>55282.36183010877</v>
      </c>
      <c r="P173" s="4">
        <v>59669.762836859045</v>
      </c>
      <c r="Q173" s="4">
        <v>64358.007282059254</v>
      </c>
      <c r="R173" s="4">
        <v>69364.040409080641</v>
      </c>
      <c r="S173" s="4">
        <v>74705.509354260663</v>
      </c>
      <c r="T173" s="4">
        <v>80400.777166477448</v>
      </c>
      <c r="U173" s="4">
        <v>86468.936297031119</v>
      </c>
      <c r="V173" s="4">
        <v>92929.82151424115</v>
      </c>
      <c r="W173" s="4">
        <v>99804.022197326733</v>
      </c>
      <c r="X173" s="4">
        <v>107112.89396443575</v>
      </c>
      <c r="Y173" s="4">
        <v>114878.56959013076</v>
      </c>
      <c r="Z173" s="4">
        <v>123123.96916822657</v>
      </c>
      <c r="AA173" s="4">
        <v>131872.80947660372</v>
      </c>
      <c r="AB173" s="4">
        <v>141149.61250149619</v>
      </c>
      <c r="AC173" s="4">
        <v>150979.71307976669</v>
      </c>
      <c r="AD173" s="4">
        <v>161389.26561883886</v>
      </c>
      <c r="AE173" s="4">
        <v>172405.24985524983</v>
      </c>
      <c r="AF173" s="4">
        <v>184055.47561421536</v>
      </c>
      <c r="AG173" s="4">
        <v>196368.58653416077</v>
      </c>
      <c r="AH173" s="4">
        <v>209374.06272185894</v>
      </c>
      <c r="AI173" s="4">
        <v>223102.22230562865</v>
      </c>
      <c r="AJ173" s="4">
        <v>237584.2218559756</v>
      </c>
      <c r="AK173" s="4">
        <v>252852.05564510124</v>
      </c>
      <c r="AL173" s="4">
        <v>268938.55371885264</v>
      </c>
      <c r="AM173" s="4">
        <v>285877.37875693664</v>
      </c>
      <c r="AN173" s="4">
        <v>303703.02169956337</v>
      </c>
      <c r="AO173" s="4">
        <v>322450.79612111358</v>
      </c>
      <c r="AP173" s="4">
        <v>342156.83133393095</v>
      </c>
      <c r="AQ173" s="4">
        <v>362858.06420792121</v>
      </c>
      <c r="AR173" s="4">
        <v>384592.22969427984</v>
      </c>
      <c r="AS173" s="4">
        <v>407397.85004436783</v>
      </c>
      <c r="AT173" s="4">
        <v>431314.22271749773</v>
      </c>
      <c r="AU173" s="4">
        <v>456381.40697417344</v>
      </c>
      <c r="AV173" s="4">
        <v>482640.20915413596</v>
      </c>
      <c r="AW173" s="4">
        <v>510132.1666413995</v>
      </c>
      <c r="AX173" s="4">
        <v>538899.53052130155</v>
      </c>
      <c r="AY173" s="4">
        <v>568985.24693743826</v>
      </c>
      <c r="AZ173" s="4">
        <v>600432.93715919123</v>
      </c>
      <c r="BA173" s="4">
        <v>633286.87637337926</v>
      </c>
      <c r="BB173" s="4">
        <v>667591.97121636546</v>
      </c>
      <c r="BC173" s="4">
        <v>703393.73606572254</v>
      </c>
      <c r="BD173" s="4">
        <v>740738.26811328414</v>
      </c>
      <c r="BE173" s="4">
        <v>779672.2212440935</v>
      </c>
      <c r="BF173" s="4">
        <v>820242.77874838386</v>
      </c>
      <c r="BG173" s="4">
        <v>862497.62489628722</v>
      </c>
      <c r="BH173" s="4">
        <v>906484.91540745844</v>
      </c>
      <c r="BI173" s="4">
        <v>952253.24685021327</v>
      </c>
      <c r="BJ173" s="4">
        <v>999851.62500711042</v>
      </c>
      <c r="BK173" s="4">
        <v>1049329.4322461432</v>
      </c>
      <c r="BL173" s="4">
        <v>1100736.3939388481</v>
      </c>
      <c r="BM173" s="4">
        <v>1154122.5439686796</v>
      </c>
      <c r="BN173" s="4">
        <v>1209538.1893749314</v>
      </c>
      <c r="BO173" s="4">
        <v>1267033.8741793041</v>
      </c>
      <c r="BP173" s="4">
        <v>1326660.3424439267</v>
      </c>
      <c r="BQ173" s="4">
        <v>1388468.5006112254</v>
      </c>
      <c r="BR173" s="4">
        <v>1452509.3791774893</v>
      </c>
      <c r="BS173" s="4">
        <v>1518834.0937533281</v>
      </c>
      <c r="BT173" s="4">
        <v>1587493.8055654152</v>
      </c>
      <c r="BU173" s="4">
        <v>1658539.6814549933</v>
      </c>
    </row>
    <row r="174" spans="1:73" x14ac:dyDescent="0.25">
      <c r="A174" s="3" t="s">
        <v>177</v>
      </c>
      <c r="B174" s="3" t="str">
        <f>VLOOKUP(A174,'storage capacity'!$A$2:$C$195,3,FALSE)</f>
        <v>Sub-saharan africa</v>
      </c>
      <c r="C174" s="4">
        <v>121959.19999999925</v>
      </c>
      <c r="D174" s="4">
        <v>131160.51433206085</v>
      </c>
      <c r="E174" s="4">
        <v>140957.07440396136</v>
      </c>
      <c r="F174" s="4">
        <v>151380.07029910636</v>
      </c>
      <c r="G174" s="4">
        <v>162461.85189414991</v>
      </c>
      <c r="H174" s="4">
        <v>174235.94533388343</v>
      </c>
      <c r="I174" s="4">
        <v>186737.06836204807</v>
      </c>
      <c r="J174" s="4">
        <v>200001.14444249732</v>
      </c>
      <c r="K174" s="4">
        <v>214065.31560646609</v>
      </c>
      <c r="L174" s="4">
        <v>228967.95396324657</v>
      </c>
      <c r="M174" s="4">
        <v>244748.6718133275</v>
      </c>
      <c r="N174" s="4">
        <v>261448.3303050187</v>
      </c>
      <c r="O174" s="4">
        <v>279109.0465777521</v>
      </c>
      <c r="P174" s="4">
        <v>297774.19933761854</v>
      </c>
      <c r="Q174" s="4">
        <v>317488.43281326082</v>
      </c>
      <c r="R174" s="4">
        <v>338297.65904299152</v>
      </c>
      <c r="S174" s="4">
        <v>360249.05844692816</v>
      </c>
      <c r="T174" s="4">
        <v>383391.07864103513</v>
      </c>
      <c r="U174" s="4">
        <v>407773.43145321822</v>
      </c>
      <c r="V174" s="4">
        <v>433447.0881050246</v>
      </c>
      <c r="W174" s="4">
        <v>460464.27252605098</v>
      </c>
      <c r="X174" s="4">
        <v>488878.45277184044</v>
      </c>
      <c r="Y174" s="4">
        <v>518744.33051984815</v>
      </c>
      <c r="Z174" s="4">
        <v>550117.82862195873</v>
      </c>
      <c r="AA174" s="4">
        <v>583056.07669604046</v>
      </c>
      <c r="AB174" s="4">
        <v>617617.39474310086</v>
      </c>
      <c r="AC174" s="4">
        <v>653861.27478076448</v>
      </c>
      <c r="AD174" s="4">
        <v>691848.36048799637</v>
      </c>
      <c r="AE174" s="4">
        <v>731640.42486025428</v>
      </c>
      <c r="AF174" s="4">
        <v>773300.34587852715</v>
      </c>
      <c r="AG174" s="4">
        <v>816892.0802000243</v>
      </c>
      <c r="AH174" s="4">
        <v>862480.63488257735</v>
      </c>
      <c r="AI174" s="4">
        <v>910132.03715911321</v>
      </c>
      <c r="AJ174" s="4">
        <v>959913.30228282604</v>
      </c>
      <c r="AK174" s="4">
        <v>1011892.399467911</v>
      </c>
      <c r="AL174" s="4">
        <v>1066138.21595491</v>
      </c>
      <c r="AM174" s="4">
        <v>1122720.5192338445</v>
      </c>
      <c r="AN174" s="4">
        <v>1181709.917462361</v>
      </c>
      <c r="AO174" s="4">
        <v>1243177.8181200873</v>
      </c>
      <c r="AP174" s="4">
        <v>1307196.3849442613</v>
      </c>
      <c r="AQ174" s="4">
        <v>1373838.4931954651</v>
      </c>
      <c r="AR174" s="4">
        <v>1443177.6833059364</v>
      </c>
      <c r="AS174" s="4">
        <v>1515288.1129664523</v>
      </c>
      <c r="AT174" s="4">
        <v>1590244.5077111567</v>
      </c>
      <c r="AU174" s="4">
        <v>1668122.1100629431</v>
      </c>
      <c r="AV174" s="4">
        <v>1748996.6273050727</v>
      </c>
      <c r="AW174" s="4">
        <v>1832944.1779476407</v>
      </c>
      <c r="AX174" s="4">
        <v>1920041.2369602402</v>
      </c>
      <c r="AY174" s="4">
        <v>2010364.5798447491</v>
      </c>
      <c r="AZ174" s="4">
        <v>2103991.2256245599</v>
      </c>
      <c r="BA174" s="4">
        <v>2200998.3788287751</v>
      </c>
      <c r="BB174" s="4">
        <v>2301463.3705519005</v>
      </c>
      <c r="BC174" s="4">
        <v>2405463.5986713981</v>
      </c>
      <c r="BD174" s="4">
        <v>2513076.4673070749</v>
      </c>
      <c r="BE174" s="4">
        <v>2624379.3256077063</v>
      </c>
      <c r="BF174" s="4">
        <v>2739449.4059515181</v>
      </c>
      <c r="BG174" s="4">
        <v>2858363.7616481655</v>
      </c>
      <c r="BH174" s="4">
        <v>2981199.2042306606</v>
      </c>
      <c r="BI174" s="4">
        <v>3108032.2404263159</v>
      </c>
      <c r="BJ174" s="4">
        <v>3238939.008896186</v>
      </c>
      <c r="BK174" s="4">
        <v>3373995.2168326811</v>
      </c>
      <c r="BL174" s="4">
        <v>3513276.076505065</v>
      </c>
      <c r="BM174" s="4">
        <v>3656856.2418423439</v>
      </c>
      <c r="BN174" s="4">
        <v>3804809.7451426848</v>
      </c>
      <c r="BO174" s="4">
        <v>3957209.9339979384</v>
      </c>
      <c r="BP174" s="4">
        <v>4114129.4085210911</v>
      </c>
      <c r="BQ174" s="4">
        <v>4275639.9589635385</v>
      </c>
      <c r="BR174" s="4">
        <v>4441812.5038079685</v>
      </c>
      <c r="BS174" s="4">
        <v>4612717.0284213843</v>
      </c>
      <c r="BT174" s="4">
        <v>4788422.5243513212</v>
      </c>
      <c r="BU174" s="4">
        <v>4968996.9293467775</v>
      </c>
    </row>
    <row r="175" spans="1:73" x14ac:dyDescent="0.25">
      <c r="A175" s="3" t="s">
        <v>178</v>
      </c>
      <c r="B175" s="3" t="str">
        <f>VLOOKUP(A175,'storage capacity'!$A$2:$C$195,3,FALSE)</f>
        <v>Other Asia pacific</v>
      </c>
      <c r="C175" s="4">
        <v>649305.20000000298</v>
      </c>
      <c r="D175" s="4">
        <v>668689.77720176603</v>
      </c>
      <c r="E175" s="4">
        <v>688453.43522282504</v>
      </c>
      <c r="F175" s="4">
        <v>708597.74598373426</v>
      </c>
      <c r="G175" s="4">
        <v>729124.14667342871</v>
      </c>
      <c r="H175" s="4">
        <v>750033.9386213402</v>
      </c>
      <c r="I175" s="4">
        <v>771328.2862920044</v>
      </c>
      <c r="J175" s="4">
        <v>793008.21640215872</v>
      </c>
      <c r="K175" s="4">
        <v>815074.61716014892</v>
      </c>
      <c r="L175" s="4">
        <v>837528.23762729438</v>
      </c>
      <c r="M175" s="4">
        <v>860369.68720069027</v>
      </c>
      <c r="N175" s="4">
        <v>883599.43521676131</v>
      </c>
      <c r="O175" s="4">
        <v>907217.81067472405</v>
      </c>
      <c r="P175" s="4">
        <v>931225.00207895576</v>
      </c>
      <c r="Q175" s="4">
        <v>955621.05739912414</v>
      </c>
      <c r="R175" s="4">
        <v>980405.88414678012</v>
      </c>
      <c r="S175" s="4">
        <v>1005579.2495669852</v>
      </c>
      <c r="T175" s="4">
        <v>1031140.7809434023</v>
      </c>
      <c r="U175" s="4">
        <v>1057089.9660151594</v>
      </c>
      <c r="V175" s="4">
        <v>1083426.1535036638</v>
      </c>
      <c r="W175" s="4">
        <v>1110148.5537474388</v>
      </c>
      <c r="X175" s="4">
        <v>1137256.2394429317</v>
      </c>
      <c r="Y175" s="4">
        <v>1164748.1464891485</v>
      </c>
      <c r="Z175" s="4">
        <v>1192623.0749338635</v>
      </c>
      <c r="AA175" s="4">
        <v>1220879.6900190639</v>
      </c>
      <c r="AB175" s="4">
        <v>1249516.5233231985</v>
      </c>
      <c r="AC175" s="4">
        <v>1278531.9739977228</v>
      </c>
      <c r="AD175" s="4">
        <v>1307924.3100953547</v>
      </c>
      <c r="AE175" s="4">
        <v>1337691.6699873863</v>
      </c>
      <c r="AF175" s="4">
        <v>1367832.0638673368</v>
      </c>
      <c r="AG175" s="4">
        <v>1398343.3753381681</v>
      </c>
      <c r="AH175" s="4">
        <v>1429223.3630802389</v>
      </c>
      <c r="AI175" s="4">
        <v>1460469.6625971273</v>
      </c>
      <c r="AJ175" s="4">
        <v>1492079.7880364035</v>
      </c>
      <c r="AK175" s="4">
        <v>1524051.1340824098</v>
      </c>
      <c r="AL175" s="4">
        <v>1556380.9779180698</v>
      </c>
      <c r="AM175" s="4">
        <v>1589066.4812527241</v>
      </c>
      <c r="AN175" s="4">
        <v>1622104.6924129738</v>
      </c>
      <c r="AO175" s="4">
        <v>1655492.5484934989</v>
      </c>
      <c r="AP175" s="4">
        <v>1689226.8775648044</v>
      </c>
      <c r="AQ175" s="4">
        <v>1723304.4009348515</v>
      </c>
      <c r="AR175" s="4">
        <v>1757721.7354615254</v>
      </c>
      <c r="AS175" s="4">
        <v>1792475.3959128966</v>
      </c>
      <c r="AT175" s="4">
        <v>1827561.7973722438</v>
      </c>
      <c r="AU175" s="4">
        <v>1862977.2576848217</v>
      </c>
      <c r="AV175" s="4">
        <v>1898717.9999433663</v>
      </c>
      <c r="AW175" s="4">
        <v>1934780.1550093649</v>
      </c>
      <c r="AX175" s="4">
        <v>1971159.7640671288</v>
      </c>
      <c r="AY175" s="4">
        <v>2007852.7812077459</v>
      </c>
      <c r="AZ175" s="4">
        <v>2044855.0760400186</v>
      </c>
      <c r="BA175" s="4">
        <v>2082162.4363255245</v>
      </c>
      <c r="BB175" s="4">
        <v>2119770.5706349844</v>
      </c>
      <c r="BC175" s="4">
        <v>2157675.1110231509</v>
      </c>
      <c r="BD175" s="4">
        <v>2195871.6157194879</v>
      </c>
      <c r="BE175" s="4">
        <v>2234355.5718319463</v>
      </c>
      <c r="BF175" s="4">
        <v>2273122.3980611996</v>
      </c>
      <c r="BG175" s="4">
        <v>2312167.4474227475</v>
      </c>
      <c r="BH175" s="4">
        <v>2351486.0099743498</v>
      </c>
      <c r="BI175" s="4">
        <v>2391073.3155463128</v>
      </c>
      <c r="BJ175" s="4">
        <v>2430924.5364722009</v>
      </c>
      <c r="BK175" s="4">
        <v>2471034.7903176094</v>
      </c>
      <c r="BL175" s="4">
        <v>2511399.1426046891</v>
      </c>
      <c r="BM175" s="4">
        <v>2552012.609530184</v>
      </c>
      <c r="BN175" s="4">
        <v>2592870.1606747909</v>
      </c>
      <c r="BO175" s="4">
        <v>2633966.7217017338</v>
      </c>
      <c r="BP175" s="4">
        <v>2675297.1770424857</v>
      </c>
      <c r="BQ175" s="4">
        <v>2716856.3725676602</v>
      </c>
      <c r="BR175" s="4">
        <v>2758639.1182411388</v>
      </c>
      <c r="BS175" s="4">
        <v>2800640.1907555871</v>
      </c>
      <c r="BT175" s="4">
        <v>2842854.3361475598</v>
      </c>
      <c r="BU175" s="4">
        <v>2885276.2723904788</v>
      </c>
    </row>
    <row r="176" spans="1:73" x14ac:dyDescent="0.25">
      <c r="A176" s="3" t="s">
        <v>179</v>
      </c>
      <c r="B176" s="3" t="str">
        <f>VLOOKUP(A176,'storage capacity'!$A$2:$C$195,3,FALSE)</f>
        <v>Other Asia pacific</v>
      </c>
      <c r="C176" s="4">
        <v>2358.5333333333256</v>
      </c>
      <c r="D176" s="4">
        <v>2433.1832036020896</v>
      </c>
      <c r="E176" s="4">
        <v>2509.4256886425701</v>
      </c>
      <c r="F176" s="4">
        <v>2587.2708758610493</v>
      </c>
      <c r="G176" s="4">
        <v>2666.7283074007005</v>
      </c>
      <c r="H176" s="4">
        <v>2747.8069722046425</v>
      </c>
      <c r="I176" s="4">
        <v>2830.515298594235</v>
      </c>
      <c r="J176" s="4">
        <v>2914.8611473673186</v>
      </c>
      <c r="K176" s="4">
        <v>3000.8518054202746</v>
      </c>
      <c r="L176" s="4">
        <v>3088.4939798969381</v>
      </c>
      <c r="M176" s="4">
        <v>3177.7937928665956</v>
      </c>
      <c r="N176" s="4">
        <v>3268.7567765324761</v>
      </c>
      <c r="O176" s="4">
        <v>3361.3878689713624</v>
      </c>
      <c r="P176" s="4">
        <v>3455.6914104041703</v>
      </c>
      <c r="Q176" s="4">
        <v>3551.6711399965711</v>
      </c>
      <c r="R176" s="4">
        <v>3649.3301931880001</v>
      </c>
      <c r="S176" s="4">
        <v>3748.6710995466551</v>
      </c>
      <c r="T176" s="4">
        <v>3849.6957811473903</v>
      </c>
      <c r="U176" s="4">
        <v>3952.4055514687097</v>
      </c>
      <c r="V176" s="4">
        <v>4056.8011148044175</v>
      </c>
      <c r="W176" s="4">
        <v>4162.8825661848114</v>
      </c>
      <c r="X176" s="4">
        <v>4270.6493918017068</v>
      </c>
      <c r="Y176" s="4">
        <v>4380.1004699309651</v>
      </c>
      <c r="Z176" s="4">
        <v>4491.2340723456318</v>
      </c>
      <c r="AA176" s="4">
        <v>4604.0478662122332</v>
      </c>
      <c r="AB176" s="4">
        <v>4718.538916462252</v>
      </c>
      <c r="AC176" s="4">
        <v>4834.7036886303231</v>
      </c>
      <c r="AD176" s="4">
        <v>4952.5380521501729</v>
      </c>
      <c r="AE176" s="4">
        <v>5072.0372840989266</v>
      </c>
      <c r="AF176" s="4">
        <v>5193.1960733799287</v>
      </c>
      <c r="AG176" s="4">
        <v>5316.0085253338848</v>
      </c>
      <c r="AH176" s="4">
        <v>5440.4681667676969</v>
      </c>
      <c r="AI176" s="4">
        <v>5566.5679513900677</v>
      </c>
      <c r="AJ176" s="4">
        <v>5694.3002656426088</v>
      </c>
      <c r="AK176" s="4">
        <v>5823.6569349148813</v>
      </c>
      <c r="AL176" s="4">
        <v>5954.6292301315525</v>
      </c>
      <c r="AM176" s="4">
        <v>6087.2078746995894</v>
      </c>
      <c r="AN176" s="4">
        <v>6221.3830518032</v>
      </c>
      <c r="AO176" s="4">
        <v>6357.1444120340311</v>
      </c>
      <c r="AP176" s="4">
        <v>6494.4810813439699</v>
      </c>
      <c r="AQ176" s="4">
        <v>6633.381669307737</v>
      </c>
      <c r="AR176" s="4">
        <v>6773.8342776823565</v>
      </c>
      <c r="AS176" s="4">
        <v>6915.8265092504535</v>
      </c>
      <c r="AT176" s="4">
        <v>7059.345476934297</v>
      </c>
      <c r="AU176" s="4">
        <v>7204.3778131674107</v>
      </c>
      <c r="AV176" s="4">
        <v>7350.9096795105497</v>
      </c>
      <c r="AW176" s="4">
        <v>7498.9267764988481</v>
      </c>
      <c r="AX176" s="4">
        <v>7648.4143537069094</v>
      </c>
      <c r="AY176" s="4">
        <v>7799.3572200186809</v>
      </c>
      <c r="AZ176" s="4">
        <v>7951.7397540889442</v>
      </c>
      <c r="BA176" s="4">
        <v>8105.5459149833787</v>
      </c>
      <c r="BB176" s="4">
        <v>8260.7592529841768</v>
      </c>
      <c r="BC176" s="4">
        <v>8417.3629205483121</v>
      </c>
      <c r="BD176" s="4">
        <v>8575.3396834056766</v>
      </c>
      <c r="BE176" s="4">
        <v>8734.6719317844236</v>
      </c>
      <c r="BF176" s="4">
        <v>8895.3416917509858</v>
      </c>
      <c r="BG176" s="4">
        <v>9057.3306366524102</v>
      </c>
      <c r="BH176" s="4">
        <v>9220.6200986488057</v>
      </c>
      <c r="BI176" s="4">
        <v>9385.1910803238879</v>
      </c>
      <c r="BJ176" s="4">
        <v>9551.0242663618028</v>
      </c>
      <c r="BK176" s="4">
        <v>9718.1000352785868</v>
      </c>
      <c r="BL176" s="4">
        <v>9886.3984711968806</v>
      </c>
      <c r="BM176" s="4">
        <v>10055.899375652691</v>
      </c>
      <c r="BN176" s="4">
        <v>10226.582279423264</v>
      </c>
      <c r="BO176" s="4">
        <v>10398.426454365348</v>
      </c>
      <c r="BP176" s="4">
        <v>10571.410925253374</v>
      </c>
      <c r="BQ176" s="4">
        <v>10745.514481607363</v>
      </c>
      <c r="BR176" s="4">
        <v>10920.715689500597</v>
      </c>
      <c r="BS176" s="4">
        <v>11096.992903337376</v>
      </c>
      <c r="BT176" s="4">
        <v>11274.324277591448</v>
      </c>
      <c r="BU176" s="4">
        <v>11452.687778495982</v>
      </c>
    </row>
    <row r="177" spans="1:73" x14ac:dyDescent="0.25">
      <c r="A177" s="3" t="s">
        <v>180</v>
      </c>
      <c r="B177" s="3" t="str">
        <f>VLOOKUP(A177,'storage capacity'!$A$2:$C$195,3,FALSE)</f>
        <v>Sub-saharan africa</v>
      </c>
      <c r="C177" s="4">
        <v>14365.800000000047</v>
      </c>
      <c r="D177" s="4">
        <v>15358.794219894546</v>
      </c>
      <c r="E177" s="4">
        <v>16409.809961868905</v>
      </c>
      <c r="F177" s="4">
        <v>17521.518255003506</v>
      </c>
      <c r="G177" s="4">
        <v>18696.670741576025</v>
      </c>
      <c r="H177" s="4">
        <v>19938.09996048822</v>
      </c>
      <c r="I177" s="4">
        <v>21248.719524828433</v>
      </c>
      <c r="J177" s="4">
        <v>22631.524190558415</v>
      </c>
      <c r="K177" s="4">
        <v>24089.589813508104</v>
      </c>
      <c r="L177" s="4">
        <v>25626.073192067368</v>
      </c>
      <c r="M177" s="4">
        <v>27244.211793178918</v>
      </c>
      <c r="N177" s="4">
        <v>28947.323359461236</v>
      </c>
      <c r="O177" s="4">
        <v>30738.805395523246</v>
      </c>
      <c r="P177" s="4">
        <v>32622.134531773296</v>
      </c>
      <c r="Q177" s="4">
        <v>34600.865764273054</v>
      </c>
      <c r="R177" s="4">
        <v>36678.631569440957</v>
      </c>
      <c r="S177" s="4">
        <v>38859.140892669682</v>
      </c>
      <c r="T177" s="4">
        <v>41146.17801018645</v>
      </c>
      <c r="U177" s="4">
        <v>43543.601263753284</v>
      </c>
      <c r="V177" s="4">
        <v>46055.341668075671</v>
      </c>
      <c r="W177" s="4">
        <v>48685.401391061496</v>
      </c>
      <c r="X177" s="4">
        <v>51437.852107347004</v>
      </c>
      <c r="Y177" s="4">
        <v>54316.833225781789</v>
      </c>
      <c r="Z177" s="4">
        <v>57326.549991839813</v>
      </c>
      <c r="AA177" s="4">
        <v>60471.271466197046</v>
      </c>
      <c r="AB177" s="4">
        <v>63755.328380988176</v>
      </c>
      <c r="AC177" s="4">
        <v>67183.110875523445</v>
      </c>
      <c r="AD177" s="4">
        <v>70759.066113511843</v>
      </c>
      <c r="AE177" s="4">
        <v>74487.695784097799</v>
      </c>
      <c r="AF177" s="4">
        <v>78373.553489273487</v>
      </c>
      <c r="AG177" s="4">
        <v>82421.242020478894</v>
      </c>
      <c r="AH177" s="4">
        <v>86635.410527444197</v>
      </c>
      <c r="AI177" s="4">
        <v>91020.751582564801</v>
      </c>
      <c r="AJ177" s="4">
        <v>95581.998144326586</v>
      </c>
      <c r="AK177" s="4">
        <v>100323.92042351799</v>
      </c>
      <c r="AL177" s="4">
        <v>105251.32265617511</v>
      </c>
      <c r="AM177" s="4">
        <v>110369.03978740609</v>
      </c>
      <c r="AN177" s="4">
        <v>115681.93407043045</v>
      </c>
      <c r="AO177" s="4">
        <v>121194.89158534854</v>
      </c>
      <c r="AP177" s="4">
        <v>126912.81868232343</v>
      </c>
      <c r="AQ177" s="4">
        <v>132840.63835401493</v>
      </c>
      <c r="AR177" s="4">
        <v>138983.28654224885</v>
      </c>
      <c r="AS177" s="4">
        <v>145345.70838403807</v>
      </c>
      <c r="AT177" s="4">
        <v>151932.85440219112</v>
      </c>
      <c r="AU177" s="4">
        <v>158749.67664585231</v>
      </c>
      <c r="AV177" s="4">
        <v>165801.12478641115</v>
      </c>
      <c r="AW177" s="4">
        <v>173092.14217430181</v>
      </c>
      <c r="AX177" s="4">
        <v>180627.66186228089</v>
      </c>
      <c r="AY177" s="4">
        <v>188412.60260082895</v>
      </c>
      <c r="AZ177" s="4">
        <v>196451.86481136337</v>
      </c>
      <c r="BA177" s="4">
        <v>204750.32654298042</v>
      </c>
      <c r="BB177" s="4">
        <v>213312.83941846108</v>
      </c>
      <c r="BC177" s="4">
        <v>222144.22457528074</v>
      </c>
      <c r="BD177" s="4">
        <v>231249.26860735309</v>
      </c>
      <c r="BE177" s="4">
        <v>240632.71951321964</v>
      </c>
      <c r="BF177" s="4">
        <v>250299.28265636202</v>
      </c>
      <c r="BG177" s="4">
        <v>260253.61674327141</v>
      </c>
      <c r="BH177" s="4">
        <v>270500.32982485177</v>
      </c>
      <c r="BI177" s="4">
        <v>281043.97532666655</v>
      </c>
      <c r="BJ177" s="4">
        <v>291889.04811346129</v>
      </c>
      <c r="BK177" s="4">
        <v>303039.98059330363</v>
      </c>
      <c r="BL177" s="4">
        <v>314501.13886658481</v>
      </c>
      <c r="BM177" s="4">
        <v>326276.81892501732</v>
      </c>
      <c r="BN177" s="4">
        <v>338371.24290564482</v>
      </c>
      <c r="BO177" s="4">
        <v>350788.55540475406</v>
      </c>
      <c r="BP177" s="4">
        <v>363532.81985644303</v>
      </c>
      <c r="BQ177" s="4">
        <v>376608.01498045528</v>
      </c>
      <c r="BR177" s="4">
        <v>390018.0313037411</v>
      </c>
      <c r="BS177" s="4">
        <v>403766.66776004719</v>
      </c>
      <c r="BT177" s="4">
        <v>417857.62837167323</v>
      </c>
      <c r="BU177" s="4">
        <v>432294.51901736262</v>
      </c>
    </row>
    <row r="178" spans="1:73" x14ac:dyDescent="0.25">
      <c r="A178" s="3" t="s">
        <v>181</v>
      </c>
      <c r="B178" s="3" t="str">
        <f>VLOOKUP(A178,'storage capacity'!$A$2:$C$195,3,FALSE)</f>
        <v>Oceania</v>
      </c>
      <c r="C178" s="4">
        <v>690.53333333333285</v>
      </c>
      <c r="D178" s="4">
        <v>714.94861904761854</v>
      </c>
      <c r="E178" s="4">
        <v>739.97437410221039</v>
      </c>
      <c r="F178" s="4">
        <v>765.61710250281749</v>
      </c>
      <c r="G178" s="4">
        <v>791.88312871181631</v>
      </c>
      <c r="H178" s="4">
        <v>818.77859214355271</v>
      </c>
      <c r="I178" s="4">
        <v>846.30944183132601</v>
      </c>
      <c r="J178" s="4">
        <v>874.48143127195056</v>
      </c>
      <c r="K178" s="4">
        <v>903.30011345344803</v>
      </c>
      <c r="L178" s="4">
        <v>932.77083607107852</v>
      </c>
      <c r="M178" s="4">
        <v>962.89873693656625</v>
      </c>
      <c r="N178" s="4">
        <v>993.68873958502002</v>
      </c>
      <c r="O178" s="4">
        <v>1025.1455490836925</v>
      </c>
      <c r="P178" s="4">
        <v>1057.2736480463625</v>
      </c>
      <c r="Q178" s="4">
        <v>1090.0772928567646</v>
      </c>
      <c r="R178" s="4">
        <v>1123.5605101041297</v>
      </c>
      <c r="S178" s="4">
        <v>1157.7270932335398</v>
      </c>
      <c r="T178" s="4">
        <v>1192.580599413446</v>
      </c>
      <c r="U178" s="4">
        <v>1228.1243466223359</v>
      </c>
      <c r="V178" s="4">
        <v>1264.3614109561915</v>
      </c>
      <c r="W178" s="4">
        <v>1301.2946241580235</v>
      </c>
      <c r="X178" s="4">
        <v>1338.9265713704256</v>
      </c>
      <c r="Y178" s="4">
        <v>1377.259589111753</v>
      </c>
      <c r="Z178" s="4">
        <v>1416.2957634761915</v>
      </c>
      <c r="AA178" s="4">
        <v>1456.0369285576598</v>
      </c>
      <c r="AB178" s="4">
        <v>1496.4846650971624</v>
      </c>
      <c r="AC178" s="4">
        <v>1537.6402993528977</v>
      </c>
      <c r="AD178" s="4">
        <v>1579.5049021921184</v>
      </c>
      <c r="AE178" s="4">
        <v>1622.0792884034427</v>
      </c>
      <c r="AF178" s="4">
        <v>1665.3640162280249</v>
      </c>
      <c r="AG178" s="4">
        <v>1709.3593871077132</v>
      </c>
      <c r="AH178" s="4">
        <v>1754.0654456480474</v>
      </c>
      <c r="AI178" s="4">
        <v>1799.4819797936898</v>
      </c>
      <c r="AJ178" s="4">
        <v>1845.60852121363</v>
      </c>
      <c r="AK178" s="4">
        <v>1892.4443458932578</v>
      </c>
      <c r="AL178" s="4">
        <v>1939.9884749301716</v>
      </c>
      <c r="AM178" s="4">
        <v>1988.2396755303575</v>
      </c>
      <c r="AN178" s="4">
        <v>2037.1964622011806</v>
      </c>
      <c r="AO178" s="4">
        <v>2086.8570981374064</v>
      </c>
      <c r="AP178" s="4">
        <v>2137.2195967963025</v>
      </c>
      <c r="AQ178" s="4">
        <v>2188.2817236576739</v>
      </c>
      <c r="AR178" s="4">
        <v>2240.0409981645294</v>
      </c>
      <c r="AS178" s="4">
        <v>2292.4946958399109</v>
      </c>
      <c r="AT178" s="4">
        <v>2345.6398505752791</v>
      </c>
      <c r="AU178" s="4">
        <v>2399.4732570857054</v>
      </c>
      <c r="AV178" s="4">
        <v>2453.9914735270031</v>
      </c>
      <c r="AW178" s="4">
        <v>2509.1908242698082</v>
      </c>
      <c r="AX178" s="4">
        <v>2565.0674028255298</v>
      </c>
      <c r="AY178" s="4">
        <v>2621.6170749189814</v>
      </c>
      <c r="AZ178" s="4">
        <v>2678.8354817024351</v>
      </c>
      <c r="BA178" s="4">
        <v>2736.7180431057664</v>
      </c>
      <c r="BB178" s="4">
        <v>2795.2599613172852</v>
      </c>
      <c r="BC178" s="4">
        <v>2854.4562243898104</v>
      </c>
      <c r="BD178" s="4">
        <v>2914.3016099664965</v>
      </c>
      <c r="BE178" s="4">
        <v>2974.7906891208845</v>
      </c>
      <c r="BF178" s="4">
        <v>3035.9178303056287</v>
      </c>
      <c r="BG178" s="4">
        <v>3097.6772034043411</v>
      </c>
      <c r="BH178" s="4">
        <v>3160.0627838809751</v>
      </c>
      <c r="BI178" s="4">
        <v>3223.0683570211909</v>
      </c>
      <c r="BJ178" s="4">
        <v>3286.6875222601384</v>
      </c>
      <c r="BK178" s="4">
        <v>3350.9136975911192</v>
      </c>
      <c r="BL178" s="4">
        <v>3415.7401240496197</v>
      </c>
      <c r="BM178" s="4">
        <v>3481.1598702672291</v>
      </c>
      <c r="BN178" s="4">
        <v>3547.1658370900068</v>
      </c>
      <c r="BO178" s="4">
        <v>3613.750762255906</v>
      </c>
      <c r="BP178" s="4">
        <v>3680.9072251259126</v>
      </c>
      <c r="BQ178" s="4">
        <v>3748.6276514636202</v>
      </c>
      <c r="BR178" s="4">
        <v>3816.9043182580285</v>
      </c>
      <c r="BS178" s="4">
        <v>3885.7293585844177</v>
      </c>
      <c r="BT178" s="4">
        <v>3955.0947664982373</v>
      </c>
      <c r="BU178" s="4">
        <v>4024.9924019570153</v>
      </c>
    </row>
    <row r="179" spans="1:73" x14ac:dyDescent="0.25">
      <c r="A179" s="3" t="s">
        <v>182</v>
      </c>
      <c r="B179" s="3" t="str">
        <f>VLOOKUP(A179,'storage capacity'!$A$2:$C$195,3,FALSE)</f>
        <v>Other latin america</v>
      </c>
      <c r="C179" s="4">
        <v>34025.933333333349</v>
      </c>
      <c r="D179" s="4">
        <v>35115.232692017627</v>
      </c>
      <c r="E179" s="4">
        <v>36228.162940718597</v>
      </c>
      <c r="F179" s="4">
        <v>37364.883991601768</v>
      </c>
      <c r="G179" s="4">
        <v>38525.547748245917</v>
      </c>
      <c r="H179" s="4">
        <v>39710.29797834003</v>
      </c>
      <c r="I179" s="4">
        <v>40919.270193988676</v>
      </c>
      <c r="J179" s="4">
        <v>42152.591539710498</v>
      </c>
      <c r="K179" s="4">
        <v>43410.380688201833</v>
      </c>
      <c r="L179" s="4">
        <v>44692.747743925065</v>
      </c>
      <c r="M179" s="4">
        <v>45999.794154568823</v>
      </c>
      <c r="N179" s="4">
        <v>47331.612630414726</v>
      </c>
      <c r="O179" s="4">
        <v>48688.287071633764</v>
      </c>
      <c r="P179" s="4">
        <v>50069.892503522882</v>
      </c>
      <c r="Q179" s="4">
        <v>51476.495019681257</v>
      </c>
      <c r="R179" s="4">
        <v>52908.15173311394</v>
      </c>
      <c r="S179" s="4">
        <v>54364.910735239406</v>
      </c>
      <c r="T179" s="4">
        <v>55846.811062766865</v>
      </c>
      <c r="U179" s="4">
        <v>57353.882672398278</v>
      </c>
      <c r="V179" s="4">
        <v>58886.146423299833</v>
      </c>
      <c r="W179" s="4">
        <v>60443.614067277587</v>
      </c>
      <c r="X179" s="4">
        <v>62026.28824658232</v>
      </c>
      <c r="Y179" s="4">
        <v>63634.162499259277</v>
      </c>
      <c r="Z179" s="4">
        <v>65267.221271949427</v>
      </c>
      <c r="AA179" s="4">
        <v>66925.439940040189</v>
      </c>
      <c r="AB179" s="4">
        <v>68608.784835055558</v>
      </c>
      <c r="AC179" s="4">
        <v>70317.213279167132</v>
      </c>
      <c r="AD179" s="4">
        <v>72050.673626700547</v>
      </c>
      <c r="AE179" s="4">
        <v>73809.105312504296</v>
      </c>
      <c r="AF179" s="4">
        <v>75592.438907041229</v>
      </c>
      <c r="AG179" s="4">
        <v>77400.596178056643</v>
      </c>
      <c r="AH179" s="4">
        <v>79233.490158671062</v>
      </c>
      <c r="AI179" s="4">
        <v>81091.025221739619</v>
      </c>
      <c r="AJ179" s="4">
        <v>82973.09716031549</v>
      </c>
      <c r="AK179" s="4">
        <v>84879.593274049315</v>
      </c>
      <c r="AL179" s="4">
        <v>86810.392461352429</v>
      </c>
      <c r="AM179" s="4">
        <v>88765.365317147662</v>
      </c>
      <c r="AN179" s="4">
        <v>90744.374236027463</v>
      </c>
      <c r="AO179" s="4">
        <v>92747.273520636241</v>
      </c>
      <c r="AP179" s="4">
        <v>94773.909495090353</v>
      </c>
      <c r="AQ179" s="4">
        <v>96824.120623246854</v>
      </c>
      <c r="AR179" s="4">
        <v>98897.737631630051</v>
      </c>
      <c r="AS179" s="4">
        <v>100994.58363682254</v>
      </c>
      <c r="AT179" s="4">
        <v>103114.47427712622</v>
      </c>
      <c r="AU179" s="4">
        <v>105257.21784829746</v>
      </c>
      <c r="AV179" s="4">
        <v>107422.61544315965</v>
      </c>
      <c r="AW179" s="4">
        <v>109610.46109489616</v>
      </c>
      <c r="AX179" s="4">
        <v>111820.54192382564</v>
      </c>
      <c r="AY179" s="4">
        <v>114052.63828746261</v>
      </c>
      <c r="AZ179" s="4">
        <v>116306.52393366606</v>
      </c>
      <c r="BA179" s="4">
        <v>118581.96615667945</v>
      </c>
      <c r="BB179" s="4">
        <v>120878.72595586664</v>
      </c>
      <c r="BC179" s="4">
        <v>123196.55819694887</v>
      </c>
      <c r="BD179" s="4">
        <v>125535.21177555023</v>
      </c>
      <c r="BE179" s="4">
        <v>127894.42978285959</v>
      </c>
      <c r="BF179" s="4">
        <v>130273.94967321979</v>
      </c>
      <c r="BG179" s="4">
        <v>132673.50343345641</v>
      </c>
      <c r="BH179" s="4">
        <v>135092.81775376084</v>
      </c>
      <c r="BI179" s="4">
        <v>137531.61419994512</v>
      </c>
      <c r="BJ179" s="4">
        <v>139989.60938688822</v>
      </c>
      <c r="BK179" s="4">
        <v>142466.51515299681</v>
      </c>
      <c r="BL179" s="4">
        <v>144962.03873550618</v>
      </c>
      <c r="BM179" s="4">
        <v>147475.88294645044</v>
      </c>
      <c r="BN179" s="4">
        <v>150007.74634913407</v>
      </c>
      <c r="BO179" s="4">
        <v>152557.32343494103</v>
      </c>
      <c r="BP179" s="4">
        <v>155124.30480032018</v>
      </c>
      <c r="BQ179" s="4">
        <v>157708.3773237906</v>
      </c>
      <c r="BR179" s="4">
        <v>160309.22434281325</v>
      </c>
      <c r="BS179" s="4">
        <v>162926.52583038004</v>
      </c>
      <c r="BT179" s="4">
        <v>165559.95857117459</v>
      </c>
      <c r="BU179" s="4">
        <v>168209.19633716383</v>
      </c>
    </row>
    <row r="180" spans="1:73" x14ac:dyDescent="0.25">
      <c r="A180" s="3" t="s">
        <v>183</v>
      </c>
      <c r="B180" s="3" t="str">
        <f>VLOOKUP(A180,'storage capacity'!$A$2:$C$195,3,FALSE)</f>
        <v>Middle east</v>
      </c>
      <c r="C180" s="4">
        <v>62362.600000000093</v>
      </c>
      <c r="D180" s="4">
        <v>64653.042180023367</v>
      </c>
      <c r="E180" s="4">
        <v>67003.861650782914</v>
      </c>
      <c r="F180" s="4">
        <v>69415.795219580628</v>
      </c>
      <c r="G180" s="4">
        <v>71889.563443445513</v>
      </c>
      <c r="H180" s="4">
        <v>74425.869999327377</v>
      </c>
      <c r="I180" s="4">
        <v>77025.401069417334</v>
      </c>
      <c r="J180" s="4">
        <v>79688.824742331359</v>
      </c>
      <c r="K180" s="4">
        <v>82416.790430860521</v>
      </c>
      <c r="L180" s="4">
        <v>85209.928306958551</v>
      </c>
      <c r="M180" s="4">
        <v>88068.848754603154</v>
      </c>
      <c r="N180" s="4">
        <v>90994.141841132456</v>
      </c>
      <c r="O180" s="4">
        <v>93986.376807623179</v>
      </c>
      <c r="P180" s="4">
        <v>97046.101578840418</v>
      </c>
      <c r="Q180" s="4">
        <v>100173.84229325308</v>
      </c>
      <c r="R180" s="4">
        <v>103370.10285357211</v>
      </c>
      <c r="S180" s="4">
        <v>106635.36449823159</v>
      </c>
      <c r="T180" s="4">
        <v>109970.08539419557</v>
      </c>
      <c r="U180" s="4">
        <v>113374.70025143687</v>
      </c>
      <c r="V180" s="4">
        <v>116849.61995939568</v>
      </c>
      <c r="W180" s="4">
        <v>120395.23124569026</v>
      </c>
      <c r="X180" s="4">
        <v>124011.89635731329</v>
      </c>
      <c r="Y180" s="4">
        <v>127699.95276451243</v>
      </c>
      <c r="Z180" s="4">
        <v>131459.7128875159</v>
      </c>
      <c r="AA180" s="4">
        <v>135291.46384622875</v>
      </c>
      <c r="AB180" s="4">
        <v>139195.46723298958</v>
      </c>
      <c r="AC180" s="4">
        <v>143171.95890844241</v>
      </c>
      <c r="AD180" s="4">
        <v>147221.14882054419</v>
      </c>
      <c r="AE180" s="4">
        <v>151343.22084669472</v>
      </c>
      <c r="AF180" s="4">
        <v>155538.33265894203</v>
      </c>
      <c r="AG180" s="4">
        <v>159806.61561218498</v>
      </c>
      <c r="AH180" s="4">
        <v>164148.17465526238</v>
      </c>
      <c r="AI180" s="4">
        <v>168563.08826478766</v>
      </c>
      <c r="AJ180" s="4">
        <v>173051.40840155847</v>
      </c>
      <c r="AK180" s="4">
        <v>177613.16048934124</v>
      </c>
      <c r="AL180" s="4">
        <v>182248.34341580351</v>
      </c>
      <c r="AM180" s="4">
        <v>186956.92955533892</v>
      </c>
      <c r="AN180" s="4">
        <v>191738.86481350521</v>
      </c>
      <c r="AO180" s="4">
        <v>196594.06869276913</v>
      </c>
      <c r="AP180" s="4">
        <v>201522.43437922996</v>
      </c>
      <c r="AQ180" s="4">
        <v>206523.82884996946</v>
      </c>
      <c r="AR180" s="4">
        <v>211598.0930006546</v>
      </c>
      <c r="AS180" s="4">
        <v>216745.04179299995</v>
      </c>
      <c r="AT180" s="4">
        <v>221964.46442167586</v>
      </c>
      <c r="AU180" s="4">
        <v>227256.12450023103</v>
      </c>
      <c r="AV180" s="4">
        <v>232619.7602655807</v>
      </c>
      <c r="AW180" s="4">
        <v>238055.08480059626</v>
      </c>
      <c r="AX180" s="4">
        <v>243561.78627431631</v>
      </c>
      <c r="AY180" s="4">
        <v>249139.52819928588</v>
      </c>
      <c r="AZ180" s="4">
        <v>254787.94970551837</v>
      </c>
      <c r="BA180" s="4">
        <v>260506.66583056224</v>
      </c>
      <c r="BB180" s="4">
        <v>266295.26782514487</v>
      </c>
      <c r="BC180" s="4">
        <v>272153.32347385649</v>
      </c>
      <c r="BD180" s="4">
        <v>278080.37743032828</v>
      </c>
      <c r="BE180" s="4">
        <v>284075.95156635274</v>
      </c>
      <c r="BF180" s="4">
        <v>290139.54533438635</v>
      </c>
      <c r="BG180" s="4">
        <v>296270.63614287169</v>
      </c>
      <c r="BH180" s="4">
        <v>302468.67974380974</v>
      </c>
      <c r="BI180" s="4">
        <v>308733.11063201149</v>
      </c>
      <c r="BJ180" s="4">
        <v>315063.34245545516</v>
      </c>
      <c r="BK180" s="4">
        <v>321458.76843617338</v>
      </c>
      <c r="BL180" s="4">
        <v>327918.76180109585</v>
      </c>
      <c r="BM180" s="4">
        <v>334442.67622227111</v>
      </c>
      <c r="BN180" s="4">
        <v>341029.84626589459</v>
      </c>
      <c r="BO180" s="4">
        <v>347679.58784957079</v>
      </c>
      <c r="BP180" s="4">
        <v>354391.19870724017</v>
      </c>
      <c r="BQ180" s="4">
        <v>361163.95886120619</v>
      </c>
      <c r="BR180" s="4">
        <v>367997.13110070094</v>
      </c>
      <c r="BS180" s="4">
        <v>374889.9614664329</v>
      </c>
      <c r="BT180" s="4">
        <v>381841.67974056763</v>
      </c>
      <c r="BU180" s="4">
        <v>388851.49994159566</v>
      </c>
    </row>
    <row r="181" spans="1:73" x14ac:dyDescent="0.25">
      <c r="A181" s="3" t="s">
        <v>184</v>
      </c>
      <c r="B181" s="3" t="str">
        <f>VLOOKUP(A181,'storage capacity'!$A$2:$C$195,3,FALSE)</f>
        <v>Other eurasia</v>
      </c>
      <c r="C181" s="4">
        <v>1944283.5333333611</v>
      </c>
      <c r="D181" s="4">
        <v>2089830.7467797401</v>
      </c>
      <c r="E181" s="4">
        <v>2244709.0586041515</v>
      </c>
      <c r="F181" s="4">
        <v>2409401.9087637118</v>
      </c>
      <c r="G181" s="4">
        <v>2584410.4041199544</v>
      </c>
      <c r="H181" s="4">
        <v>2770253.553333581</v>
      </c>
      <c r="I181" s="4">
        <v>2967468.4837542749</v>
      </c>
      <c r="J181" s="4">
        <v>3176610.6393329646</v>
      </c>
      <c r="K181" s="4">
        <v>3398253.9586064829</v>
      </c>
      <c r="L181" s="4">
        <v>3632991.0318303183</v>
      </c>
      <c r="M181" s="4">
        <v>3881433.2363640536</v>
      </c>
      <c r="N181" s="4">
        <v>4144210.8494461039</v>
      </c>
      <c r="O181" s="4">
        <v>4421973.1375293713</v>
      </c>
      <c r="P181" s="4">
        <v>4715388.4213873819</v>
      </c>
      <c r="Q181" s="4">
        <v>5025144.1162412465</v>
      </c>
      <c r="R181" s="4">
        <v>5351946.7462012712</v>
      </c>
      <c r="S181" s="4">
        <v>5696521.9323631153</v>
      </c>
      <c r="T181" s="4">
        <v>6059614.3539469345</v>
      </c>
      <c r="U181" s="4">
        <v>6441987.6819187766</v>
      </c>
      <c r="V181" s="4">
        <v>6844424.4845865276</v>
      </c>
      <c r="W181" s="4">
        <v>7267726.1047176709</v>
      </c>
      <c r="X181" s="4">
        <v>7712712.5077830004</v>
      </c>
      <c r="Y181" s="4">
        <v>8180222.1009888612</v>
      </c>
      <c r="Z181" s="4">
        <v>8671111.5228204969</v>
      </c>
      <c r="AA181" s="4">
        <v>9186255.4028802887</v>
      </c>
      <c r="AB181" s="4">
        <v>9726546.0918670073</v>
      </c>
      <c r="AC181" s="4">
        <v>10292893.36160548</v>
      </c>
      <c r="AD181" s="4">
        <v>10886224.075099915</v>
      </c>
      <c r="AE181" s="4">
        <v>11507481.826648653</v>
      </c>
      <c r="AF181" s="4">
        <v>12157626.55212277</v>
      </c>
      <c r="AG181" s="4">
        <v>12837634.109575866</v>
      </c>
      <c r="AH181" s="4">
        <v>13548495.830417007</v>
      </c>
      <c r="AI181" s="4">
        <v>14291218.041443326</v>
      </c>
      <c r="AJ181" s="4">
        <v>15066821.558092641</v>
      </c>
      <c r="AK181" s="4">
        <v>15876341.149339752</v>
      </c>
      <c r="AL181" s="4">
        <v>16720824.974722415</v>
      </c>
      <c r="AM181" s="4">
        <v>17601333.994044341</v>
      </c>
      <c r="AN181" s="4">
        <v>18518941.350362584</v>
      </c>
      <c r="AO181" s="4">
        <v>19474731.726925407</v>
      </c>
      <c r="AP181" s="4">
        <v>20469800.678783704</v>
      </c>
      <c r="AQ181" s="4">
        <v>21505253.939854495</v>
      </c>
      <c r="AR181" s="4">
        <v>22582206.706268337</v>
      </c>
      <c r="AS181" s="4">
        <v>23701782.896883987</v>
      </c>
      <c r="AT181" s="4">
        <v>24865114.391902823</v>
      </c>
      <c r="AU181" s="4">
        <v>26073340.250562515</v>
      </c>
      <c r="AV181" s="4">
        <v>27327605.908933852</v>
      </c>
      <c r="AW181" s="4">
        <v>28629062.358886726</v>
      </c>
      <c r="AX181" s="4">
        <v>29978865.309330571</v>
      </c>
      <c r="AY181" s="4">
        <v>31378174.33087115</v>
      </c>
      <c r="AZ181" s="4">
        <v>32828151.985059589</v>
      </c>
      <c r="BA181" s="4">
        <v>34329962.93944037</v>
      </c>
      <c r="BB181" s="4">
        <v>35884773.069633134</v>
      </c>
      <c r="BC181" s="4">
        <v>37493748.549708351</v>
      </c>
      <c r="BD181" s="4">
        <v>39158054.93213886</v>
      </c>
      <c r="BE181" s="4">
        <v>40878856.218628354</v>
      </c>
      <c r="BF181" s="4">
        <v>42657313.923134126</v>
      </c>
      <c r="BG181" s="4">
        <v>44494586.12841399</v>
      </c>
      <c r="BH181" s="4">
        <v>46391826.537437581</v>
      </c>
      <c r="BI181" s="4">
        <v>48350183.521008715</v>
      </c>
      <c r="BJ181" s="4">
        <v>50370799.162949719</v>
      </c>
      <c r="BK181" s="4">
        <v>52454808.304199114</v>
      </c>
      <c r="BL181" s="4">
        <v>54603337.587172151</v>
      </c>
      <c r="BM181" s="4">
        <v>56817504.501728639</v>
      </c>
      <c r="BN181" s="4">
        <v>59098416.434084535</v>
      </c>
      <c r="BO181" s="4">
        <v>61447169.719993144</v>
      </c>
      <c r="BP181" s="4">
        <v>63864848.703508452</v>
      </c>
      <c r="BQ181" s="4">
        <v>66352524.802626856</v>
      </c>
      <c r="BR181" s="4">
        <v>68911255.58308515</v>
      </c>
      <c r="BS181" s="4">
        <v>71542083.84157145</v>
      </c>
      <c r="BT181" s="4">
        <v>74246036.69958213</v>
      </c>
      <c r="BU181" s="4">
        <v>77024124.709132314</v>
      </c>
    </row>
    <row r="182" spans="1:73" x14ac:dyDescent="0.25">
      <c r="A182" s="3" t="s">
        <v>185</v>
      </c>
      <c r="B182" s="3" t="str">
        <f>VLOOKUP(A182,'storage capacity'!$A$2:$C$195,3,FALSE)</f>
        <v>Other eurasia</v>
      </c>
      <c r="C182" s="4">
        <v>134090.80000000075</v>
      </c>
      <c r="D182" s="4">
        <v>144882.04515111251</v>
      </c>
      <c r="E182" s="4">
        <v>156425.14199703996</v>
      </c>
      <c r="F182" s="4">
        <v>168763.2771725425</v>
      </c>
      <c r="G182" s="4">
        <v>181941.47767684812</v>
      </c>
      <c r="H182" s="4">
        <v>196006.65050304041</v>
      </c>
      <c r="I182" s="4">
        <v>211007.62100802796</v>
      </c>
      <c r="J182" s="4">
        <v>226995.16990004739</v>
      </c>
      <c r="K182" s="4">
        <v>244022.06872055153</v>
      </c>
      <c r="L182" s="4">
        <v>262143.11369761176</v>
      </c>
      <c r="M182" s="4">
        <v>281415.15784862323</v>
      </c>
      <c r="N182" s="4">
        <v>301897.14121114567</v>
      </c>
      <c r="O182" s="4">
        <v>323650.11908214533</v>
      </c>
      <c r="P182" s="4">
        <v>346737.28814772505</v>
      </c>
      <c r="Q182" s="4">
        <v>371224.01038763754</v>
      </c>
      <c r="R182" s="4">
        <v>397177.83464147127</v>
      </c>
      <c r="S182" s="4">
        <v>424668.51572637341</v>
      </c>
      <c r="T182" s="4">
        <v>453768.03099952347</v>
      </c>
      <c r="U182" s="4">
        <v>484550.59426229057</v>
      </c>
      <c r="V182" s="4">
        <v>517092.66690708412</v>
      </c>
      <c r="W182" s="4">
        <v>551472.96621233469</v>
      </c>
      <c r="X182" s="4">
        <v>587772.47069580446</v>
      </c>
      <c r="Y182" s="4">
        <v>626074.42244151677</v>
      </c>
      <c r="Z182" s="4">
        <v>666464.32632098976</v>
      </c>
      <c r="AA182" s="4">
        <v>709029.9460351537</v>
      </c>
      <c r="AB182" s="4">
        <v>753861.29690929968</v>
      </c>
      <c r="AC182" s="4">
        <v>801050.63537963689</v>
      </c>
      <c r="AD182" s="4">
        <v>850692.44511650526</v>
      </c>
      <c r="AE182" s="4">
        <v>902883.41973598197</v>
      </c>
      <c r="AF182" s="4">
        <v>957722.44205850887</v>
      </c>
      <c r="AG182" s="4">
        <v>1015310.5598802399</v>
      </c>
      <c r="AH182" s="4">
        <v>1075750.9582300305</v>
      </c>
      <c r="AI182" s="4">
        <v>1139148.928092354</v>
      </c>
      <c r="AJ182" s="4">
        <v>1205611.8315838976</v>
      </c>
      <c r="AK182" s="4">
        <v>1275249.0635791544</v>
      </c>
      <c r="AL182" s="4">
        <v>1348172.0097879448</v>
      </c>
      <c r="AM182" s="4">
        <v>1424494.0012954669</v>
      </c>
      <c r="AN182" s="4">
        <v>1504330.2655831557</v>
      </c>
      <c r="AO182" s="4">
        <v>1587797.8740563015</v>
      </c>
      <c r="AP182" s="4">
        <v>1675015.6861120211</v>
      </c>
      <c r="AQ182" s="4">
        <v>1766104.2897887605</v>
      </c>
      <c r="AR182" s="4">
        <v>1861185.9390460216</v>
      </c>
      <c r="AS182" s="4">
        <v>1960384.4877304176</v>
      </c>
      <c r="AT182" s="4">
        <v>2063825.3202914449</v>
      </c>
      <c r="AU182" s="4">
        <v>2171635.2793175159</v>
      </c>
      <c r="AV182" s="4">
        <v>2283942.5899697719</v>
      </c>
      <c r="AW182" s="4">
        <v>2400876.7813980044</v>
      </c>
      <c r="AX182" s="4">
        <v>2522568.6052295985</v>
      </c>
      <c r="AY182" s="4">
        <v>2649149.9512288058</v>
      </c>
      <c r="AZ182" s="4">
        <v>2780753.7602297734</v>
      </c>
      <c r="BA182" s="4">
        <v>2917513.9344526595</v>
      </c>
      <c r="BB182" s="4">
        <v>3059565.2453177641</v>
      </c>
      <c r="BC182" s="4">
        <v>3207043.2388779484</v>
      </c>
      <c r="BD182" s="4">
        <v>3360084.1389946379</v>
      </c>
      <c r="BE182" s="4">
        <v>3518824.748387441</v>
      </c>
      <c r="BF182" s="4">
        <v>3683402.3476918163</v>
      </c>
      <c r="BG182" s="4">
        <v>3853954.5926632914</v>
      </c>
      <c r="BH182" s="4">
        <v>4030619.4096704964</v>
      </c>
      <c r="BI182" s="4">
        <v>4213534.8896226408</v>
      </c>
      <c r="BJ182" s="4">
        <v>4402839.1804801347</v>
      </c>
      <c r="BK182" s="4">
        <v>4598670.3784997333</v>
      </c>
      <c r="BL182" s="4">
        <v>4801166.4183679055</v>
      </c>
      <c r="BM182" s="4">
        <v>5010464.9623781163</v>
      </c>
      <c r="BN182" s="4">
        <v>5226703.2888093088</v>
      </c>
      <c r="BO182" s="4">
        <v>5450018.1796641126</v>
      </c>
      <c r="BP182" s="4">
        <v>5680545.8079262087</v>
      </c>
      <c r="BQ182" s="4">
        <v>5918421.6244967813</v>
      </c>
      <c r="BR182" s="4">
        <v>6163780.2449701848</v>
      </c>
      <c r="BS182" s="4">
        <v>6416755.3364087446</v>
      </c>
      <c r="BT182" s="4">
        <v>6677479.5042761164</v>
      </c>
      <c r="BU182" s="4">
        <v>6946084.1796877263</v>
      </c>
    </row>
    <row r="183" spans="1:73" x14ac:dyDescent="0.25">
      <c r="A183" s="3" t="s">
        <v>186</v>
      </c>
      <c r="B183" s="3" t="str">
        <f>VLOOKUP(A183,'storage capacity'!$A$2:$C$195,3,FALSE)</f>
        <v>Oceania</v>
      </c>
      <c r="C183" s="4">
        <v>101.66666666666606</v>
      </c>
      <c r="D183" s="4">
        <v>107.72991967871421</v>
      </c>
      <c r="E183" s="4">
        <v>114.0905277676966</v>
      </c>
      <c r="F183" s="4">
        <v>120.75931843049588</v>
      </c>
      <c r="G183" s="4">
        <v>127.74732562655936</v>
      </c>
      <c r="H183" s="4">
        <v>135.06578560078788</v>
      </c>
      <c r="I183" s="4">
        <v>142.72613234816097</v>
      </c>
      <c r="J183" s="4">
        <v>150.73999272180603</v>
      </c>
      <c r="K183" s="4">
        <v>159.11918118699577</v>
      </c>
      <c r="L183" s="4">
        <v>167.87569422433285</v>
      </c>
      <c r="M183" s="4">
        <v>177.02170438614885</v>
      </c>
      <c r="N183" s="4">
        <v>186.56955401090769</v>
      </c>
      <c r="O183" s="4">
        <v>196.53174860115431</v>
      </c>
      <c r="P183" s="4">
        <v>206.9209498712905</v>
      </c>
      <c r="Q183" s="4">
        <v>217.74996847218588</v>
      </c>
      <c r="R183" s="4">
        <v>229.03175640034135</v>
      </c>
      <c r="S183" s="4">
        <v>240.77939910001479</v>
      </c>
      <c r="T183" s="4">
        <v>253.00610726739006</v>
      </c>
      <c r="U183" s="4">
        <v>265.72520836651978</v>
      </c>
      <c r="V183" s="4">
        <v>278.95013786739884</v>
      </c>
      <c r="W183" s="4">
        <v>292.69443021712476</v>
      </c>
      <c r="X183" s="4">
        <v>306.97170955567589</v>
      </c>
      <c r="Y183" s="4">
        <v>321.79568018838222</v>
      </c>
      <c r="Z183" s="4">
        <v>337.180116827679</v>
      </c>
      <c r="AA183" s="4">
        <v>353.13885461721702</v>
      </c>
      <c r="AB183" s="4">
        <v>369.68577895185683</v>
      </c>
      <c r="AC183" s="4">
        <v>386.83481510749039</v>
      </c>
      <c r="AD183" s="4">
        <v>404.59991769502074</v>
      </c>
      <c r="AE183" s="4">
        <v>422.99505995317946</v>
      </c>
      <c r="AF183" s="4">
        <v>442.03422289517562</v>
      </c>
      <c r="AG183" s="4">
        <v>461.73138432445035</v>
      </c>
      <c r="AH183" s="4">
        <v>482.10050773505179</v>
      </c>
      <c r="AI183" s="4">
        <v>503.15553111235357</v>
      </c>
      <c r="AJ183" s="4">
        <v>524.91035565000641</v>
      </c>
      <c r="AK183" s="4">
        <v>547.37883439914856</v>
      </c>
      <c r="AL183" s="4">
        <v>570.57476086599388</v>
      </c>
      <c r="AM183" s="4">
        <v>594.51185757397889</v>
      </c>
      <c r="AN183" s="4">
        <v>619.20376460667205</v>
      </c>
      <c r="AO183" s="4">
        <v>644.66402814763671</v>
      </c>
      <c r="AP183" s="4">
        <v>670.9060890333941</v>
      </c>
      <c r="AQ183" s="4">
        <v>697.9432713355493</v>
      </c>
      <c r="AR183" s="4">
        <v>725.78877098802786</v>
      </c>
      <c r="AS183" s="4">
        <v>754.4556444752252</v>
      </c>
      <c r="AT183" s="4">
        <v>783.95679759668565</v>
      </c>
      <c r="AU183" s="4">
        <v>814.30497432372249</v>
      </c>
      <c r="AV183" s="4">
        <v>845.51274576314199</v>
      </c>
      <c r="AW183" s="4">
        <v>877.5924992429708</v>
      </c>
      <c r="AX183" s="4">
        <v>910.55642753477969</v>
      </c>
      <c r="AY183" s="4">
        <v>944.41651822687902</v>
      </c>
      <c r="AZ183" s="4">
        <v>979.18454326230381</v>
      </c>
      <c r="BA183" s="4">
        <v>1014.8720486551347</v>
      </c>
      <c r="BB183" s="4">
        <v>1051.4903443983039</v>
      </c>
      <c r="BC183" s="4">
        <v>1089.0504945756143</v>
      </c>
      <c r="BD183" s="4">
        <v>1127.5633076902584</v>
      </c>
      <c r="BE183" s="4">
        <v>1167.0393272216743</v>
      </c>
      <c r="BF183" s="4">
        <v>1207.4888224220881</v>
      </c>
      <c r="BG183" s="4">
        <v>1248.9217793636153</v>
      </c>
      <c r="BH183" s="4">
        <v>1291.3478922462764</v>
      </c>
      <c r="BI183" s="4">
        <v>1334.7765549767735</v>
      </c>
      <c r="BJ183" s="4">
        <v>1379.2168530273393</v>
      </c>
      <c r="BK183" s="4">
        <v>1424.6775555834352</v>
      </c>
      <c r="BL183" s="4">
        <v>1471.1671079885243</v>
      </c>
      <c r="BM183" s="4">
        <v>1518.6936244935962</v>
      </c>
      <c r="BN183" s="4">
        <v>1567.2648813185504</v>
      </c>
      <c r="BO183" s="4">
        <v>1616.8883100319958</v>
      </c>
      <c r="BP183" s="4">
        <v>1667.5709912554428</v>
      </c>
      <c r="BQ183" s="4">
        <v>1719.3196486973034</v>
      </c>
      <c r="BR183" s="4">
        <v>1772.1406435215463</v>
      </c>
      <c r="BS183" s="4">
        <v>1826.0399690552852</v>
      </c>
      <c r="BT183" s="4">
        <v>1881.0232458390092</v>
      </c>
      <c r="BU183" s="4">
        <v>1937.0957170226118</v>
      </c>
    </row>
    <row r="184" spans="1:73" x14ac:dyDescent="0.25">
      <c r="A184" s="3" t="s">
        <v>187</v>
      </c>
      <c r="B184" s="3" t="str">
        <f>VLOOKUP(A184,'storage capacity'!$A$2:$C$195,3,FALSE)</f>
        <v>Sub-saharan africa</v>
      </c>
      <c r="C184" s="4">
        <v>96611.133333332837</v>
      </c>
      <c r="D184" s="4">
        <v>105417.1610715287</v>
      </c>
      <c r="E184" s="4">
        <v>114929.76431221425</v>
      </c>
      <c r="F184" s="4">
        <v>125197.05310050474</v>
      </c>
      <c r="G184" s="4">
        <v>136269.72834912455</v>
      </c>
      <c r="H184" s="4">
        <v>148201.17327335975</v>
      </c>
      <c r="I184" s="4">
        <v>161047.54507184873</v>
      </c>
      <c r="J184" s="4">
        <v>174867.86666293824</v>
      </c>
      <c r="K184" s="4">
        <v>189724.11827875685</v>
      </c>
      <c r="L184" s="4">
        <v>205681.32871199053</v>
      </c>
      <c r="M184" s="4">
        <v>222807.66600362476</v>
      </c>
      <c r="N184" s="4">
        <v>241174.52735368098</v>
      </c>
      <c r="O184" s="4">
        <v>260856.62803125978</v>
      </c>
      <c r="P184" s="4">
        <v>281932.08905504254</v>
      </c>
      <c r="Q184" s="4">
        <v>304482.52341082954</v>
      </c>
      <c r="R184" s="4">
        <v>328593.12056873791</v>
      </c>
      <c r="S184" s="4">
        <v>354352.72905937408</v>
      </c>
      <c r="T184" s="4">
        <v>381853.93686565856</v>
      </c>
      <c r="U184" s="4">
        <v>411193.14938504185</v>
      </c>
      <c r="V184" s="4">
        <v>442470.66471562465</v>
      </c>
      <c r="W184" s="4">
        <v>475790.74601920863</v>
      </c>
      <c r="X184" s="4">
        <v>511261.69071456254</v>
      </c>
      <c r="Y184" s="4">
        <v>548995.89625521132</v>
      </c>
      <c r="Z184" s="4">
        <v>589109.92224784975</v>
      </c>
      <c r="AA184" s="4">
        <v>631724.54867004801</v>
      </c>
      <c r="AB184" s="4">
        <v>676964.82994926907</v>
      </c>
      <c r="AC184" s="4">
        <v>724960.14466934139</v>
      </c>
      <c r="AD184" s="4">
        <v>775844.24067543144</v>
      </c>
      <c r="AE184" s="4">
        <v>829755.27535423264</v>
      </c>
      <c r="AF184" s="4">
        <v>886835.85087251058</v>
      </c>
      <c r="AG184" s="4">
        <v>947233.04416431522</v>
      </c>
      <c r="AH184" s="4">
        <v>1011098.4314650716</v>
      </c>
      <c r="AI184" s="4">
        <v>1078588.107199365</v>
      </c>
      <c r="AJ184" s="4">
        <v>1149862.6970385269</v>
      </c>
      <c r="AK184" s="4">
        <v>1225087.3649540879</v>
      </c>
      <c r="AL184" s="4">
        <v>1304431.8141037431</v>
      </c>
      <c r="AM184" s="4">
        <v>1388070.2813976679</v>
      </c>
      <c r="AN184" s="4">
        <v>1476181.5256047826</v>
      </c>
      <c r="AO184" s="4">
        <v>1568948.8088708508</v>
      </c>
      <c r="AP184" s="4">
        <v>1666559.8715330965</v>
      </c>
      <c r="AQ184" s="4">
        <v>1769206.9001292677</v>
      </c>
      <c r="AR184" s="4">
        <v>1877086.4885127449</v>
      </c>
      <c r="AS184" s="4">
        <v>1990399.5919993322</v>
      </c>
      <c r="AT184" s="4">
        <v>2109351.4744857457</v>
      </c>
      <c r="AU184" s="4">
        <v>2234151.6484944727</v>
      </c>
      <c r="AV184" s="4">
        <v>2365013.8081145766</v>
      </c>
      <c r="AW184" s="4">
        <v>2502155.7548231171</v>
      </c>
      <c r="AX184" s="4">
        <v>2645799.316187101</v>
      </c>
      <c r="AY184" s="4">
        <v>2796170.2574612154</v>
      </c>
      <c r="AZ184" s="4">
        <v>2953498.1861119904</v>
      </c>
      <c r="BA184" s="4">
        <v>3118016.4493144425</v>
      </c>
      <c r="BB184" s="4">
        <v>3289962.0244825911</v>
      </c>
      <c r="BC184" s="4">
        <v>3469575.402910518</v>
      </c>
      <c r="BD184" s="4">
        <v>3657100.4666157588</v>
      </c>
      <c r="BE184" s="4">
        <v>3852784.3584917672</v>
      </c>
      <c r="BF184" s="4">
        <v>4056877.3458909052</v>
      </c>
      <c r="BG184" s="4">
        <v>4269632.6777738705</v>
      </c>
      <c r="BH184" s="4">
        <v>4491306.4355756016</v>
      </c>
      <c r="BI184" s="4">
        <v>4722157.3779514963</v>
      </c>
      <c r="BJ184" s="4">
        <v>4962446.7795811584</v>
      </c>
      <c r="BK184" s="4">
        <v>5212438.2642198736</v>
      </c>
      <c r="BL184" s="4">
        <v>5472397.6322004925</v>
      </c>
      <c r="BM184" s="4">
        <v>5742592.6826004246</v>
      </c>
      <c r="BN184" s="4">
        <v>6023293.0302999029</v>
      </c>
      <c r="BO184" s="4">
        <v>6314769.9181686165</v>
      </c>
      <c r="BP184" s="4">
        <v>6617296.0246281074</v>
      </c>
      <c r="BQ184" s="4">
        <v>6931145.2668470824</v>
      </c>
      <c r="BR184" s="4">
        <v>7256592.5998358661</v>
      </c>
      <c r="BS184" s="4">
        <v>7593913.8117146417</v>
      </c>
      <c r="BT184" s="4">
        <v>7943385.3154379195</v>
      </c>
      <c r="BU184" s="4">
        <v>8305283.9372647284</v>
      </c>
    </row>
    <row r="185" spans="1:73" x14ac:dyDescent="0.25">
      <c r="A185" s="3" t="s">
        <v>188</v>
      </c>
      <c r="B185" s="3" t="str">
        <f>VLOOKUP(A185,'storage capacity'!$A$2:$C$195,3,FALSE)</f>
        <v>Other eurasia</v>
      </c>
      <c r="C185" s="4">
        <v>247309.79999999702</v>
      </c>
      <c r="D185" s="4">
        <v>260807.35758864199</v>
      </c>
      <c r="E185" s="4">
        <v>274899.23629829724</v>
      </c>
      <c r="F185" s="4">
        <v>289603.99104064034</v>
      </c>
      <c r="G185" s="4">
        <v>304940.41088967538</v>
      </c>
      <c r="H185" s="4">
        <v>320927.50834645098</v>
      </c>
      <c r="I185" s="4">
        <v>337584.50813257514</v>
      </c>
      <c r="J185" s="4">
        <v>354930.83552485291</v>
      </c>
      <c r="K185" s="4">
        <v>372986.10424437845</v>
      </c>
      <c r="L185" s="4">
        <v>391770.10391438339</v>
      </c>
      <c r="M185" s="4">
        <v>411302.78710208141</v>
      </c>
      <c r="N185" s="4">
        <v>431604.25596064812</v>
      </c>
      <c r="O185" s="4">
        <v>452694.74848833657</v>
      </c>
      <c r="P185" s="4">
        <v>474594.62442254351</v>
      </c>
      <c r="Q185" s="4">
        <v>497324.35078741959</v>
      </c>
      <c r="R185" s="4">
        <v>520904.48711434135</v>
      </c>
      <c r="S185" s="4">
        <v>545355.67035524524</v>
      </c>
      <c r="T185" s="4">
        <v>570698.59950945526</v>
      </c>
      <c r="U185" s="4">
        <v>596954.01998521597</v>
      </c>
      <c r="V185" s="4">
        <v>624142.7077176735</v>
      </c>
      <c r="W185" s="4">
        <v>652285.45306552481</v>
      </c>
      <c r="X185" s="4">
        <v>681403.04450897768</v>
      </c>
      <c r="Y185" s="4">
        <v>711516.25217203551</v>
      </c>
      <c r="Z185" s="4">
        <v>742645.81119243789</v>
      </c>
      <c r="AA185" s="4">
        <v>774812.40496284724</v>
      </c>
      <c r="AB185" s="4">
        <v>808036.64826707973</v>
      </c>
      <c r="AC185" s="4">
        <v>842339.07033533347</v>
      </c>
      <c r="AD185" s="4">
        <v>877740.09784246213</v>
      </c>
      <c r="AE185" s="4">
        <v>914260.03787338815</v>
      </c>
      <c r="AF185" s="4">
        <v>951919.06087974389</v>
      </c>
      <c r="AG185" s="4">
        <v>990737.18365176325</v>
      </c>
      <c r="AH185" s="4">
        <v>1030734.2523293394</v>
      </c>
      <c r="AI185" s="4">
        <v>1071929.9254759981</v>
      </c>
      <c r="AJ185" s="4">
        <v>1114343.657239326</v>
      </c>
      <c r="AK185" s="4">
        <v>1157994.6806211332</v>
      </c>
      <c r="AL185" s="4">
        <v>1202901.9908803201</v>
      </c>
      <c r="AM185" s="4">
        <v>1249084.3290910725</v>
      </c>
      <c r="AN185" s="4">
        <v>1296560.1658786088</v>
      </c>
      <c r="AO185" s="4">
        <v>1345347.6853542661</v>
      </c>
      <c r="AP185" s="4">
        <v>1395464.7692712401</v>
      </c>
      <c r="AQ185" s="4">
        <v>1446928.9814217731</v>
      </c>
      <c r="AR185" s="4">
        <v>1499757.5522960327</v>
      </c>
      <c r="AS185" s="4">
        <v>1553967.3640223457</v>
      </c>
      <c r="AT185" s="4">
        <v>1609574.9356078228</v>
      </c>
      <c r="AU185" s="4">
        <v>1666596.4084977694</v>
      </c>
      <c r="AV185" s="4">
        <v>1725047.5324715988</v>
      </c>
      <c r="AW185" s="4">
        <v>1784943.6518922637</v>
      </c>
      <c r="AX185" s="4">
        <v>1846299.6923254917</v>
      </c>
      <c r="AY185" s="4">
        <v>1909130.1475443696</v>
      </c>
      <c r="AZ185" s="4">
        <v>1973449.0669340489</v>
      </c>
      <c r="BA185" s="4">
        <v>2039270.0433105647</v>
      </c>
      <c r="BB185" s="4">
        <v>2106606.2011669567</v>
      </c>
      <c r="BC185" s="4">
        <v>2175470.1853590761</v>
      </c>
      <c r="BD185" s="4">
        <v>2245874.1502426341</v>
      </c>
      <c r="BE185" s="4">
        <v>2317829.7492722161</v>
      </c>
      <c r="BF185" s="4">
        <v>2391348.1250721491</v>
      </c>
      <c r="BG185" s="4">
        <v>2466439.8999882727</v>
      </c>
      <c r="BH185" s="4">
        <v>2543115.1671288079</v>
      </c>
      <c r="BI185" s="4">
        <v>2621383.4819016829</v>
      </c>
      <c r="BJ185" s="4">
        <v>2701253.8540548244</v>
      </c>
      <c r="BK185" s="4">
        <v>2782734.7402250851</v>
      </c>
      <c r="BL185" s="4">
        <v>2865834.037000638</v>
      </c>
      <c r="BM185" s="4">
        <v>2950559.0745008434</v>
      </c>
      <c r="BN185" s="4">
        <v>3036916.61047677</v>
      </c>
      <c r="BO185" s="4">
        <v>3124912.8249347401</v>
      </c>
      <c r="BP185" s="4">
        <v>3214553.3152844659</v>
      </c>
      <c r="BQ185" s="4">
        <v>3305843.0920125637</v>
      </c>
      <c r="BR185" s="4">
        <v>3398786.5748814531</v>
      </c>
      <c r="BS185" s="4">
        <v>3493387.5896528885</v>
      </c>
      <c r="BT185" s="4">
        <v>3589649.3653346412</v>
      </c>
      <c r="BU185" s="4">
        <v>3687574.5319481059</v>
      </c>
    </row>
    <row r="186" spans="1:73" x14ac:dyDescent="0.25">
      <c r="A186" s="3" t="s">
        <v>189</v>
      </c>
      <c r="B186" s="3" t="str">
        <f>VLOOKUP(A186,'storage capacity'!$A$2:$C$195,3,FALSE)</f>
        <v>Middle east</v>
      </c>
      <c r="C186" s="4">
        <v>753099.86666665971</v>
      </c>
      <c r="D186" s="4">
        <v>796458.98050114943</v>
      </c>
      <c r="E186" s="4">
        <v>841855.90534110984</v>
      </c>
      <c r="F186" s="4">
        <v>889360.53959663899</v>
      </c>
      <c r="G186" s="4">
        <v>939043.93484032073</v>
      </c>
      <c r="H186" s="4">
        <v>990978.26293311373</v>
      </c>
      <c r="I186" s="4">
        <v>1045236.7810356329</v>
      </c>
      <c r="J186" s="4">
        <v>1101893.794531577</v>
      </c>
      <c r="K186" s="4">
        <v>1161024.6178946393</v>
      </c>
      <c r="L186" s="4">
        <v>1222705.5335347699</v>
      </c>
      <c r="M186" s="4">
        <v>1287013.7486640962</v>
      </c>
      <c r="N186" s="4">
        <v>1354027.3502271634</v>
      </c>
      <c r="O186" s="4">
        <v>1423825.2579444088</v>
      </c>
      <c r="P186" s="4">
        <v>1496487.1755219125</v>
      </c>
      <c r="Q186" s="4">
        <v>1572093.5400844747</v>
      </c>
      <c r="R186" s="4">
        <v>1650725.4698929314</v>
      </c>
      <c r="S186" s="4">
        <v>1732464.7104103444</v>
      </c>
      <c r="T186" s="4">
        <v>1817393.5787852495</v>
      </c>
      <c r="U186" s="4">
        <v>1905594.9068235429</v>
      </c>
      <c r="V186" s="4">
        <v>1997151.9825237964</v>
      </c>
      <c r="W186" s="4">
        <v>2092148.4902538189</v>
      </c>
      <c r="X186" s="4">
        <v>2190668.4496491174</v>
      </c>
      <c r="Y186" s="4">
        <v>2292796.1533165523</v>
      </c>
      <c r="Z186" s="4">
        <v>2398616.1034289119</v>
      </c>
      <c r="AA186" s="4">
        <v>2508212.9472983638</v>
      </c>
      <c r="AB186" s="4">
        <v>2621671.4120187466</v>
      </c>
      <c r="AC186" s="4">
        <v>2739076.2382684723</v>
      </c>
      <c r="AD186" s="4">
        <v>2860512.1133673759</v>
      </c>
      <c r="AE186" s="4">
        <v>2986063.6036822274</v>
      </c>
      <c r="AF186" s="4">
        <v>3115815.0864767348</v>
      </c>
      <c r="AG186" s="4">
        <v>3249850.6813028008</v>
      </c>
      <c r="AH186" s="4">
        <v>3388254.1810304779</v>
      </c>
      <c r="AI186" s="4">
        <v>3531108.9826145382</v>
      </c>
      <c r="AJ186" s="4">
        <v>3678498.0176958391</v>
      </c>
      <c r="AK186" s="4">
        <v>3830503.6831356734</v>
      </c>
      <c r="AL186" s="4">
        <v>3987207.7715811525</v>
      </c>
      <c r="AM186" s="4">
        <v>4148691.4021592359</v>
      </c>
      <c r="AN186" s="4">
        <v>4315034.9513964634</v>
      </c>
      <c r="AO186" s="4">
        <v>4486317.9844606137</v>
      </c>
      <c r="AP186" s="4">
        <v>4662619.1868195366</v>
      </c>
      <c r="AQ186" s="4">
        <v>4844016.2964112079</v>
      </c>
      <c r="AR186" s="4">
        <v>5030586.0364176789</v>
      </c>
      <c r="AS186" s="4">
        <v>5222404.0487340456</v>
      </c>
      <c r="AT186" s="4">
        <v>5419544.8282218203</v>
      </c>
      <c r="AU186" s="4">
        <v>5622081.6578342179</v>
      </c>
      <c r="AV186" s="4">
        <v>5830086.5446987897</v>
      </c>
      <c r="AW186" s="4">
        <v>6043630.1572406646</v>
      </c>
      <c r="AX186" s="4">
        <v>6262781.7634272855</v>
      </c>
      <c r="AY186" s="4">
        <v>6487609.1702130819</v>
      </c>
      <c r="AZ186" s="4">
        <v>6718178.6642598845</v>
      </c>
      <c r="BA186" s="4">
        <v>6954554.9540061904</v>
      </c>
      <c r="BB186" s="4">
        <v>7196801.1131555494</v>
      </c>
      <c r="BC186" s="4">
        <v>7444978.5256514102</v>
      </c>
      <c r="BD186" s="4">
        <v>7699146.8322027558</v>
      </c>
      <c r="BE186" s="4">
        <v>7959363.8784217453</v>
      </c>
      <c r="BF186" s="4">
        <v>8225685.664631418</v>
      </c>
      <c r="BG186" s="4">
        <v>8498166.297398258</v>
      </c>
      <c r="BH186" s="4">
        <v>8776857.9428411555</v>
      </c>
      <c r="BI186" s="4">
        <v>9061810.7817649189</v>
      </c>
      <c r="BJ186" s="4">
        <v>9353072.9666631538</v>
      </c>
      <c r="BK186" s="4">
        <v>9650690.580631895</v>
      </c>
      <c r="BL186" s="4">
        <v>9954707.5982319564</v>
      </c>
      <c r="BM186" s="4">
        <v>10265165.848334514</v>
      </c>
      <c r="BN186" s="4">
        <v>10582104.978980998</v>
      </c>
      <c r="BO186" s="4">
        <v>10905562.424284944</v>
      </c>
      <c r="BP186" s="4">
        <v>11235573.373399965</v>
      </c>
      <c r="BQ186" s="4">
        <v>11572170.741574654</v>
      </c>
      <c r="BR186" s="4">
        <v>11915385.143311806</v>
      </c>
      <c r="BS186" s="4">
        <v>12265244.867645973</v>
      </c>
      <c r="BT186" s="4">
        <v>12621775.855550077</v>
      </c>
      <c r="BU186" s="4">
        <v>12985001.6794785</v>
      </c>
    </row>
    <row r="187" spans="1:73" x14ac:dyDescent="0.25">
      <c r="A187" s="3" t="s">
        <v>190</v>
      </c>
      <c r="B187" s="3" t="str">
        <f>VLOOKUP(A187,'storage capacity'!$A$2:$C$195,3,FALSE)</f>
        <v>Country specific</v>
      </c>
      <c r="C187" s="4">
        <v>4562190.3333333731</v>
      </c>
      <c r="D187" s="4">
        <v>4749087.2870188169</v>
      </c>
      <c r="E187" s="4">
        <v>4941695.2194065815</v>
      </c>
      <c r="F187" s="4">
        <v>5140110.5242355876</v>
      </c>
      <c r="G187" s="4">
        <v>5344428.6348690921</v>
      </c>
      <c r="H187" s="4">
        <v>5554743.9423676413</v>
      </c>
      <c r="I187" s="4">
        <v>5771149.7141587976</v>
      </c>
      <c r="J187" s="4">
        <v>5993738.0134148914</v>
      </c>
      <c r="K187" s="4">
        <v>6222599.6192481769</v>
      </c>
      <c r="L187" s="4">
        <v>6457823.9478307795</v>
      </c>
      <c r="M187" s="4">
        <v>6699498.9745445363</v>
      </c>
      <c r="N187" s="4">
        <v>6947711.1572634298</v>
      </c>
      <c r="O187" s="4">
        <v>7202545.3608686915</v>
      </c>
      <c r="P187" s="4">
        <v>7464084.783093865</v>
      </c>
      <c r="Q187" s="4">
        <v>7732410.8817941835</v>
      </c>
      <c r="R187" s="4">
        <v>8007603.3037315086</v>
      </c>
      <c r="S187" s="4">
        <v>8289739.8149628295</v>
      </c>
      <c r="T187" s="4">
        <v>8578896.2329169884</v>
      </c>
      <c r="U187" s="4">
        <v>8875146.3602407519</v>
      </c>
      <c r="V187" s="4">
        <v>9178561.9204917848</v>
      </c>
      <c r="W187" s="4">
        <v>9489212.4957523793</v>
      </c>
      <c r="X187" s="4">
        <v>9807165.4662339874</v>
      </c>
      <c r="Y187" s="4">
        <v>10132485.951938743</v>
      </c>
      <c r="Z187" s="4">
        <v>10465236.756440224</v>
      </c>
      <c r="AA187" s="4">
        <v>10805478.312841719</v>
      </c>
      <c r="AB187" s="4">
        <v>11153268.631966203</v>
      </c>
      <c r="AC187" s="4">
        <v>11508663.252828181</v>
      </c>
      <c r="AD187" s="4">
        <v>11871715.195433417</v>
      </c>
      <c r="AE187" s="4">
        <v>12242474.915948486</v>
      </c>
      <c r="AF187" s="4">
        <v>12620990.264277918</v>
      </c>
      <c r="AG187" s="4">
        <v>13007306.444082618</v>
      </c>
      <c r="AH187" s="4">
        <v>13401465.975269089</v>
      </c>
      <c r="AI187" s="4">
        <v>13803508.658974931</v>
      </c>
      <c r="AJ187" s="4">
        <v>14213471.545072</v>
      </c>
      <c r="AK187" s="4">
        <v>14631388.902204584</v>
      </c>
      <c r="AL187" s="4">
        <v>15057292.19037596</v>
      </c>
      <c r="AM187" s="4">
        <v>15491210.036092803</v>
      </c>
      <c r="AN187" s="4">
        <v>15933168.210072972</v>
      </c>
      <c r="AO187" s="4">
        <v>16383189.607518477</v>
      </c>
      <c r="AP187" s="4">
        <v>16841294.230951611</v>
      </c>
      <c r="AQ187" s="4">
        <v>17307499.175608639</v>
      </c>
      <c r="AR187" s="4">
        <v>17781818.617381826</v>
      </c>
      <c r="AS187" s="4">
        <v>18264263.803297136</v>
      </c>
      <c r="AT187" s="4">
        <v>18754843.044511467</v>
      </c>
      <c r="AU187" s="4">
        <v>19253561.711810131</v>
      </c>
      <c r="AV187" s="4">
        <v>19760422.23358196</v>
      </c>
      <c r="AW187" s="4">
        <v>20275424.096246433</v>
      </c>
      <c r="AX187" s="4">
        <v>20798563.847104196</v>
      </c>
      <c r="AY187" s="4">
        <v>21329835.099579539</v>
      </c>
      <c r="AZ187" s="4">
        <v>21869228.54082061</v>
      </c>
      <c r="BA187" s="4">
        <v>22416731.941620544</v>
      </c>
      <c r="BB187" s="4">
        <v>22972330.168620151</v>
      </c>
      <c r="BC187" s="4">
        <v>23536005.198750526</v>
      </c>
      <c r="BD187" s="4">
        <v>24107736.135871556</v>
      </c>
      <c r="BE187" s="4">
        <v>24687499.229560219</v>
      </c>
      <c r="BF187" s="4">
        <v>25275267.896000635</v>
      </c>
      <c r="BG187" s="4">
        <v>25871012.740925819</v>
      </c>
      <c r="BH187" s="4">
        <v>26474701.584559429</v>
      </c>
      <c r="BI187" s="4">
        <v>27086299.488504108</v>
      </c>
      <c r="BJ187" s="4">
        <v>27705768.784521557</v>
      </c>
      <c r="BK187" s="4">
        <v>28333069.105148062</v>
      </c>
      <c r="BL187" s="4">
        <v>28968157.416087925</v>
      </c>
      <c r="BM187" s="4">
        <v>29610988.050326206</v>
      </c>
      <c r="BN187" s="4">
        <v>30261512.743900936</v>
      </c>
      <c r="BO187" s="4">
        <v>30919680.673274398</v>
      </c>
      <c r="BP187" s="4">
        <v>31585438.494241957</v>
      </c>
      <c r="BQ187" s="4">
        <v>32258730.38231644</v>
      </c>
      <c r="BR187" s="4">
        <v>32939498.074525476</v>
      </c>
      <c r="BS187" s="4">
        <v>33627680.91255872</v>
      </c>
      <c r="BT187" s="4">
        <v>34323215.887201533</v>
      </c>
      <c r="BU187" s="4">
        <v>35026037.683991581</v>
      </c>
    </row>
    <row r="188" spans="1:73" x14ac:dyDescent="0.25">
      <c r="A188" s="3" t="s">
        <v>191</v>
      </c>
      <c r="B188" s="3" t="str">
        <f>VLOOKUP(A188,'storage capacity'!$A$2:$C$195,3,FALSE)</f>
        <v>Country specific</v>
      </c>
      <c r="C188" s="4">
        <v>37424427.266666889</v>
      </c>
      <c r="D188" s="4">
        <v>38909828.473939918</v>
      </c>
      <c r="E188" s="4">
        <v>40438742.696737938</v>
      </c>
      <c r="F188" s="4">
        <v>42011843.827561386</v>
      </c>
      <c r="G188" s="4">
        <v>43629796.955665477</v>
      </c>
      <c r="H188" s="4">
        <v>45293257.790309645</v>
      </c>
      <c r="I188" s="4">
        <v>47002872.090814888</v>
      </c>
      <c r="J188" s="4">
        <v>48759275.104187511</v>
      </c>
      <c r="K188" s="4">
        <v>50563091.011049926</v>
      </c>
      <c r="L188" s="4">
        <v>52414932.380599953</v>
      </c>
      <c r="M188" s="4">
        <v>54315399.635299958</v>
      </c>
      <c r="N188" s="4">
        <v>56265080.525975458</v>
      </c>
      <c r="O188" s="4">
        <v>58264549.617980316</v>
      </c>
      <c r="P188" s="4">
        <v>60314367.789062157</v>
      </c>
      <c r="Q188" s="4">
        <v>62415081.739536911</v>
      </c>
      <c r="R188" s="4">
        <v>64567223.515356109</v>
      </c>
      <c r="S188" s="4">
        <v>66771310.044624411</v>
      </c>
      <c r="T188" s="4">
        <v>69027842.68809782</v>
      </c>
      <c r="U188" s="4">
        <v>71337306.804165602</v>
      </c>
      <c r="V188" s="4">
        <v>73700171.328790978</v>
      </c>
      <c r="W188" s="4">
        <v>76116888.370856673</v>
      </c>
      <c r="X188" s="4">
        <v>78587892.82333304</v>
      </c>
      <c r="Y188" s="4">
        <v>81113601.990656629</v>
      </c>
      <c r="Z188" s="4">
        <v>83694415.232678011</v>
      </c>
      <c r="AA188" s="4">
        <v>86330713.625507429</v>
      </c>
      <c r="AB188" s="4">
        <v>89022859.6395576</v>
      </c>
      <c r="AC188" s="4">
        <v>91771196.835052535</v>
      </c>
      <c r="AD188" s="4">
        <v>94576049.575241745</v>
      </c>
      <c r="AE188" s="4">
        <v>97437722.757529438</v>
      </c>
      <c r="AF188" s="4">
        <v>100356501.56269835</v>
      </c>
      <c r="AG188" s="4">
        <v>103332651.22237906</v>
      </c>
      <c r="AH188" s="4">
        <v>106366416.80488576</v>
      </c>
      <c r="AI188" s="4">
        <v>109458023.01951142</v>
      </c>
      <c r="AJ188" s="4">
        <v>112607674.03934622</v>
      </c>
      <c r="AK188" s="4">
        <v>115815553.34265567</v>
      </c>
      <c r="AL188" s="4">
        <v>119081823.57282692</v>
      </c>
      <c r="AM188" s="4">
        <v>122406626.41686516</v>
      </c>
      <c r="AN188" s="4">
        <v>125790082.50239541</v>
      </c>
      <c r="AO188" s="4">
        <v>129232291.31309921</v>
      </c>
      <c r="AP188" s="4">
        <v>132733331.12249076</v>
      </c>
      <c r="AQ188" s="4">
        <v>136293258.94591266</v>
      </c>
      <c r="AR188" s="4">
        <v>139912110.51060709</v>
      </c>
      <c r="AS188" s="4">
        <v>143589900.24369672</v>
      </c>
      <c r="AT188" s="4">
        <v>147326621.27788538</v>
      </c>
      <c r="AU188" s="4">
        <v>151122245.47466937</v>
      </c>
      <c r="AV188" s="4">
        <v>154976723.46482787</v>
      </c>
      <c r="AW188" s="4">
        <v>158889984.70594248</v>
      </c>
      <c r="AX188" s="4">
        <v>162861937.55667657</v>
      </c>
      <c r="AY188" s="4">
        <v>166892469.36752659</v>
      </c>
      <c r="AZ188" s="4">
        <v>170981446.58774179</v>
      </c>
      <c r="BA188" s="4">
        <v>175128714.88809103</v>
      </c>
      <c r="BB188" s="4">
        <v>179334099.29914129</v>
      </c>
      <c r="BC188" s="4">
        <v>183597404.36469737</v>
      </c>
      <c r="BD188" s="4">
        <v>187918414.31003889</v>
      </c>
      <c r="BE188" s="4">
        <v>192296893.22457847</v>
      </c>
      <c r="BF188" s="4">
        <v>196732585.25855282</v>
      </c>
      <c r="BG188" s="4">
        <v>201225214.83334813</v>
      </c>
      <c r="BH188" s="4">
        <v>205774486.86505079</v>
      </c>
      <c r="BI188" s="4">
        <v>210380087.00080588</v>
      </c>
      <c r="BJ188" s="4">
        <v>215041681.8675575</v>
      </c>
      <c r="BK188" s="4">
        <v>219758919.33273792</v>
      </c>
      <c r="BL188" s="4">
        <v>224531428.77646613</v>
      </c>
      <c r="BM188" s="4">
        <v>229358821.37481034</v>
      </c>
      <c r="BN188" s="4">
        <v>234240690.39366502</v>
      </c>
      <c r="BO188" s="4">
        <v>239176611.49278882</v>
      </c>
      <c r="BP188" s="4">
        <v>244166143.03954592</v>
      </c>
      <c r="BQ188" s="4">
        <v>249208826.43189225</v>
      </c>
      <c r="BR188" s="4">
        <v>254304186.43014544</v>
      </c>
      <c r="BS188" s="4">
        <v>259451731.49707684</v>
      </c>
      <c r="BT188" s="4">
        <v>264650954.14586335</v>
      </c>
      <c r="BU188" s="4">
        <v>269901331.29543847</v>
      </c>
    </row>
    <row r="189" spans="1:73" x14ac:dyDescent="0.25">
      <c r="A189" s="3" t="s">
        <v>192</v>
      </c>
      <c r="B189" s="3" t="str">
        <f>VLOOKUP(A189,'storage capacity'!$A$2:$C$195,3,FALSE)</f>
        <v>Other latin america</v>
      </c>
      <c r="C189" s="4">
        <v>111790.53333333321</v>
      </c>
      <c r="D189" s="4">
        <v>117312.1966536054</v>
      </c>
      <c r="E189" s="4">
        <v>123048.64722440456</v>
      </c>
      <c r="F189" s="4">
        <v>129005.43498999244</v>
      </c>
      <c r="G189" s="4">
        <v>135188.13942466106</v>
      </c>
      <c r="H189" s="4">
        <v>141602.36550830081</v>
      </c>
      <c r="I189" s="4">
        <v>148253.73961783247</v>
      </c>
      <c r="J189" s="4">
        <v>155147.90534011851</v>
      </c>
      <c r="K189" s="4">
        <v>162290.51921212734</v>
      </c>
      <c r="L189" s="4">
        <v>169687.24639427068</v>
      </c>
      <c r="M189" s="4">
        <v>177343.75628296437</v>
      </c>
      <c r="N189" s="4">
        <v>185265.71806858032</v>
      </c>
      <c r="O189" s="4">
        <v>193458.79624505926</v>
      </c>
      <c r="P189" s="4">
        <v>201928.6460775403</v>
      </c>
      <c r="Q189" s="4">
        <v>210680.90903443698</v>
      </c>
      <c r="R189" s="4">
        <v>219721.20819044556</v>
      </c>
      <c r="S189" s="4">
        <v>229055.14360701537</v>
      </c>
      <c r="T189" s="4">
        <v>238688.28769683765</v>
      </c>
      <c r="U189" s="4">
        <v>248626.18057892314</v>
      </c>
      <c r="V189" s="4">
        <v>258874.32543083758</v>
      </c>
      <c r="W189" s="4">
        <v>269438.18384464836</v>
      </c>
      <c r="X189" s="4">
        <v>280323.17119310569</v>
      </c>
      <c r="Y189" s="4">
        <v>291534.65201253904</v>
      </c>
      <c r="Z189" s="4">
        <v>303077.93540889194</v>
      </c>
      <c r="AA189" s="4">
        <v>314958.27049324871</v>
      </c>
      <c r="AB189" s="4">
        <v>327180.84185312374</v>
      </c>
      <c r="AC189" s="4">
        <v>339750.76506568893</v>
      </c>
      <c r="AD189" s="4">
        <v>352673.08225900761</v>
      </c>
      <c r="AE189" s="4">
        <v>365952.75772722618</v>
      </c>
      <c r="AF189" s="4">
        <v>379594.6736055428</v>
      </c>
      <c r="AG189" s="4">
        <v>393603.62561063544</v>
      </c>
      <c r="AH189" s="4">
        <v>407984.31885208044</v>
      </c>
      <c r="AI189" s="4">
        <v>422741.36372013314</v>
      </c>
      <c r="AJ189" s="4">
        <v>437879.27185507544</v>
      </c>
      <c r="AK189" s="4">
        <v>453402.45220315841</v>
      </c>
      <c r="AL189" s="4">
        <v>469315.20716398407</v>
      </c>
      <c r="AM189" s="4">
        <v>485621.72883397911</v>
      </c>
      <c r="AN189" s="4">
        <v>502326.09535041708</v>
      </c>
      <c r="AO189" s="4">
        <v>519432.26734024065</v>
      </c>
      <c r="AP189" s="4">
        <v>536944.08447772753</v>
      </c>
      <c r="AQ189" s="4">
        <v>554865.26215483062</v>
      </c>
      <c r="AR189" s="4">
        <v>573199.38826780429</v>
      </c>
      <c r="AS189" s="4">
        <v>591949.92012350785</v>
      </c>
      <c r="AT189" s="4">
        <v>611120.18146855407</v>
      </c>
      <c r="AU189" s="4">
        <v>630713.35964424256</v>
      </c>
      <c r="AV189" s="4">
        <v>650732.50286998984</v>
      </c>
      <c r="AW189" s="4">
        <v>671180.51765774051</v>
      </c>
      <c r="AX189" s="4">
        <v>692060.16635960818</v>
      </c>
      <c r="AY189" s="4">
        <v>713374.06485077098</v>
      </c>
      <c r="AZ189" s="4">
        <v>735124.68034941156</v>
      </c>
      <c r="BA189" s="4">
        <v>757314.32937526167</v>
      </c>
      <c r="BB189" s="4">
        <v>779945.17584808823</v>
      </c>
      <c r="BC189" s="4">
        <v>803019.22932722513</v>
      </c>
      <c r="BD189" s="4">
        <v>826538.34339303453</v>
      </c>
      <c r="BE189" s="4">
        <v>850504.21417096001</v>
      </c>
      <c r="BF189" s="4">
        <v>874918.37899861368</v>
      </c>
      <c r="BG189" s="4">
        <v>899782.21523612435</v>
      </c>
      <c r="BH189" s="4">
        <v>925096.93921976595</v>
      </c>
      <c r="BI189" s="4">
        <v>950863.60535867314</v>
      </c>
      <c r="BJ189" s="4">
        <v>977083.10537425277</v>
      </c>
      <c r="BK189" s="4">
        <v>1003756.1676817011</v>
      </c>
      <c r="BL189" s="4">
        <v>1030883.356912843</v>
      </c>
      <c r="BM189" s="4">
        <v>1058465.0735793218</v>
      </c>
      <c r="BN189" s="4">
        <v>1086501.5538749911</v>
      </c>
      <c r="BO189" s="4">
        <v>1114992.8696161769</v>
      </c>
      <c r="BP189" s="4">
        <v>1143938.9283183166</v>
      </c>
      <c r="BQ189" s="4">
        <v>1173339.4734073104</v>
      </c>
      <c r="BR189" s="4">
        <v>1203194.084563771</v>
      </c>
      <c r="BS189" s="4">
        <v>1233502.1781982004</v>
      </c>
      <c r="BT189" s="4">
        <v>1264263.0080549824</v>
      </c>
      <c r="BU189" s="4">
        <v>1295475.6659429416</v>
      </c>
    </row>
    <row r="190" spans="1:73" x14ac:dyDescent="0.25">
      <c r="A190" s="3" t="s">
        <v>193</v>
      </c>
      <c r="B190" s="3" t="str">
        <f>VLOOKUP(A190,'storage capacity'!$A$2:$C$195,3,FALSE)</f>
        <v>Other eurasia</v>
      </c>
      <c r="C190" s="4">
        <v>197720.7333333306</v>
      </c>
      <c r="D190" s="4">
        <v>217295.08593333032</v>
      </c>
      <c r="E190" s="4">
        <v>238592.17730565602</v>
      </c>
      <c r="F190" s="4">
        <v>261742.75241040607</v>
      </c>
      <c r="G190" s="4">
        <v>286885.65677159146</v>
      </c>
      <c r="H190" s="4">
        <v>314168.19727647246</v>
      </c>
      <c r="I190" s="4">
        <v>343746.50940736209</v>
      </c>
      <c r="J190" s="4">
        <v>375785.9303956207</v>
      </c>
      <c r="K190" s="4">
        <v>410461.37774694257</v>
      </c>
      <c r="L190" s="4">
        <v>447957.73254671553</v>
      </c>
      <c r="M190" s="4">
        <v>488470.2269143993</v>
      </c>
      <c r="N190" s="4">
        <v>532204.834936689</v>
      </c>
      <c r="O190" s="4">
        <v>579378.66637089499</v>
      </c>
      <c r="P190" s="4">
        <v>630220.36237265158</v>
      </c>
      <c r="Q190" s="4">
        <v>684970.49246595055</v>
      </c>
      <c r="R190" s="4">
        <v>743881.95193876047</v>
      </c>
      <c r="S190" s="4">
        <v>807220.35881430865</v>
      </c>
      <c r="T190" s="4">
        <v>875264.4495166539</v>
      </c>
      <c r="U190" s="4">
        <v>948306.47231962206</v>
      </c>
      <c r="V190" s="4">
        <v>1026652.5776406901</v>
      </c>
      <c r="W190" s="4">
        <v>1110623.2042161301</v>
      </c>
      <c r="X190" s="4">
        <v>1200553.460170829</v>
      </c>
      <c r="Y190" s="4">
        <v>1296793.4979758174</v>
      </c>
      <c r="Z190" s="4">
        <v>1399708.8822688002</v>
      </c>
      <c r="AA190" s="4">
        <v>1509680.9494980301</v>
      </c>
      <c r="AB190" s="4">
        <v>1627107.1583377854</v>
      </c>
      <c r="AC190" s="4">
        <v>1752401.4298146369</v>
      </c>
      <c r="AD190" s="4">
        <v>1885994.4760777005</v>
      </c>
      <c r="AE190" s="4">
        <v>2028334.1167432354</v>
      </c>
      <c r="AF190" s="4">
        <v>2179885.5817443626</v>
      </c>
      <c r="AG190" s="4">
        <v>2341131.7996203662</v>
      </c>
      <c r="AH190" s="4">
        <v>2512573.6701870719</v>
      </c>
      <c r="AI190" s="4">
        <v>2694730.3205401795</v>
      </c>
      <c r="AJ190" s="4">
        <v>2888139.3433571821</v>
      </c>
      <c r="AK190" s="4">
        <v>3093357.0164806345</v>
      </c>
      <c r="AL190" s="4">
        <v>3310958.5027860389</v>
      </c>
      <c r="AM190" s="4">
        <v>3541538.0293614212</v>
      </c>
      <c r="AN190" s="4">
        <v>3785709.0450528022</v>
      </c>
      <c r="AO190" s="4">
        <v>4044104.3554601199</v>
      </c>
      <c r="AP190" s="4">
        <v>4317376.2345016813</v>
      </c>
      <c r="AQ190" s="4">
        <v>4606196.5117018353</v>
      </c>
      <c r="AR190" s="4">
        <v>4911256.6343961554</v>
      </c>
      <c r="AS190" s="4">
        <v>5233267.7040909324</v>
      </c>
      <c r="AT190" s="4">
        <v>5572960.4862590218</v>
      </c>
      <c r="AU190" s="4">
        <v>5931085.3929019952</v>
      </c>
      <c r="AV190" s="4">
        <v>6308412.4372589635</v>
      </c>
      <c r="AW190" s="4">
        <v>6705731.1600951711</v>
      </c>
      <c r="AX190" s="4">
        <v>7123850.5270584282</v>
      </c>
      <c r="AY190" s="4">
        <v>7563598.7966483971</v>
      </c>
      <c r="AZ190" s="4">
        <v>8025823.3584025847</v>
      </c>
      <c r="BA190" s="4">
        <v>8511390.5409633573</v>
      </c>
      <c r="BB190" s="4">
        <v>9021185.3897522837</v>
      </c>
      <c r="BC190" s="4">
        <v>9556111.4140413366</v>
      </c>
      <c r="BD190" s="4">
        <v>10117090.303274825</v>
      </c>
      <c r="BE190" s="4">
        <v>10705061.612561157</v>
      </c>
      <c r="BF190" s="4">
        <v>11320982.41731943</v>
      </c>
      <c r="BG190" s="4">
        <v>11965826.937132223</v>
      </c>
      <c r="BH190" s="4">
        <v>12640586.128922608</v>
      </c>
      <c r="BI190" s="4">
        <v>13346267.249640137</v>
      </c>
      <c r="BJ190" s="4">
        <v>14083893.388707096</v>
      </c>
      <c r="BK190" s="4">
        <v>14854502.970542535</v>
      </c>
      <c r="BL190" s="4">
        <v>15659149.227547353</v>
      </c>
      <c r="BM190" s="4">
        <v>16498899.643998479</v>
      </c>
      <c r="BN190" s="4">
        <v>17374835.371364374</v>
      </c>
      <c r="BO190" s="4">
        <v>18288050.615616772</v>
      </c>
      <c r="BP190" s="4">
        <v>19239651.997175302</v>
      </c>
      <c r="BQ190" s="4">
        <v>20230757.884181503</v>
      </c>
      <c r="BR190" s="4">
        <v>21262497.699857362</v>
      </c>
      <c r="BS190" s="4">
        <v>22336011.204759914</v>
      </c>
      <c r="BT190" s="4">
        <v>23452447.754798159</v>
      </c>
      <c r="BU190" s="4">
        <v>24612965.53593098</v>
      </c>
    </row>
    <row r="191" spans="1:73" x14ac:dyDescent="0.25">
      <c r="A191" s="3" t="s">
        <v>194</v>
      </c>
      <c r="B191" s="3" t="str">
        <f>VLOOKUP(A191,'storage capacity'!$A$2:$C$195,3,FALSE)</f>
        <v>Oceania</v>
      </c>
      <c r="C191" s="4">
        <v>1484.1333333333314</v>
      </c>
      <c r="D191" s="4">
        <v>1544.3180457108913</v>
      </c>
      <c r="E191" s="4">
        <v>1606.3171208343617</v>
      </c>
      <c r="F191" s="4">
        <v>1670.1603650171837</v>
      </c>
      <c r="G191" s="4">
        <v>1735.8772586983946</v>
      </c>
      <c r="H191" s="4">
        <v>1803.4969310403478</v>
      </c>
      <c r="I191" s="4">
        <v>1873.0481347479924</v>
      </c>
      <c r="J191" s="4">
        <v>1944.5592211438779</v>
      </c>
      <c r="K191" s="4">
        <v>2018.0581155324126</v>
      </c>
      <c r="L191" s="4">
        <v>2093.5722928862033</v>
      </c>
      <c r="M191" s="4">
        <v>2171.128753886544</v>
      </c>
      <c r="N191" s="4">
        <v>2250.7540013493053</v>
      </c>
      <c r="O191" s="4">
        <v>2332.4740170666037</v>
      </c>
      <c r="P191" s="4">
        <v>2416.3142390937105</v>
      </c>
      <c r="Q191" s="4">
        <v>2502.2995395096941</v>
      </c>
      <c r="R191" s="4">
        <v>2590.4542026792724</v>
      </c>
      <c r="S191" s="4">
        <v>2680.8019040423051</v>
      </c>
      <c r="T191" s="4">
        <v>2773.3656894562537</v>
      </c>
      <c r="U191" s="4">
        <v>2868.167955115825</v>
      </c>
      <c r="V191" s="4">
        <v>2965.2304280728499</v>
      </c>
      <c r="W191" s="4">
        <v>3064.5741473782628</v>
      </c>
      <c r="X191" s="4">
        <v>3166.2194458668459</v>
      </c>
      <c r="Y191" s="4">
        <v>3270.1859326041663</v>
      </c>
      <c r="Z191" s="4">
        <v>3376.4924760138902</v>
      </c>
      <c r="AA191" s="4">
        <v>3485.1571877023948</v>
      </c>
      <c r="AB191" s="4">
        <v>3596.1974069963271</v>
      </c>
      <c r="AC191" s="4">
        <v>3709.6296862074673</v>
      </c>
      <c r="AD191" s="4">
        <v>3825.4697766379891</v>
      </c>
      <c r="AE191" s="4">
        <v>3943.7326153378913</v>
      </c>
      <c r="AF191" s="4">
        <v>4064.4323126251111</v>
      </c>
      <c r="AG191" s="4">
        <v>4187.5821403775326</v>
      </c>
      <c r="AH191" s="4">
        <v>4313.1945211048169</v>
      </c>
      <c r="AI191" s="4">
        <v>4441.2810178067393</v>
      </c>
      <c r="AJ191" s="4">
        <v>4571.8523246234236</v>
      </c>
      <c r="AK191" s="4">
        <v>4704.9182582816438</v>
      </c>
      <c r="AL191" s="4">
        <v>4840.4877503401312</v>
      </c>
      <c r="AM191" s="4">
        <v>4978.5688402356072</v>
      </c>
      <c r="AN191" s="4">
        <v>5119.1686691300765</v>
      </c>
      <c r="AO191" s="4">
        <v>5262.2934745587545</v>
      </c>
      <c r="AP191" s="4">
        <v>5407.9485858768548</v>
      </c>
      <c r="AQ191" s="4">
        <v>5556.1384205023478</v>
      </c>
      <c r="AR191" s="4">
        <v>5706.86648095071</v>
      </c>
      <c r="AS191" s="4">
        <v>5860.13535265664</v>
      </c>
      <c r="AT191" s="4">
        <v>6015.9467025766626</v>
      </c>
      <c r="AU191" s="4">
        <v>6174.3012785655828</v>
      </c>
      <c r="AV191" s="4">
        <v>6335.1989095187582</v>
      </c>
      <c r="AW191" s="4">
        <v>6498.6385062712443</v>
      </c>
      <c r="AX191" s="4">
        <v>6664.6180632439819</v>
      </c>
      <c r="AY191" s="4">
        <v>6833.1346608263275</v>
      </c>
      <c r="AZ191" s="4">
        <v>7004.1844684834105</v>
      </c>
      <c r="BA191" s="4">
        <v>7177.762748576034</v>
      </c>
      <c r="BB191" s="4">
        <v>7353.8638608800766</v>
      </c>
      <c r="BC191" s="4">
        <v>7532.4812677916498</v>
      </c>
      <c r="BD191" s="4">
        <v>7713.6075402036213</v>
      </c>
      <c r="BE191" s="4">
        <v>7897.234364038447</v>
      </c>
      <c r="BF191" s="4">
        <v>8083.3525474217104</v>
      </c>
      <c r="BG191" s="4">
        <v>8271.9520284801947</v>
      </c>
      <c r="BH191" s="4">
        <v>8463.0218837478042</v>
      </c>
      <c r="BI191" s="4">
        <v>8656.550337162189</v>
      </c>
      <c r="BJ191" s="4">
        <v>8852.5247696344995</v>
      </c>
      <c r="BK191" s="4">
        <v>9050.9317291742827</v>
      </c>
      <c r="BL191" s="4">
        <v>9251.7569415511971</v>
      </c>
      <c r="BM191" s="4">
        <v>9454.9853214749019</v>
      </c>
      <c r="BN191" s="4">
        <v>9660.6009842741823</v>
      </c>
      <c r="BO191" s="4">
        <v>9868.5872580561445</v>
      </c>
      <c r="BP191" s="4">
        <v>10078.926696326087</v>
      </c>
      <c r="BQ191" s="4">
        <v>10291.601091048506</v>
      </c>
      <c r="BR191" s="4">
        <v>10506.591486129517</v>
      </c>
      <c r="BS191" s="4">
        <v>10723.878191300904</v>
      </c>
      <c r="BT191" s="4">
        <v>10943.440796385918</v>
      </c>
      <c r="BU191" s="4">
        <v>11165.258185926879</v>
      </c>
    </row>
    <row r="192" spans="1:73" x14ac:dyDescent="0.25">
      <c r="A192" s="3" t="s">
        <v>195</v>
      </c>
      <c r="B192" s="3" t="str">
        <f>VLOOKUP(A192,'storage capacity'!$A$2:$C$195,3,FALSE)</f>
        <v>Other latin america</v>
      </c>
      <c r="C192" s="4">
        <v>131111.1333333347</v>
      </c>
      <c r="D192" s="4">
        <v>135542.50146993221</v>
      </c>
      <c r="E192" s="4">
        <v>140077.8320694711</v>
      </c>
      <c r="F192" s="4">
        <v>144718.04660365722</v>
      </c>
      <c r="G192" s="4">
        <v>149464.03349933898</v>
      </c>
      <c r="H192" s="4">
        <v>154316.6473743954</v>
      </c>
      <c r="I192" s="4">
        <v>159276.70830545842</v>
      </c>
      <c r="J192" s="4">
        <v>164345.00112817468</v>
      </c>
      <c r="K192" s="4">
        <v>169522.27477065299</v>
      </c>
      <c r="L192" s="4">
        <v>174809.24162068559</v>
      </c>
      <c r="M192" s="4">
        <v>180206.57692727281</v>
      </c>
      <c r="N192" s="4">
        <v>185714.91823692108</v>
      </c>
      <c r="O192" s="4">
        <v>191334.86486512702</v>
      </c>
      <c r="P192" s="4">
        <v>197066.97740340128</v>
      </c>
      <c r="Q192" s="4">
        <v>202911.77726212866</v>
      </c>
      <c r="R192" s="4">
        <v>208869.74624950293</v>
      </c>
      <c r="S192" s="4">
        <v>214941.32618671958</v>
      </c>
      <c r="T192" s="4">
        <v>221126.91855955258</v>
      </c>
      <c r="U192" s="4">
        <v>227426.88420638687</v>
      </c>
      <c r="V192" s="4">
        <v>233841.54304272443</v>
      </c>
      <c r="W192" s="4">
        <v>240371.17382212853</v>
      </c>
      <c r="X192" s="4">
        <v>247016.01393351913</v>
      </c>
      <c r="Y192" s="4">
        <v>253776.25923468117</v>
      </c>
      <c r="Z192" s="4">
        <v>260652.06392179945</v>
      </c>
      <c r="AA192" s="4">
        <v>267643.54043478396</v>
      </c>
      <c r="AB192" s="4">
        <v>274750.75939810509</v>
      </c>
      <c r="AC192" s="4">
        <v>281973.74959681055</v>
      </c>
      <c r="AD192" s="4">
        <v>289312.49798735499</v>
      </c>
      <c r="AE192" s="4">
        <v>296766.9497428285</v>
      </c>
      <c r="AF192" s="4">
        <v>304337.00833213248</v>
      </c>
      <c r="AG192" s="4">
        <v>312022.53563261044</v>
      </c>
      <c r="AH192" s="4">
        <v>319823.35207560507</v>
      </c>
      <c r="AI192" s="4">
        <v>327739.23682437843</v>
      </c>
      <c r="AJ192" s="4">
        <v>335769.9279837971</v>
      </c>
      <c r="AK192" s="4">
        <v>343915.1228411526</v>
      </c>
      <c r="AL192" s="4">
        <v>352174.47813745844</v>
      </c>
      <c r="AM192" s="4">
        <v>360547.6103685355</v>
      </c>
      <c r="AN192" s="4">
        <v>369034.09611517133</v>
      </c>
      <c r="AO192" s="4">
        <v>377633.47240161471</v>
      </c>
      <c r="AP192" s="4">
        <v>386345.23708164302</v>
      </c>
      <c r="AQ192" s="4">
        <v>395168.84925141989</v>
      </c>
      <c r="AR192" s="4">
        <v>404103.72968833946</v>
      </c>
      <c r="AS192" s="4">
        <v>413149.26131503796</v>
      </c>
      <c r="AT192" s="4">
        <v>422304.78968773579</v>
      </c>
      <c r="AU192" s="4">
        <v>431569.62350805901</v>
      </c>
      <c r="AV192" s="4">
        <v>440943.03515747836</v>
      </c>
      <c r="AW192" s="4">
        <v>450424.26125349035</v>
      </c>
      <c r="AX192" s="4">
        <v>460012.50322665781</v>
      </c>
      <c r="AY192" s="4">
        <v>469706.9279176183</v>
      </c>
      <c r="AZ192" s="4">
        <v>479506.66819316335</v>
      </c>
      <c r="BA192" s="4">
        <v>489410.82358048606</v>
      </c>
      <c r="BB192" s="4">
        <v>499418.46091869258</v>
      </c>
      <c r="BC192" s="4">
        <v>509528.61502666981</v>
      </c>
      <c r="BD192" s="4">
        <v>519740.28938640218</v>
      </c>
      <c r="BE192" s="4">
        <v>530052.45684083155</v>
      </c>
      <c r="BF192" s="4">
        <v>540464.0603053564</v>
      </c>
      <c r="BG192" s="4">
        <v>550974.01349206897</v>
      </c>
      <c r="BH192" s="4">
        <v>561581.20164583612</v>
      </c>
      <c r="BI192" s="4">
        <v>572284.4822913328</v>
      </c>
      <c r="BJ192" s="4">
        <v>583082.68599014706</v>
      </c>
      <c r="BK192" s="4">
        <v>593974.61710708134</v>
      </c>
      <c r="BL192" s="4">
        <v>604959.05458478513</v>
      </c>
      <c r="BM192" s="4">
        <v>616034.75272586371</v>
      </c>
      <c r="BN192" s="4">
        <v>627200.44198161969</v>
      </c>
      <c r="BO192" s="4">
        <v>638454.82974659442</v>
      </c>
      <c r="BP192" s="4">
        <v>649796.6011580911</v>
      </c>
      <c r="BQ192" s="4">
        <v>661224.41989987344</v>
      </c>
      <c r="BR192" s="4">
        <v>672736.92900924815</v>
      </c>
      <c r="BS192" s="4">
        <v>684332.75168675673</v>
      </c>
      <c r="BT192" s="4">
        <v>696010.49210771336</v>
      </c>
      <c r="BU192" s="4">
        <v>707768.73623484571</v>
      </c>
    </row>
    <row r="193" spans="1:125" x14ac:dyDescent="0.25">
      <c r="A193" s="3" t="s">
        <v>196</v>
      </c>
      <c r="B193" s="3" t="str">
        <f>VLOOKUP(A193,'storage capacity'!$A$2:$C$195,3,FALSE)</f>
        <v>Other Asia pacific</v>
      </c>
      <c r="C193" s="4">
        <v>696474.86666667461</v>
      </c>
      <c r="D193" s="4">
        <v>748198.78248252941</v>
      </c>
      <c r="E193" s="4">
        <v>803208.33841041196</v>
      </c>
      <c r="F193" s="4">
        <v>861671.80252920743</v>
      </c>
      <c r="G193" s="4">
        <v>923763.48278112186</v>
      </c>
      <c r="H193" s="4">
        <v>989663.8016340218</v>
      </c>
      <c r="I193" s="4">
        <v>1059559.3643917297</v>
      </c>
      <c r="J193" s="4">
        <v>1133643.0208292101</v>
      </c>
      <c r="K193" s="4">
        <v>1212113.9198380744</v>
      </c>
      <c r="L193" s="4">
        <v>1295177.5567773874</v>
      </c>
      <c r="M193" s="4">
        <v>1383045.81323537</v>
      </c>
      <c r="N193" s="4">
        <v>1475936.9889192292</v>
      </c>
      <c r="O193" s="4">
        <v>1574075.82540298</v>
      </c>
      <c r="P193" s="4">
        <v>1677693.5214767214</v>
      </c>
      <c r="Q193" s="4">
        <v>1787027.7398553484</v>
      </c>
      <c r="R193" s="4">
        <v>1902322.6050200958</v>
      </c>
      <c r="S193" s="4">
        <v>2023828.6919825529</v>
      </c>
      <c r="T193" s="4">
        <v>2151803.0057778326</v>
      </c>
      <c r="U193" s="4">
        <v>2286508.9515113649</v>
      </c>
      <c r="V193" s="4">
        <v>2428216.2948022471</v>
      </c>
      <c r="W193" s="4">
        <v>2577201.1124851885</v>
      </c>
      <c r="X193" s="4">
        <v>2733745.7334527695</v>
      </c>
      <c r="Y193" s="4">
        <v>2898138.6695398982</v>
      </c>
      <c r="Z193" s="4">
        <v>3070674.5363730034</v>
      </c>
      <c r="AA193" s="4">
        <v>3251653.9641274987</v>
      </c>
      <c r="AB193" s="4">
        <v>3441383.4981583976</v>
      </c>
      <c r="AC193" s="4">
        <v>3640175.4894905351</v>
      </c>
      <c r="AD193" s="4">
        <v>3848347.9751766236</v>
      </c>
      <c r="AE193" s="4">
        <v>4066224.5485532461</v>
      </c>
      <c r="AF193" s="4">
        <v>4294134.2194468305</v>
      </c>
      <c r="AG193" s="4">
        <v>4532411.26440355</v>
      </c>
      <c r="AH193" s="4">
        <v>4781395.0670389161</v>
      </c>
      <c r="AI193" s="4">
        <v>5041429.9486245112</v>
      </c>
      <c r="AJ193" s="4">
        <v>5312864.9890507497</v>
      </c>
      <c r="AK193" s="4">
        <v>5596053.8383257128</v>
      </c>
      <c r="AL193" s="4">
        <v>5891354.5187909529</v>
      </c>
      <c r="AM193" s="4">
        <v>6199129.2182555366</v>
      </c>
      <c r="AN193" s="4">
        <v>6519744.0742695741</v>
      </c>
      <c r="AO193" s="4">
        <v>6853568.9497778891</v>
      </c>
      <c r="AP193" s="4">
        <v>7200977.2004133305</v>
      </c>
      <c r="AQ193" s="4">
        <v>7562345.4337074514</v>
      </c>
      <c r="AR193" s="4">
        <v>7938053.2605137983</v>
      </c>
      <c r="AS193" s="4">
        <v>8328483.0389558766</v>
      </c>
      <c r="AT193" s="4">
        <v>8734019.6112279072</v>
      </c>
      <c r="AU193" s="4">
        <v>9155050.0335916802</v>
      </c>
      <c r="AV193" s="4">
        <v>9591963.2999272514</v>
      </c>
      <c r="AW193" s="4">
        <v>10045150.059208676</v>
      </c>
      <c r="AX193" s="4">
        <v>10515002.327288592</v>
      </c>
      <c r="AY193" s="4">
        <v>11001913.193387093</v>
      </c>
      <c r="AZ193" s="4">
        <v>11506276.521691067</v>
      </c>
      <c r="BA193" s="4">
        <v>12028486.648479803</v>
      </c>
      <c r="BB193" s="4">
        <v>12568938.075201424</v>
      </c>
      <c r="BC193" s="4">
        <v>13128025.157932406</v>
      </c>
      <c r="BD193" s="4">
        <v>13706141.79365903</v>
      </c>
      <c r="BE193" s="4">
        <v>14303681.103825333</v>
      </c>
      <c r="BF193" s="4">
        <v>14921035.115596684</v>
      </c>
      <c r="BG193" s="4">
        <v>15558594.44129166</v>
      </c>
      <c r="BH193" s="4">
        <v>16216747.95643747</v>
      </c>
      <c r="BI193" s="4">
        <v>16895882.476905636</v>
      </c>
      <c r="BJ193" s="4">
        <v>17596382.435585208</v>
      </c>
      <c r="BK193" s="4">
        <v>18318629.559050158</v>
      </c>
      <c r="BL193" s="4">
        <v>19063002.544676278</v>
      </c>
      <c r="BM193" s="4">
        <v>19829876.738660231</v>
      </c>
      <c r="BN193" s="4">
        <v>20619623.815390177</v>
      </c>
      <c r="BO193" s="4">
        <v>21432611.458612915</v>
      </c>
      <c r="BP193" s="4">
        <v>22269203.044837326</v>
      </c>
      <c r="BQ193" s="4">
        <v>23129757.329407703</v>
      </c>
      <c r="BR193" s="4">
        <v>24014628.135673687</v>
      </c>
      <c r="BS193" s="4">
        <v>24924164.04767558</v>
      </c>
      <c r="BT193" s="4">
        <v>25858708.10675551</v>
      </c>
      <c r="BU193" s="4">
        <v>26818597.512495283</v>
      </c>
    </row>
    <row r="194" spans="1:125" x14ac:dyDescent="0.25">
      <c r="A194" s="3" t="s">
        <v>197</v>
      </c>
      <c r="B194" s="3" t="str">
        <f>VLOOKUP(A194,'storage capacity'!$A$2:$C$195,3,FALSE)</f>
        <v>Middle east</v>
      </c>
      <c r="C194" s="4">
        <v>21749.933333333465</v>
      </c>
      <c r="D194" s="4">
        <v>21749.933333333465</v>
      </c>
      <c r="E194" s="4">
        <v>21749.933333333465</v>
      </c>
      <c r="F194" s="4">
        <v>21749.933333333465</v>
      </c>
      <c r="G194" s="4">
        <v>21749.933333333465</v>
      </c>
      <c r="H194" s="4">
        <v>21749.933333333465</v>
      </c>
      <c r="I194" s="4">
        <v>21749.933333333465</v>
      </c>
      <c r="J194" s="4">
        <v>21749.933333333465</v>
      </c>
      <c r="K194" s="4">
        <v>21749.933333333465</v>
      </c>
      <c r="L194" s="4">
        <v>21749.933333333465</v>
      </c>
      <c r="M194" s="4">
        <v>21749.933333333465</v>
      </c>
      <c r="N194" s="4">
        <v>21749.933333333465</v>
      </c>
      <c r="O194" s="4">
        <v>21749.933333333465</v>
      </c>
      <c r="P194" s="4">
        <v>21749.933333333465</v>
      </c>
      <c r="Q194" s="4">
        <v>21749.933333333465</v>
      </c>
      <c r="R194" s="4">
        <v>21749.933333333465</v>
      </c>
      <c r="S194" s="4">
        <v>21749.933333333465</v>
      </c>
      <c r="T194" s="4">
        <v>21749.933333333465</v>
      </c>
      <c r="U194" s="4">
        <v>21749.933333333465</v>
      </c>
      <c r="V194" s="4">
        <v>21749.933333333465</v>
      </c>
      <c r="W194" s="4">
        <v>21749.933333333465</v>
      </c>
      <c r="X194" s="4">
        <v>21749.933333333465</v>
      </c>
      <c r="Y194" s="4">
        <v>21749.933333333465</v>
      </c>
      <c r="Z194" s="4">
        <v>21749.933333333465</v>
      </c>
      <c r="AA194" s="4">
        <v>21749.933333333465</v>
      </c>
      <c r="AB194" s="4">
        <v>21749.933333333465</v>
      </c>
      <c r="AC194" s="4">
        <v>21749.933333333465</v>
      </c>
      <c r="AD194" s="4">
        <v>21749.933333333465</v>
      </c>
      <c r="AE194" s="4">
        <v>21749.933333333465</v>
      </c>
      <c r="AF194" s="4">
        <v>21749.933333333465</v>
      </c>
      <c r="AG194" s="4">
        <v>21749.933333333465</v>
      </c>
      <c r="AH194" s="4">
        <v>21749.933333333465</v>
      </c>
      <c r="AI194" s="4">
        <v>21749.933333333465</v>
      </c>
      <c r="AJ194" s="4">
        <v>21749.933333333465</v>
      </c>
      <c r="AK194" s="4">
        <v>21749.933333333465</v>
      </c>
      <c r="AL194" s="4">
        <v>21749.933333333465</v>
      </c>
      <c r="AM194" s="4">
        <v>21749.933333333465</v>
      </c>
      <c r="AN194" s="4">
        <v>21749.933333333465</v>
      </c>
      <c r="AO194" s="4">
        <v>21749.933333333465</v>
      </c>
      <c r="AP194" s="4">
        <v>21749.933333333465</v>
      </c>
      <c r="AQ194" s="4">
        <v>21749.933333333465</v>
      </c>
      <c r="AR194" s="4">
        <v>21749.933333333465</v>
      </c>
      <c r="AS194" s="4">
        <v>21749.933333333465</v>
      </c>
      <c r="AT194" s="4">
        <v>21749.933333333465</v>
      </c>
      <c r="AU194" s="4">
        <v>21749.933333333465</v>
      </c>
      <c r="AV194" s="4">
        <v>21749.933333333465</v>
      </c>
      <c r="AW194" s="4">
        <v>21749.933333333465</v>
      </c>
      <c r="AX194" s="4">
        <v>21749.933333333465</v>
      </c>
      <c r="AY194" s="4">
        <v>21749.933333333465</v>
      </c>
      <c r="AZ194" s="4">
        <v>21749.933333333465</v>
      </c>
      <c r="BA194" s="4">
        <v>21749.933333333465</v>
      </c>
      <c r="BB194" s="4">
        <v>21749.933333333465</v>
      </c>
      <c r="BC194" s="4">
        <v>21749.933333333465</v>
      </c>
      <c r="BD194" s="4">
        <v>21749.933333333465</v>
      </c>
      <c r="BE194" s="4">
        <v>21749.933333333465</v>
      </c>
      <c r="BF194" s="4">
        <v>21749.933333333465</v>
      </c>
      <c r="BG194" s="4">
        <v>21749.933333333465</v>
      </c>
      <c r="BH194" s="4">
        <v>21749.933333333465</v>
      </c>
      <c r="BI194" s="4">
        <v>21749.933333333465</v>
      </c>
      <c r="BJ194" s="4">
        <v>21749.933333333465</v>
      </c>
      <c r="BK194" s="4">
        <v>21749.933333333465</v>
      </c>
      <c r="BL194" s="4">
        <v>21749.933333333465</v>
      </c>
      <c r="BM194" s="4">
        <v>21749.933333333465</v>
      </c>
      <c r="BN194" s="4">
        <v>21749.933333333465</v>
      </c>
      <c r="BO194" s="4">
        <v>21749.933333333465</v>
      </c>
      <c r="BP194" s="4">
        <v>21749.933333333465</v>
      </c>
      <c r="BQ194" s="4">
        <v>21749.933333333465</v>
      </c>
      <c r="BR194" s="4">
        <v>21749.933333333465</v>
      </c>
      <c r="BS194" s="4">
        <v>21749.933333333465</v>
      </c>
      <c r="BT194" s="4">
        <v>21749.933333333465</v>
      </c>
      <c r="BU194" s="4">
        <v>21749.933333333465</v>
      </c>
    </row>
    <row r="195" spans="1:125" x14ac:dyDescent="0.25">
      <c r="A195" s="3" t="s">
        <v>198</v>
      </c>
      <c r="B195" s="3" t="str">
        <f>VLOOKUP(A195,'storage capacity'!$A$2:$C$195,3,FALSE)</f>
        <v>Sub-saharan africa</v>
      </c>
      <c r="C195" s="4">
        <v>49747.466666666791</v>
      </c>
      <c r="D195" s="4">
        <v>51495.728167808185</v>
      </c>
      <c r="E195" s="4">
        <v>53287.331338999444</v>
      </c>
      <c r="F195" s="4">
        <v>55122.727354474031</v>
      </c>
      <c r="G195" s="4">
        <v>57002.354487043616</v>
      </c>
      <c r="H195" s="4">
        <v>58926.63772707538</v>
      </c>
      <c r="I195" s="4">
        <v>60895.988413834362</v>
      </c>
      <c r="J195" s="4">
        <v>62910.803879592109</v>
      </c>
      <c r="K195" s="4">
        <v>64971.467106878648</v>
      </c>
      <c r="L195" s="4">
        <v>67078.346399230199</v>
      </c>
      <c r="M195" s="4">
        <v>69231.79506575987</v>
      </c>
      <c r="N195" s="4">
        <v>71432.151119853836</v>
      </c>
      <c r="O195" s="4">
        <v>73679.736992269667</v>
      </c>
      <c r="P195" s="4">
        <v>75974.859258888653</v>
      </c>
      <c r="Q195" s="4">
        <v>78317.80838334802</v>
      </c>
      <c r="R195" s="4">
        <v>80708.858474754088</v>
      </c>
      <c r="S195" s="4">
        <v>83148.267060651502</v>
      </c>
      <c r="T195" s="4">
        <v>85636.274875399045</v>
      </c>
      <c r="U195" s="4">
        <v>88173.105664077288</v>
      </c>
      <c r="V195" s="4">
        <v>90758.966002028625</v>
      </c>
      <c r="W195" s="4">
        <v>93394.045130105616</v>
      </c>
      <c r="X195" s="4">
        <v>96078.514805679995</v>
      </c>
      <c r="Y195" s="4">
        <v>98812.529169440139</v>
      </c>
      <c r="Z195" s="4">
        <v>101596.22462798213</v>
      </c>
      <c r="AA195" s="4">
        <v>104429.71975217633</v>
      </c>
      <c r="AB195" s="4">
        <v>107313.11519126913</v>
      </c>
      <c r="AC195" s="4">
        <v>110246.49360265749</v>
      </c>
      <c r="AD195" s="4">
        <v>113229.91959725294</v>
      </c>
      <c r="AE195" s="4">
        <v>116263.43970033049</v>
      </c>
      <c r="AF195" s="4">
        <v>119347.0823277384</v>
      </c>
      <c r="AG195" s="4">
        <v>122480.85777732467</v>
      </c>
      <c r="AH195" s="4">
        <v>125664.7582354179</v>
      </c>
      <c r="AI195" s="4">
        <v>128898.75779818173</v>
      </c>
      <c r="AJ195" s="4">
        <v>132182.81250764444</v>
      </c>
      <c r="AK195" s="4">
        <v>135516.86040218949</v>
      </c>
      <c r="AL195" s="4">
        <v>138900.82158127555</v>
      </c>
      <c r="AM195" s="4">
        <v>142334.59828414064</v>
      </c>
      <c r="AN195" s="4">
        <v>145818.0749822293</v>
      </c>
      <c r="AO195" s="4">
        <v>149351.11848506934</v>
      </c>
      <c r="AP195" s="4">
        <v>152933.57805931056</v>
      </c>
      <c r="AQ195" s="4">
        <v>156565.28556062633</v>
      </c>
      <c r="AR195" s="4">
        <v>160246.05557816761</v>
      </c>
      <c r="AS195" s="4">
        <v>163975.6855912476</v>
      </c>
      <c r="AT195" s="4">
        <v>167753.9561379269</v>
      </c>
      <c r="AU195" s="4">
        <v>171580.63099515773</v>
      </c>
      <c r="AV195" s="4">
        <v>175455.45737013963</v>
      </c>
      <c r="AW195" s="4">
        <v>179378.16610253032</v>
      </c>
      <c r="AX195" s="4">
        <v>183348.47187714835</v>
      </c>
      <c r="AY195" s="4">
        <v>187366.07344679922</v>
      </c>
      <c r="AZ195" s="4">
        <v>191430.65386484997</v>
      </c>
      <c r="BA195" s="4">
        <v>195541.88072717362</v>
      </c>
      <c r="BB195" s="4">
        <v>199699.4064230801</v>
      </c>
      <c r="BC195" s="4">
        <v>203902.86839484787</v>
      </c>
      <c r="BD195" s="4">
        <v>208151.88940546676</v>
      </c>
      <c r="BE195" s="4">
        <v>212446.07781420188</v>
      </c>
      <c r="BF195" s="4">
        <v>216785.0278595862</v>
      </c>
      <c r="BG195" s="4">
        <v>221168.31994944866</v>
      </c>
      <c r="BH195" s="4">
        <v>225595.52095758566</v>
      </c>
      <c r="BI195" s="4">
        <v>230066.18452668301</v>
      </c>
      <c r="BJ195" s="4">
        <v>234579.8513770974</v>
      </c>
      <c r="BK195" s="4">
        <v>239136.04962110749</v>
      </c>
      <c r="BL195" s="4">
        <v>243734.29508224723</v>
      </c>
      <c r="BM195" s="4">
        <v>248374.09161933631</v>
      </c>
      <c r="BN195" s="4">
        <v>253054.93145482629</v>
      </c>
      <c r="BO195" s="4">
        <v>257776.29550708414</v>
      </c>
      <c r="BP195" s="4">
        <v>262537.65372623876</v>
      </c>
      <c r="BQ195" s="4">
        <v>267338.46543322096</v>
      </c>
      <c r="BR195" s="4">
        <v>272178.17966163257</v>
      </c>
      <c r="BS195" s="4">
        <v>277056.23550208402</v>
      </c>
      <c r="BT195" s="4">
        <v>281972.06244864734</v>
      </c>
      <c r="BU195" s="4">
        <v>286925.08074707555</v>
      </c>
    </row>
    <row r="196" spans="1:125" x14ac:dyDescent="0.25">
      <c r="A196" s="3" t="s">
        <v>199</v>
      </c>
      <c r="B196" s="3" t="str">
        <f>VLOOKUP(A196,'storage capacity'!$A$2:$C$195,3,FALSE)</f>
        <v>Sub-saharan africa</v>
      </c>
      <c r="C196" s="4">
        <v>41191.533333333209</v>
      </c>
      <c r="D196" s="4">
        <v>43789.895376502827</v>
      </c>
      <c r="E196" s="4">
        <v>46524.539437672371</v>
      </c>
      <c r="F196" s="4">
        <v>49400.905636636773</v>
      </c>
      <c r="G196" s="4">
        <v>52424.560377124741</v>
      </c>
      <c r="H196" s="4">
        <v>55601.195112356931</v>
      </c>
      <c r="I196" s="4">
        <v>58936.624910514875</v>
      </c>
      <c r="J196" s="4">
        <v>62436.78681866861</v>
      </c>
      <c r="K196" s="4">
        <v>66107.738024134014</v>
      </c>
      <c r="L196" s="4">
        <v>69955.653812659948</v>
      </c>
      <c r="M196" s="4">
        <v>73986.825323279118</v>
      </c>
      <c r="N196" s="4">
        <v>78207.657100093711</v>
      </c>
      <c r="O196" s="4">
        <v>82624.664441706031</v>
      </c>
      <c r="P196" s="4">
        <v>87244.470549444086</v>
      </c>
      <c r="Q196" s="4">
        <v>92073.803475971232</v>
      </c>
      <c r="R196" s="4">
        <v>97119.492876305754</v>
      </c>
      <c r="S196" s="4">
        <v>102388.46656370998</v>
      </c>
      <c r="T196" s="4">
        <v>107887.74687333751</v>
      </c>
      <c r="U196" s="4">
        <v>113624.44683694944</v>
      </c>
      <c r="V196" s="4">
        <v>119605.76617242701</v>
      </c>
      <c r="W196" s="4">
        <v>125838.9870922143</v>
      </c>
      <c r="X196" s="4">
        <v>132331.46993522265</v>
      </c>
      <c r="Y196" s="4">
        <v>139090.64862711541</v>
      </c>
      <c r="Z196" s="4">
        <v>146124.02597426594</v>
      </c>
      <c r="AA196" s="4">
        <v>153439.16879704417</v>
      </c>
      <c r="AB196" s="4">
        <v>161043.70290843572</v>
      </c>
      <c r="AC196" s="4">
        <v>168945.30794432954</v>
      </c>
      <c r="AD196" s="4">
        <v>177151.71205212956</v>
      </c>
      <c r="AE196" s="4">
        <v>185670.68644464583</v>
      </c>
      <c r="AF196" s="4">
        <v>194510.03982650553</v>
      </c>
      <c r="AG196" s="4">
        <v>203677.61270059025</v>
      </c>
      <c r="AH196" s="4">
        <v>213181.271562254</v>
      </c>
      <c r="AI196" s="4">
        <v>223028.90298930535</v>
      </c>
      <c r="AJ196" s="4">
        <v>233228.40763594658</v>
      </c>
      <c r="AK196" s="4">
        <v>243787.6941390523</v>
      </c>
      <c r="AL196" s="4">
        <v>254714.67294534037</v>
      </c>
      <c r="AM196" s="4">
        <v>266017.25006813573</v>
      </c>
      <c r="AN196" s="4">
        <v>277703.32078255789</v>
      </c>
      <c r="AO196" s="4">
        <v>289780.76326806954</v>
      </c>
      <c r="AP196" s="4">
        <v>302257.43220741209</v>
      </c>
      <c r="AQ196" s="4">
        <v>315141.15235101886</v>
      </c>
      <c r="AR196" s="4">
        <v>328439.71205604455</v>
      </c>
      <c r="AS196" s="4">
        <v>342160.85680917278</v>
      </c>
      <c r="AT196" s="4">
        <v>356312.28274236986</v>
      </c>
      <c r="AU196" s="4">
        <v>370901.63015073788</v>
      </c>
      <c r="AV196" s="4">
        <v>385936.47702158394</v>
      </c>
      <c r="AW196" s="4">
        <v>401424.33258377103</v>
      </c>
      <c r="AX196" s="4">
        <v>417372.63088633999</v>
      </c>
      <c r="AY196" s="4">
        <v>433788.72441530193</v>
      </c>
      <c r="AZ196" s="4">
        <v>450679.87775739166</v>
      </c>
      <c r="BA196" s="4">
        <v>468053.26131944387</v>
      </c>
      <c r="BB196" s="4">
        <v>485915.94511191192</v>
      </c>
      <c r="BC196" s="4">
        <v>504274.89260488789</v>
      </c>
      <c r="BD196" s="4">
        <v>523136.95466480806</v>
      </c>
      <c r="BE196" s="4">
        <v>542508.86357983714</v>
      </c>
      <c r="BF196" s="4">
        <v>562397.22718172101</v>
      </c>
      <c r="BG196" s="4">
        <v>582808.52307167824</v>
      </c>
      <c r="BH196" s="4">
        <v>603749.09295767383</v>
      </c>
      <c r="BI196" s="4">
        <v>625225.13711017231</v>
      </c>
      <c r="BJ196" s="4">
        <v>647242.70894321788</v>
      </c>
      <c r="BK196" s="4">
        <v>669807.7097274242</v>
      </c>
      <c r="BL196" s="4">
        <v>692925.88344118441</v>
      </c>
      <c r="BM196" s="4">
        <v>716602.81176613062</v>
      </c>
      <c r="BN196" s="4">
        <v>740843.90923258255</v>
      </c>
      <c r="BO196" s="4">
        <v>765654.41852043255</v>
      </c>
      <c r="BP196" s="4">
        <v>791039.40592060657</v>
      </c>
      <c r="BQ196" s="4">
        <v>817003.75696193986</v>
      </c>
      <c r="BR196" s="4">
        <v>843552.17220799031</v>
      </c>
      <c r="BS196" s="4">
        <v>870689.16322800051</v>
      </c>
      <c r="BT196" s="4">
        <v>898419.04874589783</v>
      </c>
      <c r="BU196" s="4">
        <v>926745.95097090595</v>
      </c>
    </row>
    <row r="198" spans="1:125" x14ac:dyDescent="0.25">
      <c r="C198" s="4">
        <v>3</v>
      </c>
      <c r="D198" s="4">
        <v>4</v>
      </c>
      <c r="E198" s="4">
        <f>D198+1</f>
        <v>5</v>
      </c>
      <c r="F198" s="4">
        <f t="shared" ref="F198:BQ198" si="0">E198+1</f>
        <v>6</v>
      </c>
      <c r="G198" s="4">
        <f t="shared" si="0"/>
        <v>7</v>
      </c>
      <c r="H198" s="4">
        <f t="shared" si="0"/>
        <v>8</v>
      </c>
      <c r="I198" s="4">
        <f t="shared" si="0"/>
        <v>9</v>
      </c>
      <c r="J198" s="4">
        <f t="shared" si="0"/>
        <v>10</v>
      </c>
      <c r="K198" s="4">
        <f t="shared" si="0"/>
        <v>11</v>
      </c>
      <c r="L198" s="4">
        <f t="shared" si="0"/>
        <v>12</v>
      </c>
      <c r="M198" s="4">
        <f t="shared" si="0"/>
        <v>13</v>
      </c>
      <c r="N198" s="4">
        <f t="shared" si="0"/>
        <v>14</v>
      </c>
      <c r="O198" s="4">
        <f t="shared" si="0"/>
        <v>15</v>
      </c>
      <c r="P198" s="4">
        <f t="shared" si="0"/>
        <v>16</v>
      </c>
      <c r="Q198" s="4">
        <f t="shared" si="0"/>
        <v>17</v>
      </c>
      <c r="R198" s="4">
        <f t="shared" si="0"/>
        <v>18</v>
      </c>
      <c r="S198" s="4">
        <f t="shared" si="0"/>
        <v>19</v>
      </c>
      <c r="T198" s="4">
        <f t="shared" si="0"/>
        <v>20</v>
      </c>
      <c r="U198" s="4">
        <f t="shared" si="0"/>
        <v>21</v>
      </c>
      <c r="V198" s="4">
        <f t="shared" si="0"/>
        <v>22</v>
      </c>
      <c r="W198" s="4">
        <f t="shared" si="0"/>
        <v>23</v>
      </c>
      <c r="X198" s="4">
        <f t="shared" si="0"/>
        <v>24</v>
      </c>
      <c r="Y198" s="4">
        <f t="shared" si="0"/>
        <v>25</v>
      </c>
      <c r="Z198" s="4">
        <f t="shared" si="0"/>
        <v>26</v>
      </c>
      <c r="AA198" s="4">
        <f t="shared" si="0"/>
        <v>27</v>
      </c>
      <c r="AB198" s="4">
        <f t="shared" si="0"/>
        <v>28</v>
      </c>
      <c r="AC198" s="4">
        <f t="shared" si="0"/>
        <v>29</v>
      </c>
      <c r="AD198" s="4">
        <f t="shared" si="0"/>
        <v>30</v>
      </c>
      <c r="AE198" s="4">
        <f t="shared" si="0"/>
        <v>31</v>
      </c>
      <c r="AF198" s="4">
        <f t="shared" si="0"/>
        <v>32</v>
      </c>
      <c r="AG198" s="4">
        <f t="shared" si="0"/>
        <v>33</v>
      </c>
      <c r="AH198" s="4">
        <f t="shared" si="0"/>
        <v>34</v>
      </c>
      <c r="AI198" s="4">
        <f t="shared" si="0"/>
        <v>35</v>
      </c>
      <c r="AJ198" s="4">
        <f t="shared" si="0"/>
        <v>36</v>
      </c>
      <c r="AK198" s="4">
        <f t="shared" si="0"/>
        <v>37</v>
      </c>
      <c r="AL198" s="4">
        <f t="shared" si="0"/>
        <v>38</v>
      </c>
      <c r="AM198" s="4">
        <f t="shared" si="0"/>
        <v>39</v>
      </c>
      <c r="AN198" s="4">
        <f t="shared" si="0"/>
        <v>40</v>
      </c>
      <c r="AO198" s="4">
        <f t="shared" si="0"/>
        <v>41</v>
      </c>
      <c r="AP198" s="4">
        <f t="shared" si="0"/>
        <v>42</v>
      </c>
      <c r="AQ198" s="4">
        <f t="shared" si="0"/>
        <v>43</v>
      </c>
      <c r="AR198" s="4">
        <f t="shared" si="0"/>
        <v>44</v>
      </c>
      <c r="AS198" s="4">
        <f t="shared" si="0"/>
        <v>45</v>
      </c>
      <c r="AT198" s="4">
        <f t="shared" si="0"/>
        <v>46</v>
      </c>
      <c r="AU198" s="4">
        <f t="shared" si="0"/>
        <v>47</v>
      </c>
      <c r="AV198" s="4">
        <f t="shared" si="0"/>
        <v>48</v>
      </c>
      <c r="AW198" s="4">
        <f t="shared" si="0"/>
        <v>49</v>
      </c>
      <c r="AX198" s="4">
        <f t="shared" si="0"/>
        <v>50</v>
      </c>
      <c r="AY198" s="4">
        <f t="shared" si="0"/>
        <v>51</v>
      </c>
      <c r="AZ198" s="4">
        <f t="shared" si="0"/>
        <v>52</v>
      </c>
      <c r="BA198" s="4">
        <f t="shared" si="0"/>
        <v>53</v>
      </c>
      <c r="BB198" s="4">
        <f t="shared" si="0"/>
        <v>54</v>
      </c>
      <c r="BC198" s="4">
        <f t="shared" si="0"/>
        <v>55</v>
      </c>
      <c r="BD198" s="4">
        <f t="shared" si="0"/>
        <v>56</v>
      </c>
      <c r="BE198" s="4">
        <f t="shared" si="0"/>
        <v>57</v>
      </c>
      <c r="BF198" s="4">
        <f t="shared" si="0"/>
        <v>58</v>
      </c>
      <c r="BG198" s="4">
        <f t="shared" si="0"/>
        <v>59</v>
      </c>
      <c r="BH198" s="4">
        <f t="shared" si="0"/>
        <v>60</v>
      </c>
      <c r="BI198" s="4">
        <f t="shared" si="0"/>
        <v>61</v>
      </c>
      <c r="BJ198" s="4">
        <f t="shared" si="0"/>
        <v>62</v>
      </c>
      <c r="BK198" s="4">
        <f t="shared" si="0"/>
        <v>63</v>
      </c>
      <c r="BL198" s="4">
        <f t="shared" si="0"/>
        <v>64</v>
      </c>
      <c r="BM198" s="4">
        <f t="shared" si="0"/>
        <v>65</v>
      </c>
      <c r="BN198" s="4">
        <f t="shared" si="0"/>
        <v>66</v>
      </c>
      <c r="BO198" s="4">
        <f t="shared" si="0"/>
        <v>67</v>
      </c>
      <c r="BP198" s="4">
        <f t="shared" si="0"/>
        <v>68</v>
      </c>
      <c r="BQ198" s="4">
        <f t="shared" si="0"/>
        <v>69</v>
      </c>
      <c r="BR198" s="4">
        <f t="shared" ref="BR198:BU198" si="1">BQ198+1</f>
        <v>70</v>
      </c>
      <c r="BS198" s="4">
        <f t="shared" si="1"/>
        <v>71</v>
      </c>
      <c r="BT198" s="4">
        <f t="shared" si="1"/>
        <v>72</v>
      </c>
      <c r="BU198" s="4">
        <f t="shared" si="1"/>
        <v>73</v>
      </c>
    </row>
    <row r="199" spans="1:125" x14ac:dyDescent="0.25">
      <c r="A199" t="str">
        <f>'storage capacity'!Q2</f>
        <v>Sub-saharan africa</v>
      </c>
      <c r="C199" s="7">
        <f>SUMIF($B$2:$B$196,$A199,C$2:C$196)</f>
        <v>2156078.3999999897</v>
      </c>
      <c r="D199" s="7">
        <f t="shared" ref="D199:H199" si="2">SUMIF($B$2:$B$196,$A199,D$2:D$196)</f>
        <v>2285823.9165713568</v>
      </c>
      <c r="E199" s="7">
        <f t="shared" si="2"/>
        <v>2422628.0807807692</v>
      </c>
      <c r="F199" s="7">
        <f t="shared" si="2"/>
        <v>2566816.791859176</v>
      </c>
      <c r="G199" s="7">
        <f t="shared" si="2"/>
        <v>2718727.2594381045</v>
      </c>
      <c r="H199" s="7">
        <f t="shared" si="2"/>
        <v>2878708.1840218715</v>
      </c>
      <c r="I199" s="7">
        <f>SUMIF($B$2:$B$196,$A199,I$2:I$196)</f>
        <v>3047119.9291723864</v>
      </c>
      <c r="J199" s="7">
        <f t="shared" ref="J199:BU203" si="3">SUMIF($B$2:$B$196,$A199,J$2:J$196)</f>
        <v>3224334.6848009969</v>
      </c>
      <c r="K199" s="7">
        <f t="shared" si="3"/>
        <v>3410736.6209632671</v>
      </c>
      <c r="L199" s="7">
        <f t="shared" si="3"/>
        <v>3606722.0315555884</v>
      </c>
      <c r="M199" s="7">
        <f t="shared" si="3"/>
        <v>3812699.46731738</v>
      </c>
      <c r="N199" s="7">
        <f t="shared" si="3"/>
        <v>4029089.8575492469</v>
      </c>
      <c r="O199" s="7">
        <f t="shared" si="3"/>
        <v>4256326.6199658709</v>
      </c>
      <c r="P199" s="7">
        <f t="shared" si="3"/>
        <v>4494855.7581125768</v>
      </c>
      <c r="Q199" s="7">
        <f t="shared" si="3"/>
        <v>4745135.9457866065</v>
      </c>
      <c r="R199" s="7">
        <f t="shared" si="3"/>
        <v>5007638.5979177924</v>
      </c>
      <c r="S199" s="7">
        <f t="shared" si="3"/>
        <v>5282847.927379082</v>
      </c>
      <c r="T199" s="7">
        <f t="shared" si="3"/>
        <v>5571260.9872145178</v>
      </c>
      <c r="U199" s="7">
        <f t="shared" si="3"/>
        <v>5873387.697791528</v>
      </c>
      <c r="V199" s="7">
        <f t="shared" si="3"/>
        <v>6189750.8584050247</v>
      </c>
      <c r="W199" s="7">
        <f t="shared" si="3"/>
        <v>6520886.1428833753</v>
      </c>
      <c r="X199" s="7">
        <f t="shared" si="3"/>
        <v>6867342.0787702203</v>
      </c>
      <c r="Y199" s="7">
        <f t="shared" si="3"/>
        <v>7229680.0096818805</v>
      </c>
      <c r="Z199" s="7">
        <f t="shared" si="3"/>
        <v>7608474.0404671039</v>
      </c>
      <c r="AA199" s="7">
        <f t="shared" si="3"/>
        <v>8004310.964824467</v>
      </c>
      <c r="AB199" s="7">
        <f t="shared" si="3"/>
        <v>8417790.1750627197</v>
      </c>
      <c r="AC199" s="7">
        <f t="shared" si="3"/>
        <v>8849523.5537204612</v>
      </c>
      <c r="AD199" s="7">
        <f t="shared" si="3"/>
        <v>9300135.3467940167</v>
      </c>
      <c r="AE199" s="7">
        <f t="shared" si="3"/>
        <v>9770262.018355839</v>
      </c>
      <c r="AF199" s="7">
        <f t="shared" si="3"/>
        <v>10260552.086380308</v>
      </c>
      <c r="AG199" s="7">
        <f t="shared" si="3"/>
        <v>10771665.939629294</v>
      </c>
      <c r="AH199" s="7">
        <f t="shared" si="3"/>
        <v>11304275.635486061</v>
      </c>
      <c r="AI199" s="7">
        <f t="shared" si="3"/>
        <v>11859064.678663205</v>
      </c>
      <c r="AJ199" s="7">
        <f t="shared" si="3"/>
        <v>12436727.780747788</v>
      </c>
      <c r="AK199" s="7">
        <f t="shared" si="3"/>
        <v>13037970.600585224</v>
      </c>
      <c r="AL199" s="7">
        <f t="shared" si="3"/>
        <v>13663509.465541702</v>
      </c>
      <c r="AM199" s="7">
        <f t="shared" si="3"/>
        <v>14314071.073723935</v>
      </c>
      <c r="AN199" s="7">
        <f t="shared" si="3"/>
        <v>14990392.177274128</v>
      </c>
      <c r="AO199" s="7">
        <f t="shared" si="3"/>
        <v>15693219.246896759</v>
      </c>
      <c r="AP199" s="7">
        <f t="shared" si="3"/>
        <v>16423308.117813233</v>
      </c>
      <c r="AQ199" s="7">
        <f t="shared" si="3"/>
        <v>17181423.617378861</v>
      </c>
      <c r="AR199" s="7">
        <f t="shared" si="3"/>
        <v>17968339.174635608</v>
      </c>
      <c r="AS199" s="7">
        <f t="shared" si="3"/>
        <v>18784836.412111819</v>
      </c>
      <c r="AT199" s="7">
        <f t="shared" si="3"/>
        <v>19631704.720218163</v>
      </c>
      <c r="AU199" s="7">
        <f t="shared" si="3"/>
        <v>20509740.814625815</v>
      </c>
      <c r="AV199" s="7">
        <f t="shared" si="3"/>
        <v>21419748.277049519</v>
      </c>
      <c r="AW199" s="7">
        <f t="shared" si="3"/>
        <v>22362537.07989338</v>
      </c>
      <c r="AX199" s="7">
        <f t="shared" si="3"/>
        <v>23338923.095252249</v>
      </c>
      <c r="AY199" s="7">
        <f t="shared" si="3"/>
        <v>24349727.588794846</v>
      </c>
      <c r="AZ199" s="7">
        <f t="shared" si="3"/>
        <v>25395776.69908743</v>
      </c>
      <c r="BA199" s="7">
        <f t="shared" si="3"/>
        <v>26477900.902948201</v>
      </c>
      <c r="BB199" s="7">
        <f t="shared" si="3"/>
        <v>27596934.467452489</v>
      </c>
      <c r="BC199" s="7">
        <f t="shared" si="3"/>
        <v>28753714.889237609</v>
      </c>
      <c r="BD199" s="7">
        <f t="shared" si="3"/>
        <v>29949082.321783517</v>
      </c>
      <c r="BE199" s="7">
        <f t="shared" si="3"/>
        <v>31183878.991371173</v>
      </c>
      <c r="BF199" s="7">
        <f t="shared" si="3"/>
        <v>32458948.602444679</v>
      </c>
      <c r="BG199" s="7">
        <f t="shared" si="3"/>
        <v>33775135.733125836</v>
      </c>
      <c r="BH199" s="7">
        <f t="shared" si="3"/>
        <v>35133285.221650876</v>
      </c>
      <c r="BI199" s="7">
        <f t="shared" si="3"/>
        <v>36534241.544518128</v>
      </c>
      <c r="BJ199" s="7">
        <f t="shared" si="3"/>
        <v>37978848.187152937</v>
      </c>
      <c r="BK199" s="7">
        <f t="shared" si="3"/>
        <v>39467947.007911712</v>
      </c>
      <c r="BL199" s="7">
        <f t="shared" si="3"/>
        <v>41002377.596261233</v>
      </c>
      <c r="BM199" s="7">
        <f t="shared" si="3"/>
        <v>42582976.625980467</v>
      </c>
      <c r="BN199" s="7">
        <f t="shared" si="3"/>
        <v>44210577.2042436</v>
      </c>
      <c r="BO199" s="7">
        <f t="shared" si="3"/>
        <v>45886008.217449702</v>
      </c>
      <c r="BP199" s="7">
        <f t="shared" si="3"/>
        <v>47610093.674672604</v>
      </c>
      <c r="BQ199" s="7">
        <f t="shared" si="3"/>
        <v>49383652.049607031</v>
      </c>
      <c r="BR199" s="7">
        <f t="shared" si="3"/>
        <v>51207495.621892042</v>
      </c>
      <c r="BS199" s="7">
        <f t="shared" si="3"/>
        <v>53082429.818691187</v>
      </c>
      <c r="BT199" s="7">
        <f t="shared" si="3"/>
        <v>55009252.557409912</v>
      </c>
      <c r="BU199" s="7">
        <f t="shared" si="3"/>
        <v>56988753.590426259</v>
      </c>
    </row>
    <row r="200" spans="1:125" x14ac:dyDescent="0.25">
      <c r="A200" t="str">
        <f>'storage capacity'!Q3</f>
        <v>Other eurasia</v>
      </c>
      <c r="C200" s="7">
        <f t="shared" ref="C200:R203" si="4">SUMIF($B$2:$B$196,$A200,C$2:C$196)</f>
        <v>6849115.0000000373</v>
      </c>
      <c r="D200" s="7">
        <f t="shared" si="4"/>
        <v>7260499.8500744738</v>
      </c>
      <c r="E200" s="7">
        <f t="shared" si="4"/>
        <v>7693938.7806967217</v>
      </c>
      <c r="F200" s="7">
        <f t="shared" si="4"/>
        <v>8150436.8136858474</v>
      </c>
      <c r="G200" s="7">
        <f t="shared" si="4"/>
        <v>8631033.7805027384</v>
      </c>
      <c r="H200" s="7">
        <f t="shared" si="4"/>
        <v>9136804.9135950096</v>
      </c>
      <c r="I200" s="7">
        <f t="shared" si="4"/>
        <v>9668861.4159354642</v>
      </c>
      <c r="J200" s="7">
        <f t="shared" si="4"/>
        <v>10228351.00700142</v>
      </c>
      <c r="K200" s="7">
        <f t="shared" si="4"/>
        <v>10816458.443437018</v>
      </c>
      <c r="L200" s="7">
        <f t="shared" si="4"/>
        <v>11434406.012640392</v>
      </c>
      <c r="M200" s="7">
        <f t="shared" si="4"/>
        <v>12083453.997521397</v>
      </c>
      <c r="N200" s="7">
        <f t="shared" si="4"/>
        <v>12764901.110684235</v>
      </c>
      <c r="O200" s="7">
        <f t="shared" si="4"/>
        <v>13480084.89630278</v>
      </c>
      <c r="P200" s="7">
        <f t="shared" si="4"/>
        <v>14230382.097974343</v>
      </c>
      <c r="Q200" s="7">
        <f t="shared" si="4"/>
        <v>15017208.99086058</v>
      </c>
      <c r="R200" s="7">
        <f t="shared" si="4"/>
        <v>15842021.676451884</v>
      </c>
      <c r="S200" s="7">
        <f t="shared" si="3"/>
        <v>16706316.338324262</v>
      </c>
      <c r="T200" s="7">
        <f t="shared" si="3"/>
        <v>17611629.457294904</v>
      </c>
      <c r="U200" s="7">
        <f t="shared" si="3"/>
        <v>18559537.984424986</v>
      </c>
      <c r="V200" s="7">
        <f t="shared" si="3"/>
        <v>19551659.47036507</v>
      </c>
      <c r="W200" s="7">
        <f t="shared" si="3"/>
        <v>20589652.149590243</v>
      </c>
      <c r="X200" s="7">
        <f t="shared" si="3"/>
        <v>21675214.978128299</v>
      </c>
      <c r="Y200" s="7">
        <f t="shared" si="3"/>
        <v>22810087.62344531</v>
      </c>
      <c r="Z200" s="7">
        <f t="shared" si="3"/>
        <v>23996050.405217968</v>
      </c>
      <c r="AA200" s="7">
        <f t="shared" si="3"/>
        <v>25234924.185792003</v>
      </c>
      <c r="AB200" s="7">
        <f t="shared" si="3"/>
        <v>26528570.209199496</v>
      </c>
      <c r="AC200" s="7">
        <f t="shared" si="3"/>
        <v>27878889.887685969</v>
      </c>
      <c r="AD200" s="7">
        <f t="shared" si="3"/>
        <v>29287824.534779634</v>
      </c>
      <c r="AE200" s="7">
        <f t="shared" si="3"/>
        <v>30757355.044020779</v>
      </c>
      <c r="AF200" s="7">
        <f t="shared" si="3"/>
        <v>32289501.512557805</v>
      </c>
      <c r="AG200" s="7">
        <f t="shared" si="3"/>
        <v>33886322.808909021</v>
      </c>
      <c r="AH200" s="7">
        <f t="shared" si="3"/>
        <v>35549916.084283859</v>
      </c>
      <c r="AI200" s="7">
        <f t="shared" si="3"/>
        <v>37282416.226955779</v>
      </c>
      <c r="AJ200" s="7">
        <f t="shared" si="3"/>
        <v>39085995.259279288</v>
      </c>
      <c r="AK200" s="7">
        <f t="shared" si="3"/>
        <v>40962861.677046455</v>
      </c>
      <c r="AL200" s="7">
        <f t="shared" si="3"/>
        <v>42915259.730983324</v>
      </c>
      <c r="AM200" s="7">
        <f t="shared" si="3"/>
        <v>44945468.650293194</v>
      </c>
      <c r="AN200" s="7">
        <f t="shared" si="3"/>
        <v>47055801.808261998</v>
      </c>
      <c r="AO200" s="7">
        <f t="shared" si="3"/>
        <v>49248605.830050416</v>
      </c>
      <c r="AP200" s="7">
        <f t="shared" si="3"/>
        <v>51526259.64290756</v>
      </c>
      <c r="AQ200" s="7">
        <f t="shared" si="3"/>
        <v>53891173.469152234</v>
      </c>
      <c r="AR200" s="7">
        <f t="shared" si="3"/>
        <v>56345787.762378901</v>
      </c>
      <c r="AS200" s="7">
        <f t="shared" si="3"/>
        <v>58892572.087456755</v>
      </c>
      <c r="AT200" s="7">
        <f t="shared" si="3"/>
        <v>61534023.94500149</v>
      </c>
      <c r="AU200" s="7">
        <f t="shared" si="3"/>
        <v>64272667.541109718</v>
      </c>
      <c r="AV200" s="7">
        <f t="shared" si="3"/>
        <v>67111052.503255531</v>
      </c>
      <c r="AW200" s="7">
        <f t="shared" si="3"/>
        <v>70051752.543357566</v>
      </c>
      <c r="AX200" s="7">
        <f t="shared" si="3"/>
        <v>73097364.069130883</v>
      </c>
      <c r="AY200" s="7">
        <f t="shared" si="3"/>
        <v>76250504.744944945</v>
      </c>
      <c r="AZ200" s="7">
        <f t="shared" si="3"/>
        <v>79513812.003510043</v>
      </c>
      <c r="BA200" s="7">
        <f t="shared" si="3"/>
        <v>82889941.509817615</v>
      </c>
      <c r="BB200" s="7">
        <f t="shared" si="3"/>
        <v>86381565.578856349</v>
      </c>
      <c r="BC200" s="7">
        <f t="shared" si="3"/>
        <v>89991371.548723176</v>
      </c>
      <c r="BD200" s="7">
        <f t="shared" si="3"/>
        <v>93722060.110839263</v>
      </c>
      <c r="BE200" s="7">
        <f t="shared" si="3"/>
        <v>97576343.599071607</v>
      </c>
      <c r="BF200" s="7">
        <f t="shared" si="3"/>
        <v>101556944.23964503</v>
      </c>
      <c r="BG200" s="7">
        <f t="shared" si="3"/>
        <v>105666592.36381286</v>
      </c>
      <c r="BH200" s="7">
        <f t="shared" si="3"/>
        <v>109908024.58533098</v>
      </c>
      <c r="BI200" s="7">
        <f t="shared" si="3"/>
        <v>114283981.94485474</v>
      </c>
      <c r="BJ200" s="7">
        <f t="shared" si="3"/>
        <v>118797208.02344686</v>
      </c>
      <c r="BK200" s="7">
        <f t="shared" si="3"/>
        <v>123450447.02745019</v>
      </c>
      <c r="BL200" s="7">
        <f t="shared" si="3"/>
        <v>128246441.84703889</v>
      </c>
      <c r="BM200" s="7">
        <f t="shared" si="3"/>
        <v>133187932.0908168</v>
      </c>
      <c r="BN200" s="7">
        <f t="shared" si="3"/>
        <v>138277652.09888381</v>
      </c>
      <c r="BO200" s="7">
        <f t="shared" si="3"/>
        <v>143518328.93683439</v>
      </c>
      <c r="BP200" s="7">
        <f t="shared" si="3"/>
        <v>148912680.37319559</v>
      </c>
      <c r="BQ200" s="7">
        <f t="shared" si="3"/>
        <v>154463412.84284419</v>
      </c>
      <c r="BR200" s="7">
        <f t="shared" si="3"/>
        <v>160173219.39897573</v>
      </c>
      <c r="BS200" s="7">
        <f t="shared" si="3"/>
        <v>166044777.65622082</v>
      </c>
      <c r="BT200" s="7">
        <f t="shared" si="3"/>
        <v>172080747.72752416</v>
      </c>
      <c r="BU200" s="7">
        <f t="shared" si="3"/>
        <v>178283770.15741751</v>
      </c>
    </row>
    <row r="201" spans="1:125" x14ac:dyDescent="0.25">
      <c r="A201" t="str">
        <f>'storage capacity'!Q4</f>
        <v>Other latin america</v>
      </c>
      <c r="C201" s="7">
        <f t="shared" si="4"/>
        <v>2628384.13333333</v>
      </c>
      <c r="D201" s="7">
        <f t="shared" si="4"/>
        <v>2765419.060257189</v>
      </c>
      <c r="E201" s="7">
        <f t="shared" si="4"/>
        <v>2908510.6103442293</v>
      </c>
      <c r="F201" s="7">
        <f t="shared" si="4"/>
        <v>3057869.2903222861</v>
      </c>
      <c r="G201" s="7">
        <f t="shared" si="4"/>
        <v>3213710.2315692259</v>
      </c>
      <c r="H201" s="7">
        <f t="shared" si="4"/>
        <v>3376253.1756511037</v>
      </c>
      <c r="I201" s="7">
        <f t="shared" si="4"/>
        <v>3545722.4542591269</v>
      </c>
      <c r="J201" s="7">
        <f t="shared" si="3"/>
        <v>3722346.9634177419</v>
      </c>
      <c r="K201" s="7">
        <f t="shared" si="3"/>
        <v>3906360.1318440922</v>
      </c>
      <c r="L201" s="7">
        <f t="shared" si="3"/>
        <v>4097999.8833473218</v>
      </c>
      <c r="M201" s="7">
        <f t="shared" si="3"/>
        <v>4297508.5931651033</v>
      </c>
      <c r="N201" s="7">
        <f t="shared" si="3"/>
        <v>4505133.0381439868</v>
      </c>
      <c r="O201" s="7">
        <f t="shared" si="3"/>
        <v>4721124.3406798309</v>
      </c>
      <c r="P201" s="7">
        <f t="shared" si="3"/>
        <v>4945737.9063446922</v>
      </c>
      <c r="Q201" s="7">
        <f t="shared" si="3"/>
        <v>5179233.3551370306</v>
      </c>
      <c r="R201" s="7">
        <f t="shared" si="3"/>
        <v>5421874.4463028815</v>
      </c>
      <c r="S201" s="7">
        <f t="shared" si="3"/>
        <v>5673928.9966868181</v>
      </c>
      <c r="T201" s="7">
        <f t="shared" si="3"/>
        <v>5935668.7925830381</v>
      </c>
      <c r="U201" s="7">
        <f t="shared" si="3"/>
        <v>6207369.4950685939</v>
      </c>
      <c r="V201" s="7">
        <f t="shared" si="3"/>
        <v>6489310.5388127752</v>
      </c>
      <c r="W201" s="7">
        <f t="shared" si="3"/>
        <v>6781775.0243688906</v>
      </c>
      <c r="X201" s="7">
        <f t="shared" si="3"/>
        <v>7085049.6039670166</v>
      </c>
      <c r="Y201" s="7">
        <f t="shared" si="3"/>
        <v>7399424.3608388407</v>
      </c>
      <c r="Z201" s="7">
        <f t="shared" si="3"/>
        <v>7725192.6821183255</v>
      </c>
      <c r="AA201" s="7">
        <f t="shared" si="3"/>
        <v>8062651.1253746171</v>
      </c>
      <c r="AB201" s="7">
        <f t="shared" si="3"/>
        <v>8412099.2788464222</v>
      </c>
      <c r="AC201" s="7">
        <f t="shared" si="3"/>
        <v>8773839.6154597122</v>
      </c>
      <c r="AD201" s="7">
        <f t="shared" si="3"/>
        <v>9148177.3407234754</v>
      </c>
      <c r="AE201" s="7">
        <f t="shared" si="3"/>
        <v>9535420.2346106656</v>
      </c>
      <c r="AF201" s="7">
        <f t="shared" si="3"/>
        <v>9935878.4875443</v>
      </c>
      <c r="AG201" s="7">
        <f t="shared" si="3"/>
        <v>10349864.53062072</v>
      </c>
      <c r="AH201" s="7">
        <f t="shared" si="3"/>
        <v>10777692.860214688</v>
      </c>
      <c r="AI201" s="7">
        <f t="shared" si="3"/>
        <v>11219679.857122364</v>
      </c>
      <c r="AJ201" s="7">
        <f t="shared" si="3"/>
        <v>11676143.6004107</v>
      </c>
      <c r="AK201" s="7">
        <f t="shared" si="3"/>
        <v>12147403.676152591</v>
      </c>
      <c r="AL201" s="7">
        <f t="shared" si="3"/>
        <v>12633780.981238715</v>
      </c>
      <c r="AM201" s="7">
        <f t="shared" si="3"/>
        <v>13135597.522467667</v>
      </c>
      <c r="AN201" s="7">
        <f t="shared" si="3"/>
        <v>13653176.211126287</v>
      </c>
      <c r="AO201" s="7">
        <f t="shared" si="3"/>
        <v>14186840.653282439</v>
      </c>
      <c r="AP201" s="7">
        <f t="shared" si="3"/>
        <v>14736914.936021687</v>
      </c>
      <c r="AQ201" s="7">
        <f t="shared" si="3"/>
        <v>15303723.409868874</v>
      </c>
      <c r="AR201" s="7">
        <f t="shared" si="3"/>
        <v>15887590.467643887</v>
      </c>
      <c r="AS201" s="7">
        <f t="shared" si="3"/>
        <v>16488840.3200093</v>
      </c>
      <c r="AT201" s="7">
        <f t="shared" si="3"/>
        <v>17107796.767975088</v>
      </c>
      <c r="AU201" s="7">
        <f t="shared" si="3"/>
        <v>17744782.972632613</v>
      </c>
      <c r="AV201" s="7">
        <f t="shared" si="3"/>
        <v>18400121.222396884</v>
      </c>
      <c r="AW201" s="7">
        <f t="shared" si="3"/>
        <v>19074132.698041525</v>
      </c>
      <c r="AX201" s="7">
        <f t="shared" si="3"/>
        <v>19767137.235816635</v>
      </c>
      <c r="AY201" s="7">
        <f t="shared" si="3"/>
        <v>20479453.088944376</v>
      </c>
      <c r="AZ201" s="7">
        <f t="shared" si="3"/>
        <v>21211396.687790871</v>
      </c>
      <c r="BA201" s="7">
        <f t="shared" si="3"/>
        <v>21963282.39901698</v>
      </c>
      <c r="BB201" s="7">
        <f t="shared" si="3"/>
        <v>22735422.284013011</v>
      </c>
      <c r="BC201" s="7">
        <f t="shared" si="3"/>
        <v>23528125.856924713</v>
      </c>
      <c r="BD201" s="7">
        <f t="shared" si="3"/>
        <v>24341699.842579473</v>
      </c>
      <c r="BE201" s="7">
        <f t="shared" si="3"/>
        <v>25176447.934622642</v>
      </c>
      <c r="BF201" s="7">
        <f t="shared" si="3"/>
        <v>26032670.554174028</v>
      </c>
      <c r="BG201" s="7">
        <f t="shared" si="3"/>
        <v>26910664.609314371</v>
      </c>
      <c r="BH201" s="7">
        <f t="shared" si="3"/>
        <v>27810723.255710639</v>
      </c>
      <c r="BI201" s="7">
        <f t="shared" si="3"/>
        <v>28733135.658687338</v>
      </c>
      <c r="BJ201" s="7">
        <f t="shared" si="3"/>
        <v>29678186.757048838</v>
      </c>
      <c r="BK201" s="7">
        <f t="shared" si="3"/>
        <v>30646157.028954796</v>
      </c>
      <c r="BL201" s="7">
        <f t="shared" si="3"/>
        <v>31637322.260147732</v>
      </c>
      <c r="BM201" s="7">
        <f t="shared" si="3"/>
        <v>32651953.314827222</v>
      </c>
      <c r="BN201" s="7">
        <f t="shared" si="3"/>
        <v>33690315.909461178</v>
      </c>
      <c r="BO201" s="7">
        <f t="shared" si="3"/>
        <v>34752670.389819384</v>
      </c>
      <c r="BP201" s="7">
        <f t="shared" si="3"/>
        <v>35839271.511508621</v>
      </c>
      <c r="BQ201" s="7">
        <f t="shared" si="3"/>
        <v>36950368.224283248</v>
      </c>
      <c r="BR201" s="7">
        <f t="shared" si="3"/>
        <v>38086203.460397474</v>
      </c>
      <c r="BS201" s="7">
        <f t="shared" si="3"/>
        <v>39247013.927259646</v>
      </c>
      <c r="BT201" s="7">
        <f t="shared" si="3"/>
        <v>40433029.904640362</v>
      </c>
      <c r="BU201" s="7">
        <f t="shared" si="3"/>
        <v>41644475.046678878</v>
      </c>
    </row>
    <row r="202" spans="1:125" x14ac:dyDescent="0.25">
      <c r="A202" t="str">
        <f>'storage capacity'!Q5</f>
        <v>Middle east</v>
      </c>
      <c r="C202" s="7">
        <f t="shared" si="4"/>
        <v>3477264.1333333221</v>
      </c>
      <c r="D202" s="7">
        <f t="shared" si="4"/>
        <v>3650452.8599728798</v>
      </c>
      <c r="E202" s="7">
        <f t="shared" si="4"/>
        <v>3831576.219030947</v>
      </c>
      <c r="F202" s="7">
        <f t="shared" si="4"/>
        <v>4020923.3618611442</v>
      </c>
      <c r="G202" s="7">
        <f t="shared" si="4"/>
        <v>4218791.5357715869</v>
      </c>
      <c r="H202" s="7">
        <f t="shared" si="4"/>
        <v>4425486.1010528952</v>
      </c>
      <c r="I202" s="7">
        <f t="shared" si="4"/>
        <v>4641320.5427052602</v>
      </c>
      <c r="J202" s="7">
        <f t="shared" si="3"/>
        <v>4866616.4763257112</v>
      </c>
      <c r="K202" s="7">
        <f t="shared" si="3"/>
        <v>5101703.647645859</v>
      </c>
      <c r="L202" s="7">
        <f t="shared" si="3"/>
        <v>5346919.9252383672</v>
      </c>
      <c r="M202" s="7">
        <f t="shared" si="3"/>
        <v>5602611.285937299</v>
      </c>
      <c r="N202" s="7">
        <f t="shared" si="3"/>
        <v>5869131.7925438173</v>
      </c>
      <c r="O202" s="7">
        <f t="shared" si="3"/>
        <v>6146843.5634143064</v>
      </c>
      <c r="P202" s="7">
        <f t="shared" si="3"/>
        <v>6436116.7335532494</v>
      </c>
      <c r="Q202" s="7">
        <f t="shared" si="3"/>
        <v>6737329.4068581322</v>
      </c>
      <c r="R202" s="7">
        <f t="shared" si="3"/>
        <v>7050867.5991883595</v>
      </c>
      <c r="S202" s="7">
        <f t="shared" si="3"/>
        <v>7377125.1719548665</v>
      </c>
      <c r="T202" s="7">
        <f t="shared" si="3"/>
        <v>7716503.7559516355</v>
      </c>
      <c r="U202" s="7">
        <f t="shared" si="3"/>
        <v>8069412.6651750859</v>
      </c>
      <c r="V202" s="7">
        <f t="shared" si="3"/>
        <v>8436268.8004018981</v>
      </c>
      <c r="W202" s="7">
        <f t="shared" si="3"/>
        <v>8817496.5423207022</v>
      </c>
      <c r="X202" s="7">
        <f t="shared" si="3"/>
        <v>9213527.6340380125</v>
      </c>
      <c r="Y202" s="7">
        <f t="shared" si="3"/>
        <v>9624801.0528037623</v>
      </c>
      <c r="Z202" s="7">
        <f t="shared" si="3"/>
        <v>10051762.870827129</v>
      </c>
      <c r="AA202" s="7">
        <f t="shared" si="3"/>
        <v>10494866.105078474</v>
      </c>
      <c r="AB202" s="7">
        <f t="shared" si="3"/>
        <v>10954570.5559988</v>
      </c>
      <c r="AC202" s="7">
        <f t="shared" si="3"/>
        <v>11431342.635063564</v>
      </c>
      <c r="AD202" s="7">
        <f t="shared" si="3"/>
        <v>11925655.181173183</v>
      </c>
      <c r="AE202" s="7">
        <f t="shared" si="3"/>
        <v>12437987.265868334</v>
      </c>
      <c r="AF202" s="7">
        <f t="shared" si="3"/>
        <v>12968823.987393506</v>
      </c>
      <c r="AG202" s="7">
        <f t="shared" si="3"/>
        <v>13518656.253657907</v>
      </c>
      <c r="AH202" s="7">
        <f t="shared" si="3"/>
        <v>14087980.554168265</v>
      </c>
      <c r="AI202" s="7">
        <f t="shared" si="3"/>
        <v>14677298.721033173</v>
      </c>
      <c r="AJ202" s="7">
        <f t="shared" si="3"/>
        <v>15287117.679163862</v>
      </c>
      <c r="AK202" s="7">
        <f t="shared" si="3"/>
        <v>15917949.185820963</v>
      </c>
      <c r="AL202" s="7">
        <f t="shared" si="3"/>
        <v>16570309.559681466</v>
      </c>
      <c r="AM202" s="7">
        <f t="shared" si="3"/>
        <v>17244719.399624012</v>
      </c>
      <c r="AN202" s="7">
        <f t="shared" si="3"/>
        <v>17941703.293454632</v>
      </c>
      <c r="AO202" s="7">
        <f t="shared" si="3"/>
        <v>18661789.516818084</v>
      </c>
      <c r="AP202" s="7">
        <f t="shared" si="3"/>
        <v>19405509.722562831</v>
      </c>
      <c r="AQ202" s="7">
        <f t="shared" si="3"/>
        <v>20173398.620849762</v>
      </c>
      <c r="AR202" s="7">
        <f t="shared" si="3"/>
        <v>20965993.650316283</v>
      </c>
      <c r="AS202" s="7">
        <f t="shared" si="3"/>
        <v>21783834.640628245</v>
      </c>
      <c r="AT202" s="7">
        <f t="shared" si="3"/>
        <v>22627463.466772359</v>
      </c>
      <c r="AU202" s="7">
        <f t="shared" si="3"/>
        <v>23497423.695460856</v>
      </c>
      <c r="AV202" s="7">
        <f t="shared" si="3"/>
        <v>24394260.224038813</v>
      </c>
      <c r="AW202" s="7">
        <f t="shared" si="3"/>
        <v>25318518.91230214</v>
      </c>
      <c r="AX202" s="7">
        <f t="shared" si="3"/>
        <v>26270746.20765077</v>
      </c>
      <c r="AY202" s="7">
        <f t="shared" si="3"/>
        <v>27251488.764017545</v>
      </c>
      <c r="AZ202" s="7">
        <f t="shared" si="3"/>
        <v>28261293.05502782</v>
      </c>
      <c r="BA202" s="7">
        <f t="shared" si="3"/>
        <v>29300704.981858607</v>
      </c>
      <c r="BB202" s="7">
        <f t="shared" si="3"/>
        <v>30370269.476278808</v>
      </c>
      <c r="BC202" s="7">
        <f t="shared" si="3"/>
        <v>31470530.099363543</v>
      </c>
      <c r="BD202" s="7">
        <f t="shared" si="3"/>
        <v>32602028.636385985</v>
      </c>
      <c r="BE202" s="7">
        <f t="shared" si="3"/>
        <v>33765304.688399747</v>
      </c>
      <c r="BF202" s="7">
        <f t="shared" si="3"/>
        <v>34960895.261032671</v>
      </c>
      <c r="BG202" s="7">
        <f t="shared" si="3"/>
        <v>36189334.351020239</v>
      </c>
      <c r="BH202" s="7">
        <f t="shared" si="3"/>
        <v>37451152.531012475</v>
      </c>
      <c r="BI202" s="7">
        <f t="shared" si="3"/>
        <v>38746876.533193044</v>
      </c>
      <c r="BJ202" s="7">
        <f t="shared" si="3"/>
        <v>40077028.832252726</v>
      </c>
      <c r="BK202" s="7">
        <f t="shared" si="3"/>
        <v>41442127.228261769</v>
      </c>
      <c r="BL202" s="7">
        <f t="shared" si="3"/>
        <v>42842684.429986902</v>
      </c>
      <c r="BM202" s="7">
        <f t="shared" si="3"/>
        <v>44279207.639198676</v>
      </c>
      <c r="BN202" s="7">
        <f t="shared" si="3"/>
        <v>45752198.136513866</v>
      </c>
      <c r="BO202" s="7">
        <f t="shared" si="3"/>
        <v>47262150.869315177</v>
      </c>
      <c r="BP202" s="7">
        <f t="shared" si="3"/>
        <v>48809554.042287193</v>
      </c>
      <c r="BQ202" s="7">
        <f t="shared" si="3"/>
        <v>50394888.711103342</v>
      </c>
      <c r="BR202" s="7">
        <f t="shared" si="3"/>
        <v>52018628.379792243</v>
      </c>
      <c r="BS202" s="7">
        <f t="shared" si="3"/>
        <v>53681238.602306448</v>
      </c>
      <c r="BT202" s="7">
        <f t="shared" si="3"/>
        <v>55383176.58880765</v>
      </c>
      <c r="BU202" s="7">
        <f t="shared" si="3"/>
        <v>57124890.817174681</v>
      </c>
    </row>
    <row r="203" spans="1:125" x14ac:dyDescent="0.25">
      <c r="A203" t="str">
        <f>'storage capacity'!Q6</f>
        <v>Other Asia pacific</v>
      </c>
      <c r="C203" s="7">
        <f t="shared" si="4"/>
        <v>3905987.2666666559</v>
      </c>
      <c r="D203" s="7">
        <f t="shared" si="4"/>
        <v>4124319.4051998663</v>
      </c>
      <c r="E203" s="7">
        <f t="shared" si="4"/>
        <v>4353852.8611748163</v>
      </c>
      <c r="F203" s="7">
        <f t="shared" si="4"/>
        <v>4595086.0628768224</v>
      </c>
      <c r="G203" s="7">
        <f t="shared" si="4"/>
        <v>4848534.239267814</v>
      </c>
      <c r="H203" s="7">
        <f t="shared" si="4"/>
        <v>5114729.6588292513</v>
      </c>
      <c r="I203" s="7">
        <f t="shared" si="4"/>
        <v>5394221.8539106697</v>
      </c>
      <c r="J203" s="7">
        <f t="shared" si="3"/>
        <v>5687577.8296645461</v>
      </c>
      <c r="K203" s="7">
        <f t="shared" si="3"/>
        <v>5995382.2566584367</v>
      </c>
      <c r="L203" s="7">
        <f t="shared" si="3"/>
        <v>6318237.6462684199</v>
      </c>
      <c r="M203" s="7">
        <f t="shared" si="3"/>
        <v>6656764.5079738013</v>
      </c>
      <c r="N203" s="7">
        <f t="shared" si="3"/>
        <v>7011601.4876918923</v>
      </c>
      <c r="O203" s="7">
        <f t="shared" si="3"/>
        <v>7383405.4863133328</v>
      </c>
      <c r="P203" s="7">
        <f t="shared" si="3"/>
        <v>7772851.7576229479</v>
      </c>
      <c r="Q203" s="7">
        <f t="shared" si="3"/>
        <v>8180633.984818385</v>
      </c>
      <c r="R203" s="7">
        <f t="shared" ref="R203:BU203" si="5">SUMIF($B$2:$B$196,$A203,R$2:R$196)</f>
        <v>8607464.3348687645</v>
      </c>
      <c r="S203" s="7">
        <f t="shared" si="5"/>
        <v>9054073.4899882488</v>
      </c>
      <c r="T203" s="7">
        <f t="shared" si="5"/>
        <v>9521210.6555347014</v>
      </c>
      <c r="U203" s="7">
        <f t="shared" si="5"/>
        <v>10009643.543681273</v>
      </c>
      <c r="V203" s="7">
        <f t="shared" si="5"/>
        <v>10520158.332248988</v>
      </c>
      <c r="W203" s="7">
        <f t="shared" si="5"/>
        <v>11053559.59813077</v>
      </c>
      <c r="X203" s="7">
        <f t="shared" si="5"/>
        <v>11610670.224782003</v>
      </c>
      <c r="Y203" s="7">
        <f t="shared" si="5"/>
        <v>12192331.283299439</v>
      </c>
      <c r="Z203" s="7">
        <f t="shared" si="5"/>
        <v>12799401.88665878</v>
      </c>
      <c r="AA203" s="7">
        <f t="shared" si="5"/>
        <v>13432759.016731791</v>
      </c>
      <c r="AB203" s="7">
        <f t="shared" si="5"/>
        <v>14093297.323755747</v>
      </c>
      <c r="AC203" s="7">
        <f t="shared" si="5"/>
        <v>14781928.897981601</v>
      </c>
      <c r="AD203" s="7">
        <f t="shared" si="5"/>
        <v>15499583.013282126</v>
      </c>
      <c r="AE203" s="7">
        <f t="shared" si="5"/>
        <v>16247205.842557307</v>
      </c>
      <c r="AF203" s="7">
        <f t="shared" si="5"/>
        <v>17025760.144831348</v>
      </c>
      <c r="AG203" s="7">
        <f t="shared" si="5"/>
        <v>17836224.923993453</v>
      </c>
      <c r="AH203" s="7">
        <f t="shared" si="5"/>
        <v>18679595.059193168</v>
      </c>
      <c r="AI203" s="7">
        <f t="shared" si="5"/>
        <v>19556880.906960055</v>
      </c>
      <c r="AJ203" s="7">
        <f t="shared" si="5"/>
        <v>20469107.875176743</v>
      </c>
      <c r="AK203" s="7">
        <f t="shared" si="5"/>
        <v>21417315.969093926</v>
      </c>
      <c r="AL203" s="7">
        <f t="shared" si="5"/>
        <v>22402559.309635274</v>
      </c>
      <c r="AM203" s="7">
        <f t="shared" si="5"/>
        <v>23425905.624299318</v>
      </c>
      <c r="AN203" s="7">
        <f t="shared" si="5"/>
        <v>24488435.711024262</v>
      </c>
      <c r="AO203" s="7">
        <f t="shared" si="5"/>
        <v>25591242.875439811</v>
      </c>
      <c r="AP203" s="7">
        <f t="shared" si="5"/>
        <v>26735432.341987513</v>
      </c>
      <c r="AQ203" s="7">
        <f t="shared" si="5"/>
        <v>27922120.639447808</v>
      </c>
      <c r="AR203" s="7">
        <f t="shared" si="5"/>
        <v>29152434.961467236</v>
      </c>
      <c r="AS203" s="7">
        <f t="shared" si="5"/>
        <v>30427512.50273373</v>
      </c>
      <c r="AT203" s="7">
        <f t="shared" si="5"/>
        <v>31748499.771500509</v>
      </c>
      <c r="AU203" s="7">
        <f t="shared" si="5"/>
        <v>33116551.879210684</v>
      </c>
      <c r="AV203" s="7">
        <f t="shared" si="5"/>
        <v>34532831.808024056</v>
      </c>
      <c r="AW203" s="7">
        <f t="shared" si="5"/>
        <v>35998509.657095671</v>
      </c>
      <c r="AX203" s="7">
        <f t="shared" si="5"/>
        <v>37514761.868501402</v>
      </c>
      <c r="AY203" s="7">
        <f t="shared" si="5"/>
        <v>39082770.43374981</v>
      </c>
      <c r="AZ203" s="7">
        <f t="shared" si="5"/>
        <v>40703722.081861146</v>
      </c>
      <c r="BA203" s="7">
        <f t="shared" si="5"/>
        <v>42378807.450033851</v>
      </c>
      <c r="BB203" s="7">
        <f t="shared" si="5"/>
        <v>44109220.237955682</v>
      </c>
      <c r="BC203" s="7">
        <f t="shared" si="5"/>
        <v>45896156.346851826</v>
      </c>
      <c r="BD203" s="7">
        <f t="shared" si="5"/>
        <v>47740813.00439354</v>
      </c>
      <c r="BE203" s="7">
        <f t="shared" si="5"/>
        <v>49644387.87662112</v>
      </c>
      <c r="BF203" s="7">
        <f t="shared" si="5"/>
        <v>51608078.168061383</v>
      </c>
      <c r="BG203" s="7">
        <f t="shared" si="5"/>
        <v>53633079.711244076</v>
      </c>
      <c r="BH203" s="7">
        <f t="shared" si="5"/>
        <v>55720586.046842933</v>
      </c>
      <c r="BI203" s="7">
        <f t="shared" si="5"/>
        <v>57871787.495685793</v>
      </c>
      <c r="BJ203" s="7">
        <f t="shared" si="5"/>
        <v>60087870.223893814</v>
      </c>
      <c r="BK203" s="7">
        <f t="shared" si="5"/>
        <v>62370015.302422732</v>
      </c>
      <c r="BL203" s="7">
        <f t="shared" si="5"/>
        <v>64719397.762289539</v>
      </c>
      <c r="BM203" s="7">
        <f t="shared" si="5"/>
        <v>67137185.646774888</v>
      </c>
      <c r="BN203" s="7">
        <f t="shared" si="5"/>
        <v>69624539.061895996</v>
      </c>
      <c r="BO203" s="7">
        <f t="shared" si="5"/>
        <v>72182609.22644712</v>
      </c>
      <c r="BP203" s="7">
        <f t="shared" si="5"/>
        <v>74812537.522902668</v>
      </c>
      <c r="BQ203" s="7">
        <f t="shared" si="5"/>
        <v>77515454.550474867</v>
      </c>
      <c r="BR203" s="7">
        <f t="shared" si="5"/>
        <v>80292479.181611359</v>
      </c>
      <c r="BS203" s="7">
        <f t="shared" si="5"/>
        <v>83144717.623208493</v>
      </c>
      <c r="BT203" s="7">
        <f t="shared" si="5"/>
        <v>86073262.483805075</v>
      </c>
      <c r="BU203" s="7">
        <f t="shared" si="5"/>
        <v>89079191.848006383</v>
      </c>
    </row>
    <row r="204" spans="1:125" x14ac:dyDescent="0.25">
      <c r="A204" t="str">
        <f>'storage capacity'!Q7</f>
        <v>Argentina</v>
      </c>
      <c r="C204" s="7">
        <f>VLOOKUP($A204,$A$2:$BU$196,C$198,FALSE)</f>
        <v>741024.39999999851</v>
      </c>
      <c r="D204" s="7">
        <f t="shared" ref="D204:BO205" si="6">VLOOKUP($A204,$A$2:$BU$196,D$198,FALSE)</f>
        <v>769131.40033631469</v>
      </c>
      <c r="E204" s="7">
        <f t="shared" si="6"/>
        <v>798012.76613566605</v>
      </c>
      <c r="F204" s="7">
        <f t="shared" si="6"/>
        <v>827678.98651780898</v>
      </c>
      <c r="G204" s="7">
        <f t="shared" si="6"/>
        <v>858140.36154721095</v>
      </c>
      <c r="H204" s="7">
        <f t="shared" si="6"/>
        <v>889406.99323496595</v>
      </c>
      <c r="I204" s="7">
        <f t="shared" si="6"/>
        <v>921488.77670867892</v>
      </c>
      <c r="J204" s="7">
        <f t="shared" si="6"/>
        <v>954395.3915614523</v>
      </c>
      <c r="K204" s="7">
        <f t="shared" si="6"/>
        <v>988136.2933907212</v>
      </c>
      <c r="L204" s="7">
        <f t="shared" si="6"/>
        <v>1022720.7055372843</v>
      </c>
      <c r="M204" s="7">
        <f t="shared" si="6"/>
        <v>1058157.6110344573</v>
      </c>
      <c r="N204" s="7">
        <f t="shared" si="6"/>
        <v>1094455.7447768527</v>
      </c>
      <c r="O204" s="7">
        <f t="shared" si="6"/>
        <v>1131623.5859178372</v>
      </c>
      <c r="P204" s="7">
        <f t="shared" si="6"/>
        <v>1169669.3505042777</v>
      </c>
      <c r="Q204" s="7">
        <f t="shared" si="6"/>
        <v>1208600.9843567086</v>
      </c>
      <c r="R204" s="7">
        <f t="shared" si="6"/>
        <v>1248426.1562025924</v>
      </c>
      <c r="S204" s="7">
        <f t="shared" si="6"/>
        <v>1289152.2510698631</v>
      </c>
      <c r="T204" s="7">
        <f t="shared" si="6"/>
        <v>1330786.3639474513</v>
      </c>
      <c r="U204" s="7">
        <f t="shared" si="6"/>
        <v>1373335.2937190097</v>
      </c>
      <c r="V204" s="7">
        <f t="shared" si="6"/>
        <v>1416805.5373755523</v>
      </c>
      <c r="W204" s="7">
        <f t="shared" si="6"/>
        <v>1461203.2845122344</v>
      </c>
      <c r="X204" s="7">
        <f t="shared" si="6"/>
        <v>1506534.4121139955</v>
      </c>
      <c r="Y204" s="7">
        <f t="shared" si="6"/>
        <v>1552804.4796342948</v>
      </c>
      <c r="Z204" s="7">
        <f t="shared" si="6"/>
        <v>1600018.724370667</v>
      </c>
      <c r="AA204" s="7">
        <f t="shared" si="6"/>
        <v>1648182.057140338</v>
      </c>
      <c r="AB204" s="7">
        <f t="shared" si="6"/>
        <v>1697299.0582586415</v>
      </c>
      <c r="AC204" s="7">
        <f t="shared" si="6"/>
        <v>1747373.973822494</v>
      </c>
      <c r="AD204" s="7">
        <f t="shared" si="6"/>
        <v>1798410.7123007039</v>
      </c>
      <c r="AE204" s="7">
        <f t="shared" si="6"/>
        <v>1850412.841432411</v>
      </c>
      <c r="AF204" s="7">
        <f t="shared" si="6"/>
        <v>1903383.5854344838</v>
      </c>
      <c r="AG204" s="7">
        <f t="shared" si="6"/>
        <v>1957325.8225182428</v>
      </c>
      <c r="AH204" s="7">
        <f t="shared" si="6"/>
        <v>2012242.082715421</v>
      </c>
      <c r="AI204" s="7">
        <f t="shared" si="6"/>
        <v>2068134.5460128295</v>
      </c>
      <c r="AJ204" s="7">
        <f t="shared" si="6"/>
        <v>2125005.0407947628</v>
      </c>
      <c r="AK204" s="7">
        <f t="shared" si="6"/>
        <v>2182855.042591753</v>
      </c>
      <c r="AL204" s="7">
        <f t="shared" si="6"/>
        <v>2241685.673133872</v>
      </c>
      <c r="AM204" s="7">
        <f t="shared" si="6"/>
        <v>2301497.6997063761</v>
      </c>
      <c r="AN204" s="7">
        <f t="shared" si="6"/>
        <v>2362291.5348051037</v>
      </c>
      <c r="AO204" s="7">
        <f t="shared" si="6"/>
        <v>2424067.236088655</v>
      </c>
      <c r="AP204" s="7">
        <f t="shared" si="6"/>
        <v>2486824.5066240244</v>
      </c>
      <c r="AQ204" s="7">
        <f t="shared" si="6"/>
        <v>2550562.69542201</v>
      </c>
      <c r="AR204" s="7">
        <f t="shared" si="6"/>
        <v>2615280.7982583754</v>
      </c>
      <c r="AS204" s="7">
        <f t="shared" si="6"/>
        <v>2680977.4587764405</v>
      </c>
      <c r="AT204" s="7">
        <f t="shared" si="6"/>
        <v>2747650.9698664476</v>
      </c>
      <c r="AU204" s="7">
        <f t="shared" si="6"/>
        <v>2815299.2753167748</v>
      </c>
      <c r="AV204" s="7">
        <f t="shared" si="6"/>
        <v>2883919.9717317824</v>
      </c>
      <c r="AW204" s="7">
        <f t="shared" si="6"/>
        <v>2953510.3107108194</v>
      </c>
      <c r="AX204" s="7">
        <f t="shared" si="6"/>
        <v>3024067.2012826661</v>
      </c>
      <c r="AY204" s="7">
        <f t="shared" si="6"/>
        <v>3095587.2125894637</v>
      </c>
      <c r="AZ204" s="7">
        <f t="shared" si="6"/>
        <v>3168066.5768139604</v>
      </c>
      <c r="BA204" s="7">
        <f t="shared" si="6"/>
        <v>3241501.1923436951</v>
      </c>
      <c r="BB204" s="7">
        <f t="shared" si="6"/>
        <v>3315886.6271655671</v>
      </c>
      <c r="BC204" s="7">
        <f t="shared" si="6"/>
        <v>3391218.1224840591</v>
      </c>
      <c r="BD204" s="7">
        <f t="shared" si="6"/>
        <v>3467490.5965562207</v>
      </c>
      <c r="BE204" s="7">
        <f t="shared" si="6"/>
        <v>3544698.6487363903</v>
      </c>
      <c r="BF204" s="7">
        <f t="shared" si="6"/>
        <v>3622836.5637234878</v>
      </c>
      <c r="BG204" s="7">
        <f t="shared" si="6"/>
        <v>3701898.3160036127</v>
      </c>
      <c r="BH204" s="7">
        <f t="shared" si="6"/>
        <v>3781877.5744805746</v>
      </c>
      <c r="BI204" s="7">
        <f t="shared" si="6"/>
        <v>3862767.7072868962</v>
      </c>
      <c r="BJ204" s="7">
        <f t="shared" si="6"/>
        <v>3944561.7867677668</v>
      </c>
      <c r="BK204" s="7">
        <f t="shared" si="6"/>
        <v>4027252.594630348</v>
      </c>
      <c r="BL204" s="7">
        <f t="shared" si="6"/>
        <v>4110832.6272508139</v>
      </c>
      <c r="BM204" s="7">
        <f t="shared" si="6"/>
        <v>4195294.1011314439</v>
      </c>
      <c r="BN204" s="7">
        <f t="shared" si="6"/>
        <v>4280628.958500091</v>
      </c>
      <c r="BO204" s="7">
        <f t="shared" si="6"/>
        <v>4366828.8730443334</v>
      </c>
      <c r="BP204" s="7">
        <f t="shared" ref="BP204:CE219" si="7">VLOOKUP($A204,$A$2:$BU$196,BP$198,FALSE)</f>
        <v>4453885.2557726009</v>
      </c>
      <c r="BQ204" s="7">
        <f t="shared" si="7"/>
        <v>4541789.2609946271</v>
      </c>
      <c r="BR204" s="7">
        <f t="shared" si="7"/>
        <v>4630531.7924135458</v>
      </c>
      <c r="BS204" s="7">
        <f t="shared" si="7"/>
        <v>4720103.5093220323</v>
      </c>
      <c r="BT204" s="7">
        <f>VLOOKUP($A204,$A$2:$BU$196,BT$198,FALSE)</f>
        <v>4810494.8328949185</v>
      </c>
      <c r="BU204" s="7">
        <f t="shared" ref="BU204:DU209" si="8">VLOOKUP($A204,$A$2:$BU$196,BU$198,FALSE)</f>
        <v>4901695.9525707606</v>
      </c>
      <c r="BV204" s="7"/>
      <c r="BW204" s="7"/>
      <c r="BX204" s="7"/>
      <c r="BY204" s="7"/>
      <c r="BZ204" s="7"/>
      <c r="CA204" s="7"/>
      <c r="CB204" s="7"/>
      <c r="CC204" s="7"/>
      <c r="CD204" s="7"/>
      <c r="CE204" s="7"/>
      <c r="CF204" s="7"/>
      <c r="CG204" s="7"/>
      <c r="CH204" s="7"/>
      <c r="CI204" s="7"/>
      <c r="CJ204" s="7"/>
      <c r="CK204" s="7"/>
      <c r="CL204" s="7"/>
      <c r="CM204" s="7"/>
      <c r="CN204" s="7"/>
      <c r="CO204" s="7"/>
      <c r="CP204" s="7"/>
      <c r="CQ204" s="7"/>
      <c r="CR204" s="7"/>
      <c r="CS204" s="7"/>
      <c r="CT204" s="7"/>
      <c r="CU204" s="7"/>
      <c r="CV204" s="7"/>
      <c r="CW204" s="7"/>
      <c r="CX204" s="7"/>
      <c r="CY204" s="7"/>
      <c r="CZ204" s="7"/>
      <c r="DA204" s="7"/>
      <c r="DB204" s="7"/>
      <c r="DC204" s="7"/>
      <c r="DD204" s="7"/>
      <c r="DE204" s="7"/>
      <c r="DF204" s="7"/>
      <c r="DG204" s="7"/>
      <c r="DH204" s="7"/>
      <c r="DI204" s="7"/>
      <c r="DJ204" s="7"/>
      <c r="DK204" s="7"/>
      <c r="DL204" s="7"/>
      <c r="DM204" s="7"/>
      <c r="DN204" s="7"/>
      <c r="DO204" s="7"/>
      <c r="DP204" s="7"/>
      <c r="DQ204" s="7"/>
      <c r="DR204" s="7"/>
      <c r="DS204" s="7"/>
      <c r="DT204" s="7"/>
      <c r="DU204" s="7"/>
    </row>
    <row r="205" spans="1:125" x14ac:dyDescent="0.25">
      <c r="A205" t="str">
        <f>'storage capacity'!Q8</f>
        <v>Australia</v>
      </c>
      <c r="C205" s="7">
        <f t="shared" ref="C205:R238" si="9">VLOOKUP($A205,$A$2:$BU$196,C$198,FALSE)</f>
        <v>2295761.2000000179</v>
      </c>
      <c r="D205" s="7">
        <f t="shared" si="9"/>
        <v>2395576.6699286238</v>
      </c>
      <c r="E205" s="7">
        <f t="shared" si="9"/>
        <v>2498690.3800777192</v>
      </c>
      <c r="F205" s="7">
        <f t="shared" si="9"/>
        <v>2605166.9318197388</v>
      </c>
      <c r="G205" s="7">
        <f t="shared" si="9"/>
        <v>2715070.624524489</v>
      </c>
      <c r="H205" s="7">
        <f t="shared" si="9"/>
        <v>2828465.4020741913</v>
      </c>
      <c r="I205" s="7">
        <f t="shared" si="9"/>
        <v>2945414.7993224086</v>
      </c>
      <c r="J205" s="7">
        <f t="shared" si="9"/>
        <v>3065981.888572427</v>
      </c>
      <c r="K205" s="7">
        <f t="shared" si="9"/>
        <v>3190229.2261503651</v>
      </c>
      <c r="L205" s="7">
        <f t="shared" si="9"/>
        <v>3318218.799147842</v>
      </c>
      <c r="M205" s="7">
        <f t="shared" si="9"/>
        <v>3450011.9724084162</v>
      </c>
      <c r="N205" s="7">
        <f t="shared" si="9"/>
        <v>3585669.4358312539</v>
      </c>
      <c r="O205" s="7">
        <f t="shared" si="9"/>
        <v>3725251.15206458</v>
      </c>
      <c r="P205" s="7">
        <f t="shared" si="9"/>
        <v>3868816.3046604036</v>
      </c>
      <c r="Q205" s="7">
        <f t="shared" si="9"/>
        <v>4016423.2467608303</v>
      </c>
      <c r="R205" s="7">
        <f t="shared" si="9"/>
        <v>4168129.4503849382</v>
      </c>
      <c r="S205" s="7">
        <f t="shared" si="6"/>
        <v>4323991.4563837536</v>
      </c>
      <c r="T205" s="7">
        <f t="shared" si="6"/>
        <v>4484064.8251292845</v>
      </c>
      <c r="U205" s="7">
        <f t="shared" si="6"/>
        <v>4648404.0880018706</v>
      </c>
      <c r="V205" s="7">
        <f t="shared" si="6"/>
        <v>4817062.6997383274</v>
      </c>
      <c r="W205" s="7">
        <f t="shared" si="6"/>
        <v>4990092.9917014381</v>
      </c>
      <c r="X205" s="7">
        <f t="shared" si="6"/>
        <v>5167546.1261293618</v>
      </c>
      <c r="Y205" s="7">
        <f t="shared" si="6"/>
        <v>5349472.0514214206</v>
      </c>
      <c r="Z205" s="7">
        <f t="shared" si="6"/>
        <v>5535919.4585145684</v>
      </c>
      <c r="AA205" s="7">
        <f t="shared" si="6"/>
        <v>5726935.7384025743</v>
      </c>
      <c r="AB205" s="7">
        <f t="shared" si="6"/>
        <v>5922566.9408476427</v>
      </c>
      <c r="AC205" s="7">
        <f t="shared" si="6"/>
        <v>6122857.7343318025</v>
      </c>
      <c r="AD205" s="7">
        <f t="shared" si="6"/>
        <v>6327851.3672929481</v>
      </c>
      <c r="AE205" s="7">
        <f t="shared" si="6"/>
        <v>6537589.6306879399</v>
      </c>
      <c r="AF205" s="7">
        <f t="shared" si="6"/>
        <v>6752112.8219226003</v>
      </c>
      <c r="AG205" s="7">
        <f t="shared" si="6"/>
        <v>6971459.7101859218</v>
      </c>
      <c r="AH205" s="7">
        <f t="shared" si="6"/>
        <v>7195667.5032231398</v>
      </c>
      <c r="AI205" s="7">
        <f t="shared" si="6"/>
        <v>7424771.815579758</v>
      </c>
      <c r="AJ205" s="7">
        <f t="shared" si="6"/>
        <v>7658806.6383459214</v>
      </c>
      <c r="AK205" s="7">
        <f t="shared" si="6"/>
        <v>7897804.3104279144</v>
      </c>
      <c r="AL205" s="7">
        <f t="shared" si="6"/>
        <v>8141795.4913708847</v>
      </c>
      <c r="AM205" s="7">
        <f t="shared" si="6"/>
        <v>8390809.1357542593</v>
      </c>
      <c r="AN205" s="7">
        <f t="shared" si="6"/>
        <v>8644872.4691786394</v>
      </c>
      <c r="AO205" s="7">
        <f t="shared" si="6"/>
        <v>8904010.9658603724</v>
      </c>
      <c r="AP205" s="7">
        <f t="shared" si="6"/>
        <v>9168248.3278473262</v>
      </c>
      <c r="AQ205" s="7">
        <f t="shared" si="6"/>
        <v>9437606.4658668712</v>
      </c>
      <c r="AR205" s="7">
        <f t="shared" si="6"/>
        <v>9712105.4818144422</v>
      </c>
      <c r="AS205" s="7">
        <f t="shared" si="6"/>
        <v>9991763.6528885718</v>
      </c>
      <c r="AT205" s="7">
        <f t="shared" si="6"/>
        <v>10276597.417375781</v>
      </c>
      <c r="AU205" s="7">
        <f t="shared" si="6"/>
        <v>10566621.362086261</v>
      </c>
      <c r="AV205" s="7">
        <f t="shared" si="6"/>
        <v>10861848.211438904</v>
      </c>
      <c r="AW205" s="7">
        <f t="shared" si="6"/>
        <v>11162288.818191832</v>
      </c>
      <c r="AX205" s="7">
        <f t="shared" si="6"/>
        <v>11467952.155812372</v>
      </c>
      <c r="AY205" s="7">
        <f t="shared" si="6"/>
        <v>11778845.312478086</v>
      </c>
      <c r="AZ205" s="7">
        <f t="shared" si="6"/>
        <v>12094973.486698387</v>
      </c>
      <c r="BA205" s="7">
        <f t="shared" si="6"/>
        <v>12416339.984544059</v>
      </c>
      <c r="BB205" s="7">
        <f t="shared" si="6"/>
        <v>12742946.218470041</v>
      </c>
      <c r="BC205" s="7">
        <f t="shared" si="6"/>
        <v>13074791.707714815</v>
      </c>
      <c r="BD205" s="7">
        <f t="shared" si="6"/>
        <v>13411874.080257831</v>
      </c>
      <c r="BE205" s="7">
        <f t="shared" si="6"/>
        <v>13754189.076314585</v>
      </c>
      <c r="BF205" s="7">
        <f t="shared" si="6"/>
        <v>14101730.553347202</v>
      </c>
      <c r="BG205" s="7">
        <f t="shared" si="6"/>
        <v>14454490.492566684</v>
      </c>
      <c r="BH205" s="7">
        <f t="shared" si="6"/>
        <v>14812459.006901411</v>
      </c>
      <c r="BI205" s="7">
        <f t="shared" si="6"/>
        <v>15175624.350404913</v>
      </c>
      <c r="BJ205" s="7">
        <f t="shared" si="6"/>
        <v>15543972.929074522</v>
      </c>
      <c r="BK205" s="7">
        <f t="shared" si="6"/>
        <v>15917489.313051119</v>
      </c>
      <c r="BL205" s="7">
        <f t="shared" si="6"/>
        <v>16296156.250168942</v>
      </c>
      <c r="BM205" s="7">
        <f t="shared" si="6"/>
        <v>16679954.680823172</v>
      </c>
      <c r="BN205" s="7">
        <f t="shared" si="6"/>
        <v>17068863.754121918</v>
      </c>
      <c r="BO205" s="7">
        <f t="shared" si="6"/>
        <v>17462860.845288176</v>
      </c>
      <c r="BP205" s="7">
        <f t="shared" si="7"/>
        <v>17861921.574276358</v>
      </c>
      <c r="BQ205" s="7">
        <f t="shared" si="7"/>
        <v>18266019.825567119</v>
      </c>
      <c r="BR205" s="7">
        <f t="shared" si="7"/>
        <v>18675127.769103397</v>
      </c>
      <c r="BS205" s="7">
        <f t="shared" si="7"/>
        <v>19089215.882329855</v>
      </c>
      <c r="BT205" s="7">
        <f t="shared" si="7"/>
        <v>19508252.973297257</v>
      </c>
      <c r="BU205" s="7">
        <f t="shared" si="7"/>
        <v>19932206.204792749</v>
      </c>
      <c r="BV205" s="7"/>
      <c r="BW205" s="7"/>
      <c r="BX205" s="7"/>
      <c r="BY205" s="7"/>
      <c r="BZ205" s="7"/>
      <c r="CA205" s="7"/>
      <c r="CB205" s="7"/>
      <c r="CC205" s="7"/>
      <c r="CD205" s="7"/>
      <c r="CE205" s="7"/>
      <c r="CF205" s="7"/>
      <c r="CG205" s="7"/>
      <c r="CH205" s="7"/>
      <c r="CI205" s="7"/>
      <c r="CJ205" s="7"/>
      <c r="CK205" s="7"/>
      <c r="CL205" s="7"/>
      <c r="CM205" s="7"/>
      <c r="CN205" s="7"/>
      <c r="CO205" s="7"/>
      <c r="CP205" s="7"/>
      <c r="CQ205" s="7"/>
      <c r="CR205" s="7"/>
      <c r="CS205" s="7"/>
      <c r="CT205" s="7"/>
      <c r="CU205" s="7"/>
      <c r="CV205" s="7"/>
      <c r="CW205" s="7"/>
      <c r="CX205" s="7"/>
      <c r="CY205" s="7"/>
      <c r="CZ205" s="7"/>
      <c r="DA205" s="7"/>
      <c r="DB205" s="7"/>
      <c r="DC205" s="7"/>
      <c r="DD205" s="7"/>
      <c r="DE205" s="7"/>
      <c r="DF205" s="7"/>
      <c r="DG205" s="7"/>
      <c r="DH205" s="7"/>
      <c r="DI205" s="7"/>
      <c r="DJ205" s="7"/>
      <c r="DK205" s="7"/>
      <c r="DL205" s="7"/>
      <c r="DM205" s="7"/>
      <c r="DN205" s="7"/>
      <c r="DO205" s="7"/>
      <c r="DP205" s="7"/>
      <c r="DQ205" s="7"/>
      <c r="DR205" s="7"/>
      <c r="DS205" s="7"/>
      <c r="DT205" s="7"/>
      <c r="DU205" s="7"/>
    </row>
    <row r="206" spans="1:125" x14ac:dyDescent="0.25">
      <c r="A206" t="str">
        <f>'storage capacity'!Q9</f>
        <v>Belgium</v>
      </c>
      <c r="C206" s="7">
        <f t="shared" si="9"/>
        <v>810436.93333332986</v>
      </c>
      <c r="D206" s="7">
        <f t="shared" ref="D206:BO209" si="10">VLOOKUP($A206,$A$2:$BU$196,D$198,FALSE)</f>
        <v>845881.38570729713</v>
      </c>
      <c r="E206" s="7">
        <f t="shared" si="10"/>
        <v>882506.05475186848</v>
      </c>
      <c r="F206" s="7">
        <f t="shared" si="10"/>
        <v>920334.3812807831</v>
      </c>
      <c r="G206" s="7">
        <f t="shared" si="10"/>
        <v>959389.70810871979</v>
      </c>
      <c r="H206" s="7">
        <f t="shared" si="10"/>
        <v>999695.26071435725</v>
      </c>
      <c r="I206" s="7">
        <f t="shared" si="10"/>
        <v>1041274.1278670632</v>
      </c>
      <c r="J206" s="7">
        <f t="shared" si="10"/>
        <v>1084149.2422446033</v>
      </c>
      <c r="K206" s="7">
        <f t="shared" si="10"/>
        <v>1128343.3610691903</v>
      </c>
      <c r="L206" s="7">
        <f t="shared" si="10"/>
        <v>1173879.0467890603</v>
      </c>
      <c r="M206" s="7">
        <f t="shared" si="10"/>
        <v>1220778.6478325808</v>
      </c>
      <c r="N206" s="7">
        <f t="shared" si="10"/>
        <v>1269064.2794616492</v>
      </c>
      <c r="O206" s="7">
        <f t="shared" si="10"/>
        <v>1318757.8047508441</v>
      </c>
      <c r="P206" s="7">
        <f t="shared" si="10"/>
        <v>1369880.8157184399</v>
      </c>
      <c r="Q206" s="7">
        <f t="shared" si="10"/>
        <v>1422454.614634996</v>
      </c>
      <c r="R206" s="7">
        <f t="shared" si="10"/>
        <v>1476500.1955347781</v>
      </c>
      <c r="S206" s="7">
        <f t="shared" si="10"/>
        <v>1532038.2259547694</v>
      </c>
      <c r="T206" s="7">
        <f t="shared" si="10"/>
        <v>1589089.0289254927</v>
      </c>
      <c r="U206" s="7">
        <f t="shared" si="10"/>
        <v>1647672.5652372651</v>
      </c>
      <c r="V206" s="7">
        <f t="shared" si="10"/>
        <v>1707808.4160048903</v>
      </c>
      <c r="W206" s="7">
        <f t="shared" si="10"/>
        <v>1769515.7655531166</v>
      </c>
      <c r="X206" s="7">
        <f t="shared" si="10"/>
        <v>1832813.3846444921</v>
      </c>
      <c r="Y206" s="7">
        <f t="shared" si="10"/>
        <v>1897719.6140705026</v>
      </c>
      <c r="Z206" s="7">
        <f t="shared" si="10"/>
        <v>1964252.3486261168</v>
      </c>
      <c r="AA206" s="7">
        <f t="shared" si="10"/>
        <v>2032429.0214870544</v>
      </c>
      <c r="AB206" s="7">
        <f t="shared" si="10"/>
        <v>2102266.5890082731</v>
      </c>
      <c r="AC206" s="7">
        <f t="shared" si="10"/>
        <v>2173781.5159613169</v>
      </c>
      <c r="AD206" s="7">
        <f t="shared" si="10"/>
        <v>2246989.7612272967</v>
      </c>
      <c r="AE206" s="7">
        <f t="shared" si="10"/>
        <v>2321906.763961379</v>
      </c>
      <c r="AF206" s="7">
        <f t="shared" si="10"/>
        <v>2398547.4302437562</v>
      </c>
      <c r="AG206" s="7">
        <f t="shared" si="10"/>
        <v>2476926.1202311348</v>
      </c>
      <c r="AH206" s="7">
        <f t="shared" si="10"/>
        <v>2557056.6358218617</v>
      </c>
      <c r="AI206" s="7">
        <f t="shared" si="10"/>
        <v>2638952.2088468396</v>
      </c>
      <c r="AJ206" s="7">
        <f t="shared" si="10"/>
        <v>2722625.4897974529</v>
      </c>
      <c r="AK206" s="7">
        <f t="shared" si="10"/>
        <v>2808088.5371007482</v>
      </c>
      <c r="AL206" s="7">
        <f t="shared" si="10"/>
        <v>2895352.8069511624</v>
      </c>
      <c r="AM206" s="7">
        <f t="shared" si="10"/>
        <v>2984429.143707131</v>
      </c>
      <c r="AN206" s="7">
        <f t="shared" si="10"/>
        <v>3075327.7708599395</v>
      </c>
      <c r="AO206" s="7">
        <f t="shared" si="10"/>
        <v>3168058.2825812362</v>
      </c>
      <c r="AP206" s="7">
        <f t="shared" si="10"/>
        <v>3262629.6358546657</v>
      </c>
      <c r="AQ206" s="7">
        <f t="shared" si="10"/>
        <v>3359050.1431961409</v>
      </c>
      <c r="AR206" s="7">
        <f t="shared" si="10"/>
        <v>3457327.4659663383</v>
      </c>
      <c r="AS206" s="7">
        <f t="shared" si="10"/>
        <v>3557468.6082780841</v>
      </c>
      <c r="AT206" s="7">
        <f t="shared" si="10"/>
        <v>3659479.9115003706</v>
      </c>
      <c r="AU206" s="7">
        <f t="shared" si="10"/>
        <v>3763367.0493598771</v>
      </c>
      <c r="AV206" s="7">
        <f t="shared" si="10"/>
        <v>3869135.0236399579</v>
      </c>
      <c r="AW206" s="7">
        <f t="shared" si="10"/>
        <v>3976788.1604762278</v>
      </c>
      <c r="AX206" s="7">
        <f t="shared" si="10"/>
        <v>4086330.1072470048</v>
      </c>
      <c r="AY206" s="7">
        <f t="shared" si="10"/>
        <v>4197763.8300560797</v>
      </c>
      <c r="AZ206" s="7">
        <f t="shared" si="10"/>
        <v>4311091.6118044453</v>
      </c>
      <c r="BA206" s="7">
        <f t="shared" si="10"/>
        <v>4426315.0508468756</v>
      </c>
      <c r="BB206" s="7">
        <f t="shared" si="10"/>
        <v>4543435.0602284605</v>
      </c>
      <c r="BC206" s="7">
        <f t="shared" si="10"/>
        <v>4662451.8674954893</v>
      </c>
      <c r="BD206" s="7">
        <f t="shared" si="10"/>
        <v>4783365.0150743676</v>
      </c>
      <c r="BE206" s="7">
        <f t="shared" si="10"/>
        <v>4906173.3612115681</v>
      </c>
      <c r="BF206" s="7">
        <f t="shared" si="10"/>
        <v>5030875.0814669644</v>
      </c>
      <c r="BG206" s="7">
        <f t="shared" si="10"/>
        <v>5157467.6707522869</v>
      </c>
      <c r="BH206" s="7">
        <f t="shared" si="10"/>
        <v>5285947.9459058177</v>
      </c>
      <c r="BI206" s="7">
        <f t="shared" si="10"/>
        <v>5416312.0487938877</v>
      </c>
      <c r="BJ206" s="7">
        <f t="shared" si="10"/>
        <v>5548555.4499292048</v>
      </c>
      <c r="BK206" s="7">
        <f t="shared" si="10"/>
        <v>5682672.9525955133</v>
      </c>
      <c r="BL206" s="7">
        <f t="shared" si="10"/>
        <v>5818658.697467613</v>
      </c>
      <c r="BM206" s="7">
        <f t="shared" si="10"/>
        <v>5956506.1677153166</v>
      </c>
      <c r="BN206" s="7">
        <f t="shared" si="10"/>
        <v>6096208.1945794877</v>
      </c>
      <c r="BO206" s="7">
        <f t="shared" si="10"/>
        <v>6237756.9634079132</v>
      </c>
      <c r="BP206" s="7">
        <f t="shared" si="7"/>
        <v>6381144.0201384146</v>
      </c>
      <c r="BQ206" s="7">
        <f t="shared" si="7"/>
        <v>6526360.2782162214</v>
      </c>
      <c r="BR206" s="7">
        <f t="shared" si="7"/>
        <v>6673396.0259323716</v>
      </c>
      <c r="BS206" s="7">
        <f t="shared" si="7"/>
        <v>6822240.9341695961</v>
      </c>
      <c r="BT206" s="7">
        <f t="shared" si="7"/>
        <v>6972884.0645418968</v>
      </c>
      <c r="BU206" s="7">
        <f t="shared" si="7"/>
        <v>7125313.8779138047</v>
      </c>
      <c r="BV206" s="7"/>
      <c r="BW206" s="7"/>
      <c r="BX206" s="7"/>
      <c r="BY206" s="7"/>
      <c r="BZ206" s="7"/>
      <c r="CA206" s="7"/>
      <c r="CB206" s="7"/>
      <c r="CC206" s="7"/>
      <c r="CD206" s="7"/>
      <c r="CE206" s="7"/>
      <c r="CF206" s="7"/>
      <c r="CG206" s="7"/>
      <c r="CH206" s="7"/>
      <c r="CI206" s="7"/>
      <c r="CJ206" s="7"/>
      <c r="CK206" s="7"/>
      <c r="CL206" s="7"/>
      <c r="CM206" s="7"/>
      <c r="CN206" s="7"/>
      <c r="CO206" s="7"/>
      <c r="CP206" s="7"/>
      <c r="CQ206" s="7"/>
      <c r="CR206" s="7"/>
      <c r="CS206" s="7"/>
      <c r="CT206" s="7"/>
      <c r="CU206" s="7"/>
      <c r="CV206" s="7"/>
      <c r="CW206" s="7"/>
      <c r="CX206" s="7"/>
      <c r="CY206" s="7"/>
      <c r="CZ206" s="7"/>
      <c r="DA206" s="7"/>
      <c r="DB206" s="7"/>
      <c r="DC206" s="7"/>
      <c r="DD206" s="7"/>
      <c r="DE206" s="7"/>
      <c r="DF206" s="7"/>
      <c r="DG206" s="7"/>
      <c r="DH206" s="7"/>
      <c r="DI206" s="7"/>
      <c r="DJ206" s="7"/>
      <c r="DK206" s="7"/>
      <c r="DL206" s="7"/>
      <c r="DM206" s="7"/>
      <c r="DN206" s="7"/>
      <c r="DO206" s="7"/>
      <c r="DP206" s="7"/>
      <c r="DQ206" s="7"/>
      <c r="DR206" s="7"/>
      <c r="DS206" s="7"/>
      <c r="DT206" s="7"/>
      <c r="DU206" s="7"/>
    </row>
    <row r="207" spans="1:125" x14ac:dyDescent="0.25">
      <c r="A207" t="str">
        <f>'storage capacity'!Q10</f>
        <v>Brazil</v>
      </c>
      <c r="C207" s="7">
        <f t="shared" si="9"/>
        <v>3025341.8666666746</v>
      </c>
      <c r="D207" s="7">
        <f t="shared" si="10"/>
        <v>3226971.0825463682</v>
      </c>
      <c r="E207" s="7">
        <f t="shared" si="10"/>
        <v>3439887.5597376181</v>
      </c>
      <c r="F207" s="7">
        <f t="shared" si="10"/>
        <v>3664582.6794625982</v>
      </c>
      <c r="G207" s="7">
        <f t="shared" si="10"/>
        <v>3901561.2699857946</v>
      </c>
      <c r="H207" s="7">
        <f t="shared" si="10"/>
        <v>4151341.5876260414</v>
      </c>
      <c r="I207" s="7">
        <f t="shared" si="10"/>
        <v>4414455.2785691116</v>
      </c>
      <c r="J207" s="7">
        <f t="shared" si="10"/>
        <v>4691447.3211069861</v>
      </c>
      <c r="K207" s="7">
        <f t="shared" si="10"/>
        <v>4982875.9479680434</v>
      </c>
      <c r="L207" s="7">
        <f t="shared" si="10"/>
        <v>5289312.5484418487</v>
      </c>
      <c r="M207" s="7">
        <f t="shared" si="10"/>
        <v>5611341.5500429077</v>
      </c>
      <c r="N207" s="7">
        <f t="shared" si="10"/>
        <v>5949560.2794995029</v>
      </c>
      <c r="O207" s="7">
        <f t="shared" si="10"/>
        <v>6304578.8028964503</v>
      </c>
      <c r="P207" s="7">
        <f t="shared" si="10"/>
        <v>6677019.7448441731</v>
      </c>
      <c r="Q207" s="7">
        <f t="shared" si="10"/>
        <v>7067518.0865907324</v>
      </c>
      <c r="R207" s="7">
        <f t="shared" si="10"/>
        <v>7476720.9430382522</v>
      </c>
      <c r="S207" s="7">
        <f t="shared" si="10"/>
        <v>7905287.3186703827</v>
      </c>
      <c r="T207" s="7">
        <f t="shared" si="10"/>
        <v>8353887.8424429502</v>
      </c>
      <c r="U207" s="7">
        <f t="shared" si="10"/>
        <v>8823204.4817355275</v>
      </c>
      <c r="V207" s="7">
        <f t="shared" si="10"/>
        <v>9313930.2355073076</v>
      </c>
      <c r="W207" s="7">
        <f t="shared" si="10"/>
        <v>9826768.8068460822</v>
      </c>
      <c r="X207" s="7">
        <f t="shared" si="10"/>
        <v>10362434.255144328</v>
      </c>
      <c r="Y207" s="7">
        <f t="shared" si="10"/>
        <v>10921650.628181119</v>
      </c>
      <c r="Z207" s="7">
        <f t="shared" si="10"/>
        <v>11505151.57443282</v>
      </c>
      <c r="AA207" s="7">
        <f t="shared" si="10"/>
        <v>12113679.935978949</v>
      </c>
      <c r="AB207" s="7">
        <f t="shared" si="10"/>
        <v>12747987.322412308</v>
      </c>
      <c r="AC207" s="7">
        <f t="shared" si="10"/>
        <v>13408833.666204235</v>
      </c>
      <c r="AD207" s="7">
        <f t="shared" si="10"/>
        <v>14096986.760016449</v>
      </c>
      <c r="AE207" s="7">
        <f t="shared" si="10"/>
        <v>14813221.776490513</v>
      </c>
      <c r="AF207" s="7">
        <f t="shared" si="10"/>
        <v>15558320.771084107</v>
      </c>
      <c r="AG207" s="7">
        <f t="shared" si="10"/>
        <v>16333072.168560138</v>
      </c>
      <c r="AH207" s="7">
        <f t="shared" si="10"/>
        <v>17138270.23377005</v>
      </c>
      <c r="AI207" s="7">
        <f t="shared" si="10"/>
        <v>17974714.527406447</v>
      </c>
      <c r="AJ207" s="7">
        <f t="shared" si="10"/>
        <v>18843209.347432178</v>
      </c>
      <c r="AK207" s="7">
        <f t="shared" si="10"/>
        <v>19744563.156923465</v>
      </c>
      <c r="AL207" s="7">
        <f t="shared" si="10"/>
        <v>20679587.999093089</v>
      </c>
      <c r="AM207" s="7">
        <f t="shared" si="10"/>
        <v>21649098.900286291</v>
      </c>
      <c r="AN207" s="7">
        <f t="shared" si="10"/>
        <v>22653913.261766814</v>
      </c>
      <c r="AO207" s="7">
        <f t="shared" si="10"/>
        <v>23694850.241133086</v>
      </c>
      <c r="AP207" s="7">
        <f t="shared" si="10"/>
        <v>24772730.124225371</v>
      </c>
      <c r="AQ207" s="7">
        <f t="shared" si="10"/>
        <v>25888373.688403085</v>
      </c>
      <c r="AR207" s="7">
        <f t="shared" si="10"/>
        <v>27042601.558088232</v>
      </c>
      <c r="AS207" s="7">
        <f t="shared" si="10"/>
        <v>28236233.553484973</v>
      </c>
      <c r="AT207" s="7">
        <f t="shared" si="10"/>
        <v>29470088.033397824</v>
      </c>
      <c r="AU207" s="7">
        <f t="shared" si="10"/>
        <v>30744981.233080845</v>
      </c>
      <c r="AV207" s="7">
        <f t="shared" si="10"/>
        <v>32061726.598058242</v>
      </c>
      <c r="AW207" s="7">
        <f t="shared" si="10"/>
        <v>33421134.114862438</v>
      </c>
      <c r="AX207" s="7">
        <f t="shared" si="10"/>
        <v>34824009.639639407</v>
      </c>
      <c r="AY207" s="7">
        <f t="shared" si="10"/>
        <v>36271154.225572497</v>
      </c>
      <c r="AZ207" s="7">
        <f t="shared" si="10"/>
        <v>37763363.450075477</v>
      </c>
      <c r="BA207" s="7">
        <f t="shared" si="10"/>
        <v>39301426.742702775</v>
      </c>
      <c r="BB207" s="7">
        <f t="shared" si="10"/>
        <v>40886126.714720339</v>
      </c>
      <c r="BC207" s="7">
        <f t="shared" si="10"/>
        <v>42518238.491273753</v>
      </c>
      <c r="BD207" s="7">
        <f t="shared" si="10"/>
        <v>44198529.047081798</v>
      </c>
      <c r="BE207" s="7">
        <f t="shared" si="10"/>
        <v>45927756.546572983</v>
      </c>
      <c r="BF207" s="7">
        <f t="shared" si="10"/>
        <v>47706669.689370409</v>
      </c>
      <c r="BG207" s="7">
        <f t="shared" si="10"/>
        <v>49536007.062016144</v>
      </c>
      <c r="BH207" s="7">
        <f t="shared" si="10"/>
        <v>51416496.496810548</v>
      </c>
      <c r="BI207" s="7">
        <f t="shared" si="10"/>
        <v>53348854.43862436</v>
      </c>
      <c r="BJ207" s="7">
        <f t="shared" si="10"/>
        <v>55333785.320522629</v>
      </c>
      <c r="BK207" s="7">
        <f t="shared" si="10"/>
        <v>57371980.949018829</v>
      </c>
      <c r="BL207" s="7">
        <f t="shared" si="10"/>
        <v>59464119.899755612</v>
      </c>
      <c r="BM207" s="7">
        <f t="shared" si="10"/>
        <v>61610866.924385436</v>
      </c>
      <c r="BN207" s="7">
        <f t="shared" si="10"/>
        <v>63812872.369399667</v>
      </c>
      <c r="BO207" s="7">
        <f t="shared" si="10"/>
        <v>66070771.607629053</v>
      </c>
      <c r="BP207" s="7">
        <f t="shared" si="7"/>
        <v>68385184.483111739</v>
      </c>
      <c r="BQ207" s="7">
        <f t="shared" si="7"/>
        <v>70756714.769997045</v>
      </c>
      <c r="BR207" s="7">
        <f t="shared" si="7"/>
        <v>73185949.646124378</v>
      </c>
      <c r="BS207" s="7">
        <f t="shared" si="7"/>
        <v>75673459.181887448</v>
      </c>
      <c r="BT207" s="7">
        <f t="shared" si="7"/>
        <v>78219795.844963059</v>
      </c>
      <c r="BU207" s="7">
        <f t="shared" si="8"/>
        <v>80825494.021453053</v>
      </c>
      <c r="BV207" s="7"/>
      <c r="BW207" s="7"/>
      <c r="BX207" s="7"/>
      <c r="BY207" s="7"/>
      <c r="BZ207" s="7"/>
      <c r="CA207" s="7"/>
      <c r="CB207" s="7"/>
      <c r="CC207" s="7"/>
      <c r="CD207" s="7"/>
      <c r="CE207" s="7"/>
      <c r="CF207" s="7"/>
      <c r="CG207" s="7"/>
      <c r="CH207" s="7"/>
      <c r="CI207" s="7"/>
      <c r="CJ207" s="7"/>
      <c r="CK207" s="7"/>
      <c r="CL207" s="7"/>
      <c r="CM207" s="7"/>
      <c r="CN207" s="7"/>
      <c r="CO207" s="7"/>
      <c r="CP207" s="7"/>
      <c r="CQ207" s="7"/>
      <c r="CR207" s="7"/>
      <c r="CS207" s="7"/>
      <c r="CT207" s="7"/>
      <c r="CU207" s="7"/>
      <c r="CV207" s="7"/>
      <c r="CW207" s="7"/>
      <c r="CX207" s="7"/>
      <c r="CY207" s="7"/>
      <c r="CZ207" s="7"/>
      <c r="DA207" s="7"/>
      <c r="DB207" s="7"/>
      <c r="DC207" s="7"/>
      <c r="DD207" s="7"/>
      <c r="DE207" s="7"/>
      <c r="DF207" s="7"/>
      <c r="DG207" s="7"/>
      <c r="DH207" s="7"/>
      <c r="DI207" s="7"/>
      <c r="DJ207" s="7"/>
      <c r="DK207" s="7"/>
      <c r="DL207" s="7"/>
      <c r="DM207" s="7"/>
      <c r="DN207" s="7"/>
      <c r="DO207" s="7"/>
      <c r="DP207" s="7"/>
      <c r="DQ207" s="7"/>
      <c r="DR207" s="7"/>
      <c r="DS207" s="7"/>
      <c r="DT207" s="7"/>
      <c r="DU207" s="7"/>
    </row>
    <row r="208" spans="1:125" x14ac:dyDescent="0.25">
      <c r="A208" t="str">
        <f>'storage capacity'!Q11</f>
        <v>Canada</v>
      </c>
      <c r="C208" s="7">
        <f t="shared" si="9"/>
        <v>2896526.9333333075</v>
      </c>
      <c r="D208" s="7">
        <f t="shared" si="10"/>
        <v>3101031.8460934083</v>
      </c>
      <c r="E208" s="7">
        <f t="shared" si="10"/>
        <v>3317786.0828501862</v>
      </c>
      <c r="F208" s="7">
        <f t="shared" si="10"/>
        <v>3547371.8412506501</v>
      </c>
      <c r="G208" s="7">
        <f t="shared" si="10"/>
        <v>3790389.8580313814</v>
      </c>
      <c r="H208" s="7">
        <f t="shared" si="10"/>
        <v>4047459.5244416078</v>
      </c>
      <c r="I208" s="7">
        <f t="shared" si="10"/>
        <v>4319218.9786510281</v>
      </c>
      <c r="J208" s="7">
        <f t="shared" si="10"/>
        <v>4606325.1743546156</v>
      </c>
      <c r="K208" s="7">
        <f t="shared" si="10"/>
        <v>4909453.9248264665</v>
      </c>
      <c r="L208" s="7">
        <f t="shared" si="10"/>
        <v>5229299.9217172256</v>
      </c>
      <c r="M208" s="7">
        <f t="shared" si="10"/>
        <v>5566576.7279347153</v>
      </c>
      <c r="N208" s="7">
        <f t="shared" si="10"/>
        <v>5922016.7439949205</v>
      </c>
      <c r="O208" s="7">
        <f t="shared" si="10"/>
        <v>6296371.1472803243</v>
      </c>
      <c r="P208" s="7">
        <f t="shared" si="10"/>
        <v>6690409.8036945863</v>
      </c>
      <c r="Q208" s="7">
        <f t="shared" si="10"/>
        <v>7104921.1512565659</v>
      </c>
      <c r="R208" s="7">
        <f t="shared" si="10"/>
        <v>7540712.0552325249</v>
      </c>
      <c r="S208" s="7">
        <f t="shared" si="10"/>
        <v>7998607.6344628586</v>
      </c>
      <c r="T208" s="7">
        <f t="shared" si="10"/>
        <v>8479451.0585986897</v>
      </c>
      <c r="U208" s="7">
        <f t="shared" si="10"/>
        <v>8984103.3160239626</v>
      </c>
      <c r="V208" s="7">
        <f t="shared" si="10"/>
        <v>9513442.9523000661</v>
      </c>
      <c r="W208" s="7">
        <f t="shared" si="10"/>
        <v>10068365.779032353</v>
      </c>
      <c r="X208" s="7">
        <f t="shared" si="10"/>
        <v>10649784.553120993</v>
      </c>
      <c r="Y208" s="7">
        <f t="shared" si="10"/>
        <v>11258628.626422137</v>
      </c>
      <c r="Z208" s="7">
        <f t="shared" si="10"/>
        <v>11895843.565909339</v>
      </c>
      <c r="AA208" s="7">
        <f t="shared" si="10"/>
        <v>12562390.744489202</v>
      </c>
      <c r="AB208" s="7">
        <f t="shared" si="10"/>
        <v>13259246.902689179</v>
      </c>
      <c r="AC208" s="7">
        <f t="shared" si="10"/>
        <v>13987403.681499243</v>
      </c>
      <c r="AD208" s="7">
        <f t="shared" si="10"/>
        <v>14747867.126712343</v>
      </c>
      <c r="AE208" s="7">
        <f t="shared" si="10"/>
        <v>15541657.165171241</v>
      </c>
      <c r="AF208" s="7">
        <f t="shared" si="10"/>
        <v>16369807.053391071</v>
      </c>
      <c r="AG208" s="7">
        <f t="shared" si="10"/>
        <v>17233362.799087748</v>
      </c>
      <c r="AH208" s="7">
        <f t="shared" si="10"/>
        <v>18133382.556201946</v>
      </c>
      <c r="AI208" s="7">
        <f t="shared" si="10"/>
        <v>19070935.994066559</v>
      </c>
      <c r="AJ208" s="7">
        <f t="shared" si="10"/>
        <v>20047103.641422216</v>
      </c>
      <c r="AK208" s="7">
        <f t="shared" si="10"/>
        <v>21062976.206040457</v>
      </c>
      <c r="AL208" s="7">
        <f t="shared" si="10"/>
        <v>22119653.870767247</v>
      </c>
      <c r="AM208" s="7">
        <f t="shared" si="10"/>
        <v>23218245.566850729</v>
      </c>
      <c r="AN208" s="7">
        <f t="shared" si="10"/>
        <v>24359868.225466039</v>
      </c>
      <c r="AO208" s="7">
        <f t="shared" si="10"/>
        <v>25545646.00839689</v>
      </c>
      <c r="AP208" s="7">
        <f t="shared" si="10"/>
        <v>26776709.518877998</v>
      </c>
      <c r="AQ208" s="7">
        <f t="shared" si="10"/>
        <v>28054194.99364429</v>
      </c>
      <c r="AR208" s="7">
        <f t="shared" si="10"/>
        <v>29379243.477272239</v>
      </c>
      <c r="AS208" s="7">
        <f t="shared" si="10"/>
        <v>30752999.979935389</v>
      </c>
      <c r="AT208" s="7">
        <f t="shared" si="10"/>
        <v>32176612.619729985</v>
      </c>
      <c r="AU208" s="7">
        <f t="shared" si="10"/>
        <v>33651231.750757761</v>
      </c>
      <c r="AV208" s="7">
        <f t="shared" si="10"/>
        <v>35178009.078181289</v>
      </c>
      <c r="AW208" s="7">
        <f t="shared" si="10"/>
        <v>36758096.761492446</v>
      </c>
      <c r="AX208" s="7">
        <f t="shared" si="10"/>
        <v>38392646.507257044</v>
      </c>
      <c r="AY208" s="7">
        <f t="shared" si="10"/>
        <v>40082808.652618021</v>
      </c>
      <c r="AZ208" s="7">
        <f t="shared" si="10"/>
        <v>41829731.240855873</v>
      </c>
      <c r="BA208" s="7">
        <f t="shared" si="10"/>
        <v>43634559.090318441</v>
      </c>
      <c r="BB208" s="7">
        <f t="shared" si="10"/>
        <v>45498432.858042397</v>
      </c>
      <c r="BC208" s="7">
        <f t="shared" si="10"/>
        <v>47422488.099396169</v>
      </c>
      <c r="BD208" s="7">
        <f t="shared" si="10"/>
        <v>49407854.325078301</v>
      </c>
      <c r="BE208" s="7">
        <f t="shared" si="10"/>
        <v>51455654.056806535</v>
      </c>
      <c r="BF208" s="7">
        <f t="shared" si="10"/>
        <v>53567001.883031525</v>
      </c>
      <c r="BG208" s="7">
        <f t="shared" si="10"/>
        <v>55743003.516004376</v>
      </c>
      <c r="BH208" s="7">
        <f t="shared" si="10"/>
        <v>57984754.851520129</v>
      </c>
      <c r="BI208" s="7">
        <f t="shared" si="10"/>
        <v>60293341.032649063</v>
      </c>
      <c r="BJ208" s="7">
        <f t="shared" si="10"/>
        <v>62669835.518755078</v>
      </c>
      <c r="BK208" s="7">
        <f t="shared" si="10"/>
        <v>65115299.161084928</v>
      </c>
      <c r="BL208" s="7">
        <f t="shared" si="10"/>
        <v>67630779.286194041</v>
      </c>
      <c r="BM208" s="7">
        <f t="shared" si="10"/>
        <v>70217308.788454503</v>
      </c>
      <c r="BN208" s="7">
        <f t="shared" si="10"/>
        <v>72875905.232867613</v>
      </c>
      <c r="BO208" s="7">
        <f t="shared" si="10"/>
        <v>75607569.96937874</v>
      </c>
      <c r="BP208" s="7">
        <f t="shared" si="7"/>
        <v>78413287.259864569</v>
      </c>
      <c r="BQ208" s="7">
        <f t="shared" si="7"/>
        <v>81294023.418933794</v>
      </c>
      <c r="BR208" s="7">
        <f t="shared" si="7"/>
        <v>84250725.969650865</v>
      </c>
      <c r="BS208" s="7">
        <f t="shared" si="7"/>
        <v>87284322.815259218</v>
      </c>
      <c r="BT208" s="7">
        <f t="shared" si="7"/>
        <v>90395721.427945659</v>
      </c>
      <c r="BU208" s="7">
        <f t="shared" si="8"/>
        <v>93585808.05565086</v>
      </c>
      <c r="BV208" s="7"/>
      <c r="BW208" s="7"/>
      <c r="BX208" s="7"/>
      <c r="BY208" s="7"/>
      <c r="BZ208" s="7"/>
      <c r="CA208" s="7"/>
      <c r="CB208" s="7"/>
      <c r="CC208" s="7"/>
      <c r="CD208" s="7"/>
      <c r="CE208" s="7"/>
      <c r="CF208" s="7"/>
      <c r="CG208" s="7"/>
      <c r="CH208" s="7"/>
      <c r="CI208" s="7"/>
      <c r="CJ208" s="7"/>
      <c r="CK208" s="7"/>
      <c r="CL208" s="7"/>
      <c r="CM208" s="7"/>
      <c r="CN208" s="7"/>
      <c r="CO208" s="7"/>
      <c r="CP208" s="7"/>
      <c r="CQ208" s="7"/>
      <c r="CR208" s="7"/>
      <c r="CS208" s="7"/>
      <c r="CT208" s="7"/>
      <c r="CU208" s="7"/>
      <c r="CV208" s="7"/>
      <c r="CW208" s="7"/>
      <c r="CX208" s="7"/>
      <c r="CY208" s="7"/>
      <c r="CZ208" s="7"/>
      <c r="DA208" s="7"/>
      <c r="DB208" s="7"/>
      <c r="DC208" s="7"/>
      <c r="DD208" s="7"/>
      <c r="DE208" s="7"/>
      <c r="DF208" s="7"/>
      <c r="DG208" s="7"/>
      <c r="DH208" s="7"/>
      <c r="DI208" s="7"/>
      <c r="DJ208" s="7"/>
      <c r="DK208" s="7"/>
      <c r="DL208" s="7"/>
      <c r="DM208" s="7"/>
      <c r="DN208" s="7"/>
      <c r="DO208" s="7"/>
      <c r="DP208" s="7"/>
      <c r="DQ208" s="7"/>
      <c r="DR208" s="7"/>
      <c r="DS208" s="7"/>
      <c r="DT208" s="7"/>
      <c r="DU208" s="7"/>
    </row>
    <row r="209" spans="1:125" x14ac:dyDescent="0.25">
      <c r="A209" t="str">
        <f>'storage capacity'!Q12</f>
        <v>China</v>
      </c>
      <c r="C209" s="7">
        <f t="shared" si="9"/>
        <v>24944049.733333349</v>
      </c>
      <c r="D209" s="7">
        <f t="shared" si="10"/>
        <v>26054304.424982443</v>
      </c>
      <c r="E209" s="7">
        <f t="shared" si="10"/>
        <v>27202379.613028847</v>
      </c>
      <c r="F209" s="7">
        <f t="shared" si="10"/>
        <v>28389057.745529525</v>
      </c>
      <c r="G209" s="7">
        <f t="shared" si="10"/>
        <v>29615119.132918429</v>
      </c>
      <c r="H209" s="7">
        <f t="shared" si="10"/>
        <v>30881341.310261965</v>
      </c>
      <c r="I209" s="7">
        <f t="shared" si="10"/>
        <v>32188498.396718103</v>
      </c>
      <c r="J209" s="7">
        <f t="shared" si="10"/>
        <v>33537360.453107916</v>
      </c>
      <c r="K209" s="7">
        <f t="shared" si="10"/>
        <v>34928692.838509433</v>
      </c>
      <c r="L209" s="7">
        <f t="shared" si="10"/>
        <v>36363255.566782892</v>
      </c>
      <c r="M209" s="7">
        <f t="shared" si="10"/>
        <v>37841802.663933434</v>
      </c>
      <c r="N209" s="7">
        <f t="shared" si="10"/>
        <v>39365081.527212776</v>
      </c>
      <c r="O209" s="7">
        <f t="shared" si="10"/>
        <v>40933832.286854416</v>
      </c>
      <c r="P209" s="7">
        <f t="shared" si="10"/>
        <v>42548787.171328582</v>
      </c>
      <c r="Q209" s="7">
        <f t="shared" si="10"/>
        <v>44210669.876992755</v>
      </c>
      <c r="R209" s="7">
        <f t="shared" si="10"/>
        <v>45920194.943001509</v>
      </c>
      <c r="S209" s="7">
        <f t="shared" si="10"/>
        <v>47678067.132325716</v>
      </c>
      <c r="T209" s="7">
        <f t="shared" si="10"/>
        <v>49484980.819715597</v>
      </c>
      <c r="U209" s="7">
        <f t="shared" si="10"/>
        <v>51341619.387425467</v>
      </c>
      <c r="V209" s="7">
        <f t="shared" si="10"/>
        <v>53248654.629499227</v>
      </c>
      <c r="W209" s="7">
        <f t="shared" si="10"/>
        <v>55206746.16539605</v>
      </c>
      <c r="X209" s="7">
        <f t="shared" si="10"/>
        <v>57216540.863714501</v>
      </c>
      <c r="Y209" s="7">
        <f t="shared" si="10"/>
        <v>59278672.276750617</v>
      </c>
      <c r="Z209" s="7">
        <f t="shared" si="10"/>
        <v>61393760.086602077</v>
      </c>
      <c r="AA209" s="7">
        <f t="shared" si="10"/>
        <v>63562409.563505702</v>
      </c>
      <c r="AB209" s="7">
        <f t="shared" si="10"/>
        <v>65785211.037069544</v>
      </c>
      <c r="AC209" s="7">
        <f t="shared" si="10"/>
        <v>68062739.381034404</v>
      </c>
      <c r="AD209" s="7">
        <f t="shared" si="10"/>
        <v>70395553.512171581</v>
      </c>
      <c r="AE209" s="7">
        <f t="shared" si="10"/>
        <v>72784195.903895453</v>
      </c>
      <c r="AF209" s="7">
        <f t="shared" si="10"/>
        <v>75229192.115140319</v>
      </c>
      <c r="AG209" s="7">
        <f t="shared" si="10"/>
        <v>77731050.335020974</v>
      </c>
      <c r="AH209" s="7">
        <f t="shared" si="10"/>
        <v>80290260.94376649</v>
      </c>
      <c r="AI209" s="7">
        <f t="shared" si="10"/>
        <v>82907296.090385631</v>
      </c>
      <c r="AJ209" s="7">
        <f t="shared" si="10"/>
        <v>85582609.287491128</v>
      </c>
      <c r="AK209" s="7">
        <f t="shared" si="10"/>
        <v>88316635.023678884</v>
      </c>
      <c r="AL209" s="7">
        <f t="shared" si="10"/>
        <v>91109788.393826202</v>
      </c>
      <c r="AM209" s="7">
        <f t="shared" si="10"/>
        <v>93962464.747641295</v>
      </c>
      <c r="AN209" s="7">
        <f t="shared" si="10"/>
        <v>96875039.356764689</v>
      </c>
      <c r="AO209" s="7">
        <f t="shared" si="10"/>
        <v>99847867.100690722</v>
      </c>
      <c r="AP209" s="7">
        <f t="shared" si="10"/>
        <v>102881282.17174602</v>
      </c>
      <c r="AQ209" s="7">
        <f t="shared" si="10"/>
        <v>105975597.79932977</v>
      </c>
      <c r="AR209" s="7">
        <f t="shared" si="10"/>
        <v>109131105.99358927</v>
      </c>
      <c r="AS209" s="7">
        <f t="shared" si="10"/>
        <v>112348077.30867267</v>
      </c>
      <c r="AT209" s="7">
        <f t="shared" si="10"/>
        <v>115626760.62567051</v>
      </c>
      <c r="AU209" s="7">
        <f t="shared" si="10"/>
        <v>118967382.95532648</v>
      </c>
      <c r="AV209" s="7">
        <f t="shared" si="10"/>
        <v>122370149.26056823</v>
      </c>
      <c r="AW209" s="7">
        <f t="shared" si="10"/>
        <v>125835242.29887901</v>
      </c>
      <c r="AX209" s="7">
        <f t="shared" si="10"/>
        <v>129362822.48450238</v>
      </c>
      <c r="AY209" s="7">
        <f t="shared" si="10"/>
        <v>132953027.77044351</v>
      </c>
      <c r="AZ209" s="7">
        <f t="shared" si="10"/>
        <v>136605973.55020264</v>
      </c>
      <c r="BA209" s="7">
        <f t="shared" si="10"/>
        <v>140321752.57914943</v>
      </c>
      <c r="BB209" s="7">
        <f t="shared" si="10"/>
        <v>144100434.91542062</v>
      </c>
      <c r="BC209" s="7">
        <f t="shared" si="10"/>
        <v>147942067.88019699</v>
      </c>
      <c r="BD209" s="7">
        <f t="shared" si="10"/>
        <v>151846676.03719211</v>
      </c>
      <c r="BE209" s="7">
        <f t="shared" si="10"/>
        <v>155814261.19115973</v>
      </c>
      <c r="BF209" s="7">
        <f t="shared" si="10"/>
        <v>159844802.40520504</v>
      </c>
      <c r="BG209" s="7">
        <f t="shared" si="10"/>
        <v>163938256.03666151</v>
      </c>
      <c r="BH209" s="7">
        <f t="shared" si="10"/>
        <v>168094555.79127398</v>
      </c>
      <c r="BI209" s="7">
        <f t="shared" si="10"/>
        <v>172313612.79540861</v>
      </c>
      <c r="BJ209" s="7">
        <f t="shared" si="10"/>
        <v>176595315.68599001</v>
      </c>
      <c r="BK209" s="7">
        <f t="shared" si="10"/>
        <v>180939530.71784747</v>
      </c>
      <c r="BL209" s="7">
        <f t="shared" si="10"/>
        <v>185346101.88813487</v>
      </c>
      <c r="BM209" s="7">
        <f t="shared" si="10"/>
        <v>189814851.07747164</v>
      </c>
      <c r="BN209" s="7">
        <f t="shared" si="10"/>
        <v>194345578.20743629</v>
      </c>
      <c r="BO209" s="7">
        <f t="shared" ref="BO209:BS212" si="11">VLOOKUP($A209,$A$2:$BU$196,BO$198,FALSE)</f>
        <v>198938061.41402996</v>
      </c>
      <c r="BP209" s="7">
        <f t="shared" si="11"/>
        <v>203592057.23671269</v>
      </c>
      <c r="BQ209" s="7">
        <f t="shared" si="11"/>
        <v>208307300.82260287</v>
      </c>
      <c r="BR209" s="7">
        <f t="shared" si="11"/>
        <v>213083506.14541817</v>
      </c>
      <c r="BS209" s="7">
        <f t="shared" si="11"/>
        <v>217920366.2387251</v>
      </c>
      <c r="BT209" s="7">
        <f t="shared" si="7"/>
        <v>222817553.44305515</v>
      </c>
      <c r="BU209" s="7">
        <f t="shared" si="8"/>
        <v>227774719.66643536</v>
      </c>
      <c r="BV209" s="7"/>
      <c r="BW209" s="7"/>
      <c r="BX209" s="7"/>
      <c r="BY209" s="7"/>
      <c r="BZ209" s="7"/>
      <c r="CA209" s="7"/>
      <c r="CB209" s="7"/>
      <c r="CC209" s="7"/>
      <c r="CD209" s="7"/>
      <c r="CE209" s="7"/>
      <c r="CF209" s="7"/>
      <c r="CG209" s="7"/>
      <c r="CH209" s="7"/>
      <c r="CI209" s="7"/>
      <c r="CJ209" s="7"/>
      <c r="CK209" s="7"/>
      <c r="CL209" s="7"/>
      <c r="CM209" s="7"/>
      <c r="CN209" s="7"/>
      <c r="CO209" s="7"/>
      <c r="CP209" s="7"/>
      <c r="CQ209" s="7"/>
      <c r="CR209" s="7"/>
      <c r="CS209" s="7"/>
      <c r="CT209" s="7"/>
      <c r="CU209" s="7"/>
      <c r="CV209" s="7"/>
      <c r="CW209" s="7"/>
      <c r="CX209" s="7"/>
      <c r="CY209" s="7"/>
      <c r="CZ209" s="7"/>
      <c r="DA209" s="7"/>
      <c r="DB209" s="7"/>
      <c r="DC209" s="7"/>
      <c r="DD209" s="7"/>
      <c r="DE209" s="7"/>
      <c r="DF209" s="7"/>
      <c r="DG209" s="7"/>
      <c r="DH209" s="7"/>
      <c r="DI209" s="7"/>
      <c r="DJ209" s="7"/>
      <c r="DK209" s="7"/>
      <c r="DL209" s="7"/>
      <c r="DM209" s="7"/>
      <c r="DN209" s="7"/>
      <c r="DO209" s="7"/>
      <c r="DP209" s="7"/>
      <c r="DQ209" s="7"/>
      <c r="DR209" s="7"/>
      <c r="DS209" s="7"/>
      <c r="DT209" s="7"/>
      <c r="DU209" s="7"/>
    </row>
    <row r="210" spans="1:125" x14ac:dyDescent="0.25">
      <c r="A210" t="str">
        <f>'storage capacity'!Q13</f>
        <v>Denmark</v>
      </c>
      <c r="C210" s="7">
        <f t="shared" si="9"/>
        <v>509516.66666666791</v>
      </c>
      <c r="D210" s="7">
        <f t="shared" ref="D210:BO213" si="12">VLOOKUP($A210,$A$2:$BU$196,D$198,FALSE)</f>
        <v>530191.66518260655</v>
      </c>
      <c r="E210" s="7">
        <f t="shared" si="12"/>
        <v>551490.46752189274</v>
      </c>
      <c r="F210" s="7">
        <f t="shared" si="12"/>
        <v>573423.33889426093</v>
      </c>
      <c r="G210" s="7">
        <f t="shared" si="12"/>
        <v>596000.43290368491</v>
      </c>
      <c r="H210" s="7">
        <f t="shared" si="12"/>
        <v>619231.78280126397</v>
      </c>
      <c r="I210" s="7">
        <f t="shared" si="12"/>
        <v>643127.29281361948</v>
      </c>
      <c r="J210" s="7">
        <f t="shared" si="12"/>
        <v>667696.72955857299</v>
      </c>
      <c r="K210" s="7">
        <f t="shared" si="12"/>
        <v>692949.71355966001</v>
      </c>
      <c r="L210" s="7">
        <f t="shared" si="12"/>
        <v>718895.71087079309</v>
      </c>
      <c r="M210" s="7">
        <f t="shared" si="12"/>
        <v>745544.02482212917</v>
      </c>
      <c r="N210" s="7">
        <f t="shared" si="12"/>
        <v>772903.78789791407</v>
      </c>
      <c r="O210" s="7">
        <f t="shared" si="12"/>
        <v>800983.95375677885</v>
      </c>
      <c r="P210" s="7">
        <f t="shared" si="12"/>
        <v>829793.28940464975</v>
      </c>
      <c r="Q210" s="7">
        <f t="shared" si="12"/>
        <v>859340.36753009725</v>
      </c>
      <c r="R210" s="7">
        <f t="shared" si="12"/>
        <v>889633.55901160452</v>
      </c>
      <c r="S210" s="7">
        <f t="shared" si="12"/>
        <v>920681.02560587437</v>
      </c>
      <c r="T210" s="7">
        <f t="shared" si="12"/>
        <v>952490.71282591624</v>
      </c>
      <c r="U210" s="7">
        <f t="shared" si="12"/>
        <v>985070.3430172716</v>
      </c>
      <c r="V210" s="7">
        <f t="shared" si="12"/>
        <v>1018427.4086403372</v>
      </c>
      <c r="W210" s="7">
        <f t="shared" si="12"/>
        <v>1052569.165766337</v>
      </c>
      <c r="X210" s="7">
        <f t="shared" si="12"/>
        <v>1087502.6277940813</v>
      </c>
      <c r="Y210" s="7">
        <f t="shared" si="12"/>
        <v>1123234.5593942273</v>
      </c>
      <c r="Z210" s="7">
        <f t="shared" si="12"/>
        <v>1159771.4706873249</v>
      </c>
      <c r="AA210" s="7">
        <f t="shared" si="12"/>
        <v>1197119.6116614991</v>
      </c>
      <c r="AB210" s="7">
        <f t="shared" si="12"/>
        <v>1235284.966835185</v>
      </c>
      <c r="AC210" s="7">
        <f t="shared" si="12"/>
        <v>1274273.2501698809</v>
      </c>
      <c r="AD210" s="7">
        <f t="shared" si="12"/>
        <v>1314089.9002374564</v>
      </c>
      <c r="AE210" s="7">
        <f t="shared" si="12"/>
        <v>1354740.0756460926</v>
      </c>
      <c r="AF210" s="7">
        <f t="shared" si="12"/>
        <v>1396228.6507285051</v>
      </c>
      <c r="AG210" s="7">
        <f t="shared" si="12"/>
        <v>1438560.21149564</v>
      </c>
      <c r="AH210" s="7">
        <f t="shared" si="12"/>
        <v>1481739.0518586084</v>
      </c>
      <c r="AI210" s="7">
        <f t="shared" si="12"/>
        <v>1525769.1701211787</v>
      </c>
      <c r="AJ210" s="7">
        <f t="shared" si="12"/>
        <v>1570654.2657447145</v>
      </c>
      <c r="AK210" s="7">
        <f t="shared" si="12"/>
        <v>1616397.736387019</v>
      </c>
      <c r="AL210" s="7">
        <f t="shared" si="12"/>
        <v>1663002.6752161207</v>
      </c>
      <c r="AM210" s="7">
        <f t="shared" si="12"/>
        <v>1710471.8684996215</v>
      </c>
      <c r="AN210" s="7">
        <f t="shared" si="12"/>
        <v>1758807.7934698174</v>
      </c>
      <c r="AO210" s="7">
        <f t="shared" si="12"/>
        <v>1808012.6164643969</v>
      </c>
      <c r="AP210" s="7">
        <f t="shared" si="12"/>
        <v>1858088.1913421347</v>
      </c>
      <c r="AQ210" s="7">
        <f t="shared" si="12"/>
        <v>1909036.0581726076</v>
      </c>
      <c r="AR210" s="7">
        <f t="shared" si="12"/>
        <v>1960857.4421985911</v>
      </c>
      <c r="AS210" s="7">
        <f t="shared" si="12"/>
        <v>2013553.2530694201</v>
      </c>
      <c r="AT210" s="7">
        <f t="shared" si="12"/>
        <v>2067124.0843432569</v>
      </c>
      <c r="AU210" s="7">
        <f t="shared" si="12"/>
        <v>2121570.213255852</v>
      </c>
      <c r="AV210" s="7">
        <f t="shared" si="12"/>
        <v>2176891.6007530619</v>
      </c>
      <c r="AW210" s="7">
        <f t="shared" si="12"/>
        <v>2233087.8917840663</v>
      </c>
      <c r="AX210" s="7">
        <f t="shared" si="12"/>
        <v>2290158.4158519097</v>
      </c>
      <c r="AY210" s="7">
        <f t="shared" si="12"/>
        <v>2348102.1878177165</v>
      </c>
      <c r="AZ210" s="7">
        <f t="shared" si="12"/>
        <v>2406917.9089546246</v>
      </c>
      <c r="BA210" s="7">
        <f t="shared" si="12"/>
        <v>2466603.9682472283</v>
      </c>
      <c r="BB210" s="7">
        <f t="shared" si="12"/>
        <v>2527158.4439320574</v>
      </c>
      <c r="BC210" s="7">
        <f t="shared" si="12"/>
        <v>2588579.105274382</v>
      </c>
      <c r="BD210" s="7">
        <f t="shared" si="12"/>
        <v>2650863.4145763903</v>
      </c>
      <c r="BE210" s="7">
        <f t="shared" si="12"/>
        <v>2714008.5294115883</v>
      </c>
      <c r="BF210" s="7">
        <f t="shared" si="12"/>
        <v>2778011.3050800511</v>
      </c>
      <c r="BG210" s="7">
        <f t="shared" si="12"/>
        <v>2842868.2972789737</v>
      </c>
      <c r="BH210" s="7">
        <f t="shared" si="12"/>
        <v>2908575.7649827944</v>
      </c>
      <c r="BI210" s="7">
        <f t="shared" si="12"/>
        <v>2975129.6735269921</v>
      </c>
      <c r="BJ210" s="7">
        <f t="shared" si="12"/>
        <v>3042525.6978895259</v>
      </c>
      <c r="BK210" s="7">
        <f t="shared" si="12"/>
        <v>3110759.2261637244</v>
      </c>
      <c r="BL210" s="7">
        <f t="shared" si="12"/>
        <v>3179825.3632163387</v>
      </c>
      <c r="BM210" s="7">
        <f t="shared" si="12"/>
        <v>3249718.9345243364</v>
      </c>
      <c r="BN210" s="7">
        <f t="shared" si="12"/>
        <v>3320434.4901839308</v>
      </c>
      <c r="BO210" s="7">
        <f t="shared" si="12"/>
        <v>3391966.3090852527</v>
      </c>
      <c r="BP210" s="7">
        <f t="shared" si="11"/>
        <v>3464308.4032459953</v>
      </c>
      <c r="BQ210" s="7">
        <f t="shared" si="11"/>
        <v>3537454.5222973046</v>
      </c>
      <c r="BR210" s="7">
        <f t="shared" si="11"/>
        <v>3611398.1581151392</v>
      </c>
      <c r="BS210" s="7">
        <f t="shared" si="11"/>
        <v>3686132.5495902863</v>
      </c>
      <c r="BT210" s="7">
        <f t="shared" si="7"/>
        <v>3761650.6875301916</v>
      </c>
      <c r="BU210" s="7">
        <f t="shared" si="7"/>
        <v>3837945.3196857488</v>
      </c>
      <c r="BV210" s="7"/>
      <c r="BW210" s="7"/>
      <c r="BX210" s="7"/>
      <c r="BY210" s="7"/>
      <c r="BZ210" s="7"/>
      <c r="CA210" s="7"/>
      <c r="CB210" s="7"/>
      <c r="CC210" s="7"/>
      <c r="CD210" s="7"/>
      <c r="CE210" s="7"/>
      <c r="CF210" s="7"/>
      <c r="CG210" s="7"/>
      <c r="CH210" s="7"/>
      <c r="CI210" s="7"/>
      <c r="CJ210" s="7"/>
      <c r="CK210" s="7"/>
      <c r="CL210" s="7"/>
      <c r="CM210" s="7"/>
      <c r="CN210" s="7"/>
      <c r="CO210" s="7"/>
      <c r="CP210" s="7"/>
      <c r="CQ210" s="7"/>
      <c r="CR210" s="7"/>
      <c r="CS210" s="7"/>
      <c r="CT210" s="7"/>
      <c r="CU210" s="7"/>
      <c r="CV210" s="7"/>
      <c r="CW210" s="7"/>
      <c r="CX210" s="7"/>
      <c r="CY210" s="7"/>
      <c r="CZ210" s="7"/>
      <c r="DA210" s="7"/>
      <c r="DB210" s="7"/>
      <c r="DC210" s="7"/>
      <c r="DD210" s="7"/>
      <c r="DE210" s="7"/>
      <c r="DF210" s="7"/>
      <c r="DG210" s="7"/>
      <c r="DH210" s="7"/>
      <c r="DI210" s="7"/>
      <c r="DJ210" s="7"/>
      <c r="DK210" s="7"/>
      <c r="DL210" s="7"/>
      <c r="DM210" s="7"/>
      <c r="DN210" s="7"/>
      <c r="DO210" s="7"/>
      <c r="DP210" s="7"/>
      <c r="DQ210" s="7"/>
      <c r="DR210" s="7"/>
      <c r="DS210" s="7"/>
      <c r="DT210" s="7"/>
      <c r="DU210" s="7"/>
    </row>
    <row r="211" spans="1:125" x14ac:dyDescent="0.25">
      <c r="A211" t="str">
        <f>'storage capacity'!Q14</f>
        <v>Egypt</v>
      </c>
      <c r="C211" s="7">
        <f t="shared" si="9"/>
        <v>472622.79999999702</v>
      </c>
      <c r="D211" s="7">
        <f t="shared" si="12"/>
        <v>496797.45357983373</v>
      </c>
      <c r="E211" s="7">
        <f t="shared" si="12"/>
        <v>521954.52868548076</v>
      </c>
      <c r="F211" s="7">
        <f t="shared" si="12"/>
        <v>548121.21028459549</v>
      </c>
      <c r="G211" s="7">
        <f t="shared" si="12"/>
        <v>575324.89810607268</v>
      </c>
      <c r="H211" s="7">
        <f t="shared" si="12"/>
        <v>603593.18811936327</v>
      </c>
      <c r="I211" s="7">
        <f t="shared" si="12"/>
        <v>632953.85350077413</v>
      </c>
      <c r="J211" s="7">
        <f t="shared" si="12"/>
        <v>663434.82511161908</v>
      </c>
      <c r="K211" s="7">
        <f t="shared" si="12"/>
        <v>695064.171514121</v>
      </c>
      <c r="L211" s="7">
        <f t="shared" si="12"/>
        <v>727870.07855193515</v>
      </c>
      <c r="M211" s="7">
        <f t="shared" si="12"/>
        <v>761880.82852306229</v>
      </c>
      <c r="N211" s="7">
        <f t="shared" si="12"/>
        <v>797124.77897375496</v>
      </c>
      <c r="O211" s="7">
        <f t="shared" si="12"/>
        <v>833630.34114278224</v>
      </c>
      <c r="P211" s="7">
        <f t="shared" si="12"/>
        <v>871425.95808611333</v>
      </c>
      <c r="Q211" s="7">
        <f t="shared" si="12"/>
        <v>910540.08251269802</v>
      </c>
      <c r="R211" s="7">
        <f t="shared" si="12"/>
        <v>951001.15436257084</v>
      </c>
      <c r="S211" s="7">
        <f t="shared" si="12"/>
        <v>992837.57815897733</v>
      </c>
      <c r="T211" s="7">
        <f t="shared" si="12"/>
        <v>1036077.7001666218</v>
      </c>
      <c r="U211" s="7">
        <f t="shared" si="12"/>
        <v>1080749.7853884571</v>
      </c>
      <c r="V211" s="7">
        <f t="shared" si="12"/>
        <v>1126881.9944336889</v>
      </c>
      <c r="W211" s="7">
        <f t="shared" si="12"/>
        <v>1174502.3602898424</v>
      </c>
      <c r="X211" s="7">
        <f t="shared" si="12"/>
        <v>1223638.765031836</v>
      </c>
      <c r="Y211" s="7">
        <f t="shared" si="12"/>
        <v>1274318.9165010441</v>
      </c>
      <c r="Z211" s="7">
        <f t="shared" si="12"/>
        <v>1326570.3249872755</v>
      </c>
      <c r="AA211" s="7">
        <f t="shared" si="12"/>
        <v>1380420.2799464907</v>
      </c>
      <c r="AB211" s="7">
        <f t="shared" si="12"/>
        <v>1435895.8267868834</v>
      </c>
      <c r="AC211" s="7">
        <f t="shared" si="12"/>
        <v>1493023.7437557129</v>
      </c>
      <c r="AD211" s="7">
        <f t="shared" si="12"/>
        <v>1551830.5189589411</v>
      </c>
      <c r="AE211" s="7">
        <f t="shared" si="12"/>
        <v>1612342.3275453493</v>
      </c>
      <c r="AF211" s="7">
        <f t="shared" si="12"/>
        <v>1674585.0090863623</v>
      </c>
      <c r="AG211" s="7">
        <f t="shared" si="12"/>
        <v>1738584.0451822965</v>
      </c>
      <c r="AH211" s="7">
        <f t="shared" si="12"/>
        <v>1804364.5373251841</v>
      </c>
      <c r="AI211" s="7">
        <f t="shared" si="12"/>
        <v>1871951.1850476987</v>
      </c>
      <c r="AJ211" s="7">
        <f t="shared" si="12"/>
        <v>1941368.2643870348</v>
      </c>
      <c r="AK211" s="7">
        <f t="shared" si="12"/>
        <v>2012639.6066918643</v>
      </c>
      <c r="AL211" s="7">
        <f t="shared" si="12"/>
        <v>2085788.5777997149</v>
      </c>
      <c r="AM211" s="7">
        <f t="shared" si="12"/>
        <v>2160838.0576112969</v>
      </c>
      <c r="AN211" s="7">
        <f t="shared" si="12"/>
        <v>2237810.4200874348</v>
      </c>
      <c r="AO211" s="7">
        <f t="shared" si="12"/>
        <v>2316727.5136933667</v>
      </c>
      <c r="AP211" s="7">
        <f t="shared" si="12"/>
        <v>2397610.6423142124</v>
      </c>
      <c r="AQ211" s="7">
        <f t="shared" si="12"/>
        <v>2480480.5466644615</v>
      </c>
      <c r="AR211" s="7">
        <f t="shared" si="12"/>
        <v>2565357.3862132994</v>
      </c>
      <c r="AS211" s="7">
        <f t="shared" si="12"/>
        <v>2652260.7216465771</v>
      </c>
      <c r="AT211" s="7">
        <f t="shared" si="12"/>
        <v>2741209.4978851518</v>
      </c>
      <c r="AU211" s="7">
        <f t="shared" si="12"/>
        <v>2832222.0276782559</v>
      </c>
      <c r="AV211" s="7">
        <f t="shared" si="12"/>
        <v>2925315.9757894399</v>
      </c>
      <c r="AW211" s="7">
        <f t="shared" si="12"/>
        <v>3020508.3437915281</v>
      </c>
      <c r="AX211" s="7">
        <f t="shared" si="12"/>
        <v>3117815.4554858841</v>
      </c>
      <c r="AY211" s="7">
        <f t="shared" si="12"/>
        <v>3217252.9429601417</v>
      </c>
      <c r="AZ211" s="7">
        <f t="shared" si="12"/>
        <v>3318835.7332974188</v>
      </c>
      <c r="BA211" s="7">
        <f t="shared" si="12"/>
        <v>3422578.0359488633</v>
      </c>
      <c r="BB211" s="7">
        <f t="shared" si="12"/>
        <v>3528493.3307802258</v>
      </c>
      <c r="BC211" s="7">
        <f t="shared" si="12"/>
        <v>3636594.3568020067</v>
      </c>
      <c r="BD211" s="7">
        <f t="shared" si="12"/>
        <v>3746893.1015915577</v>
      </c>
      <c r="BE211" s="7">
        <f t="shared" si="12"/>
        <v>3859400.7914143829</v>
      </c>
      <c r="BF211" s="7">
        <f t="shared" si="12"/>
        <v>3974127.882050728</v>
      </c>
      <c r="BG211" s="7">
        <f t="shared" si="12"/>
        <v>4091084.0503324354</v>
      </c>
      <c r="BH211" s="7">
        <f t="shared" si="12"/>
        <v>4210278.1863939054</v>
      </c>
      <c r="BI211" s="7">
        <f t="shared" si="12"/>
        <v>4331718.3866399126</v>
      </c>
      <c r="BJ211" s="7">
        <f t="shared" si="12"/>
        <v>4455411.9474319331</v>
      </c>
      <c r="BK211" s="7">
        <f t="shared" si="12"/>
        <v>4581365.3594935723</v>
      </c>
      <c r="BL211" s="7">
        <f t="shared" si="12"/>
        <v>4709584.3030346287</v>
      </c>
      <c r="BM211" s="7">
        <f t="shared" si="12"/>
        <v>4840073.6435923092</v>
      </c>
      <c r="BN211" s="7">
        <f t="shared" si="12"/>
        <v>4972837.4285871014</v>
      </c>
      <c r="BO211" s="7">
        <f t="shared" si="12"/>
        <v>5107878.884589836</v>
      </c>
      <c r="BP211" s="7">
        <f t="shared" si="11"/>
        <v>5245200.4152955059</v>
      </c>
      <c r="BQ211" s="7">
        <f t="shared" si="11"/>
        <v>5384803.6001985073</v>
      </c>
      <c r="BR211" s="7">
        <f t="shared" si="11"/>
        <v>5526689.1939630462</v>
      </c>
      <c r="BS211" s="7">
        <f t="shared" si="11"/>
        <v>5670857.1264816085</v>
      </c>
      <c r="BT211" s="7">
        <f t="shared" si="7"/>
        <v>5817306.5036135428</v>
      </c>
      <c r="BU211" s="7">
        <f t="shared" si="7"/>
        <v>5966035.6085950062</v>
      </c>
      <c r="BV211" s="7"/>
      <c r="BW211" s="7"/>
      <c r="BX211" s="7"/>
      <c r="BY211" s="7"/>
      <c r="BZ211" s="7"/>
      <c r="CA211" s="7"/>
      <c r="CB211" s="7"/>
      <c r="CC211" s="7"/>
      <c r="CD211" s="7"/>
      <c r="CE211" s="7"/>
      <c r="CF211" s="7"/>
      <c r="CG211" s="7"/>
      <c r="CH211" s="7"/>
      <c r="CI211" s="7"/>
      <c r="CJ211" s="7"/>
      <c r="CK211" s="7"/>
      <c r="CL211" s="7"/>
      <c r="CM211" s="7"/>
      <c r="CN211" s="7"/>
      <c r="CO211" s="7"/>
      <c r="CP211" s="7"/>
      <c r="CQ211" s="7"/>
      <c r="CR211" s="7"/>
      <c r="CS211" s="7"/>
      <c r="CT211" s="7"/>
      <c r="CU211" s="7"/>
      <c r="CV211" s="7"/>
      <c r="CW211" s="7"/>
      <c r="CX211" s="7"/>
      <c r="CY211" s="7"/>
      <c r="CZ211" s="7"/>
      <c r="DA211" s="7"/>
      <c r="DB211" s="7"/>
      <c r="DC211" s="7"/>
      <c r="DD211" s="7"/>
      <c r="DE211" s="7"/>
      <c r="DF211" s="7"/>
      <c r="DG211" s="7"/>
      <c r="DH211" s="7"/>
      <c r="DI211" s="7"/>
      <c r="DJ211" s="7"/>
      <c r="DK211" s="7"/>
      <c r="DL211" s="7"/>
      <c r="DM211" s="7"/>
      <c r="DN211" s="7"/>
      <c r="DO211" s="7"/>
      <c r="DP211" s="7"/>
      <c r="DQ211" s="7"/>
      <c r="DR211" s="7"/>
      <c r="DS211" s="7"/>
      <c r="DT211" s="7"/>
      <c r="DU211" s="7"/>
    </row>
    <row r="212" spans="1:125" x14ac:dyDescent="0.25">
      <c r="A212" t="str">
        <f>'storage capacity'!Q15</f>
        <v>Finland</v>
      </c>
      <c r="C212" s="7">
        <f t="shared" si="9"/>
        <v>378051.13333333284</v>
      </c>
      <c r="D212" s="7">
        <f t="shared" si="12"/>
        <v>391718.46797236882</v>
      </c>
      <c r="E212" s="7">
        <f t="shared" si="12"/>
        <v>405738.29080817261</v>
      </c>
      <c r="F212" s="7">
        <f t="shared" si="12"/>
        <v>420114.67493535997</v>
      </c>
      <c r="G212" s="7">
        <f t="shared" si="12"/>
        <v>434851.59471925767</v>
      </c>
      <c r="H212" s="7">
        <f t="shared" si="12"/>
        <v>449952.92232596659</v>
      </c>
      <c r="I212" s="7">
        <f t="shared" si="12"/>
        <v>465422.42434563156</v>
      </c>
      <c r="J212" s="7">
        <f t="shared" si="12"/>
        <v>481263.75851284084</v>
      </c>
      <c r="K212" s="7">
        <f t="shared" si="12"/>
        <v>497480.47052788618</v>
      </c>
      <c r="L212" s="7">
        <f t="shared" si="12"/>
        <v>514075.99098241521</v>
      </c>
      <c r="M212" s="7">
        <f t="shared" si="12"/>
        <v>531053.6323928074</v>
      </c>
      <c r="N212" s="7">
        <f t="shared" si="12"/>
        <v>548416.58634439961</v>
      </c>
      <c r="O212" s="7">
        <f t="shared" si="12"/>
        <v>566167.9207494799</v>
      </c>
      <c r="P212" s="7">
        <f t="shared" si="12"/>
        <v>584310.57722175913</v>
      </c>
      <c r="Q212" s="7">
        <f t="shared" si="12"/>
        <v>602847.36856981728</v>
      </c>
      <c r="R212" s="7">
        <f t="shared" si="12"/>
        <v>621780.97641181061</v>
      </c>
      <c r="S212" s="7">
        <f t="shared" si="12"/>
        <v>641113.94891351147</v>
      </c>
      <c r="T212" s="7">
        <f t="shared" si="12"/>
        <v>660848.69865153951</v>
      </c>
      <c r="U212" s="7">
        <f t="shared" si="12"/>
        <v>680987.50060343009</v>
      </c>
      <c r="V212" s="7">
        <f t="shared" si="12"/>
        <v>701532.49026597454</v>
      </c>
      <c r="W212" s="7">
        <f t="shared" si="12"/>
        <v>722485.66190305341</v>
      </c>
      <c r="X212" s="7">
        <f t="shared" si="12"/>
        <v>743848.86692397727</v>
      </c>
      <c r="Y212" s="7">
        <f t="shared" si="12"/>
        <v>765623.81239314156</v>
      </c>
      <c r="Z212" s="7">
        <f t="shared" si="12"/>
        <v>787812.05967159523</v>
      </c>
      <c r="AA212" s="7">
        <f t="shared" si="12"/>
        <v>810415.02319092443</v>
      </c>
      <c r="AB212" s="7">
        <f t="shared" si="12"/>
        <v>833433.96935965051</v>
      </c>
      <c r="AC212" s="7">
        <f t="shared" si="12"/>
        <v>856870.01560215</v>
      </c>
      <c r="AD212" s="7">
        <f t="shared" si="12"/>
        <v>880724.12952990783</v>
      </c>
      <c r="AE212" s="7">
        <f t="shared" si="12"/>
        <v>904997.12824473437</v>
      </c>
      <c r="AF212" s="7">
        <f t="shared" si="12"/>
        <v>929689.67777338868</v>
      </c>
      <c r="AG212" s="7">
        <f t="shared" si="12"/>
        <v>954802.2926328748</v>
      </c>
      <c r="AH212" s="7">
        <f t="shared" si="12"/>
        <v>980335.33552550711</v>
      </c>
      <c r="AI212" s="7">
        <f t="shared" si="12"/>
        <v>1006289.0171626674</v>
      </c>
      <c r="AJ212" s="7">
        <f t="shared" si="12"/>
        <v>1032663.3962160215</v>
      </c>
      <c r="AK212" s="7">
        <f t="shared" si="12"/>
        <v>1059458.379394799</v>
      </c>
      <c r="AL212" s="7">
        <f t="shared" si="12"/>
        <v>1086673.7216475946</v>
      </c>
      <c r="AM212" s="7">
        <f t="shared" si="12"/>
        <v>1114309.0264870031</v>
      </c>
      <c r="AN212" s="7">
        <f t="shared" si="12"/>
        <v>1142363.7464352569</v>
      </c>
      <c r="AO212" s="7">
        <f t="shared" si="12"/>
        <v>1170837.1835889104</v>
      </c>
      <c r="AP212" s="7">
        <f t="shared" si="12"/>
        <v>1199728.49030048</v>
      </c>
      <c r="AQ212" s="7">
        <f t="shared" si="12"/>
        <v>1229036.6699748361</v>
      </c>
      <c r="AR212" s="7">
        <f t="shared" si="12"/>
        <v>1258760.5779780238</v>
      </c>
      <c r="AS212" s="7">
        <f t="shared" si="12"/>
        <v>1288898.922656086</v>
      </c>
      <c r="AT212" s="7">
        <f t="shared" si="12"/>
        <v>1319450.2664613589</v>
      </c>
      <c r="AU212" s="7">
        <f t="shared" si="12"/>
        <v>1350413.0271836144</v>
      </c>
      <c r="AV212" s="7">
        <f t="shared" si="12"/>
        <v>1381785.4792833438</v>
      </c>
      <c r="AW212" s="7">
        <f t="shared" si="12"/>
        <v>1413565.7553243819</v>
      </c>
      <c r="AX212" s="7">
        <f t="shared" si="12"/>
        <v>1445751.8475030102</v>
      </c>
      <c r="AY212" s="7">
        <f t="shared" si="12"/>
        <v>1478341.6092705983</v>
      </c>
      <c r="AZ212" s="7">
        <f t="shared" si="12"/>
        <v>1511332.7570467868</v>
      </c>
      <c r="BA212" s="7">
        <f t="shared" si="12"/>
        <v>1544722.8720201536</v>
      </c>
      <c r="BB212" s="7">
        <f t="shared" si="12"/>
        <v>1578509.4020332617</v>
      </c>
      <c r="BC212" s="7">
        <f t="shared" si="12"/>
        <v>1612689.6635489364</v>
      </c>
      <c r="BD212" s="7">
        <f t="shared" si="12"/>
        <v>1647260.8436945842</v>
      </c>
      <c r="BE212" s="7">
        <f t="shared" si="12"/>
        <v>1682220.0023813378</v>
      </c>
      <c r="BF212" s="7">
        <f t="shared" si="12"/>
        <v>1717564.0744947777</v>
      </c>
      <c r="BG212" s="7">
        <f t="shared" si="12"/>
        <v>1753289.8721539653</v>
      </c>
      <c r="BH212" s="7">
        <f t="shared" si="12"/>
        <v>1789394.0870355037</v>
      </c>
      <c r="BI212" s="7">
        <f t="shared" si="12"/>
        <v>1825873.29275934</v>
      </c>
      <c r="BJ212" s="7">
        <f t="shared" si="12"/>
        <v>1862723.9473330053</v>
      </c>
      <c r="BK212" s="7">
        <f t="shared" si="12"/>
        <v>1899942.3956509999</v>
      </c>
      <c r="BL212" s="7">
        <f t="shared" si="12"/>
        <v>1937524.8720460336</v>
      </c>
      <c r="BM212" s="7">
        <f t="shared" si="12"/>
        <v>1975467.5028888364</v>
      </c>
      <c r="BN212" s="7">
        <f t="shared" si="12"/>
        <v>2013766.3092332748</v>
      </c>
      <c r="BO212" s="7">
        <f t="shared" si="12"/>
        <v>2052417.2095035252</v>
      </c>
      <c r="BP212" s="7">
        <f t="shared" si="11"/>
        <v>2091416.0222200777</v>
      </c>
      <c r="BQ212" s="7">
        <f t="shared" si="11"/>
        <v>2130758.4687613738</v>
      </c>
      <c r="BR212" s="7">
        <f t="shared" si="11"/>
        <v>2170440.1761579085</v>
      </c>
      <c r="BS212" s="7">
        <f t="shared" si="11"/>
        <v>2210456.6799156652</v>
      </c>
      <c r="BT212" s="7">
        <f t="shared" si="7"/>
        <v>2250803.4268657872</v>
      </c>
      <c r="BU212" s="7">
        <f t="shared" si="7"/>
        <v>2291475.7780374326</v>
      </c>
      <c r="BV212" s="7"/>
      <c r="BW212" s="7"/>
      <c r="BX212" s="7"/>
      <c r="BY212" s="7"/>
      <c r="BZ212" s="7"/>
      <c r="CA212" s="7"/>
      <c r="CB212" s="7"/>
      <c r="CC212" s="7"/>
      <c r="CD212" s="7"/>
      <c r="CE212" s="7"/>
      <c r="CF212" s="7"/>
      <c r="CG212" s="7"/>
      <c r="CH212" s="7"/>
      <c r="CI212" s="7"/>
      <c r="CJ212" s="7"/>
      <c r="CK212" s="7"/>
      <c r="CL212" s="7"/>
      <c r="CM212" s="7"/>
      <c r="CN212" s="7"/>
      <c r="CO212" s="7"/>
      <c r="CP212" s="7"/>
      <c r="CQ212" s="7"/>
      <c r="CR212" s="7"/>
      <c r="CS212" s="7"/>
      <c r="CT212" s="7"/>
      <c r="CU212" s="7"/>
      <c r="CV212" s="7"/>
      <c r="CW212" s="7"/>
      <c r="CX212" s="7"/>
      <c r="CY212" s="7"/>
      <c r="CZ212" s="7"/>
      <c r="DA212" s="7"/>
      <c r="DB212" s="7"/>
      <c r="DC212" s="7"/>
      <c r="DD212" s="7"/>
      <c r="DE212" s="7"/>
      <c r="DF212" s="7"/>
      <c r="DG212" s="7"/>
      <c r="DH212" s="7"/>
      <c r="DI212" s="7"/>
      <c r="DJ212" s="7"/>
      <c r="DK212" s="7"/>
      <c r="DL212" s="7"/>
      <c r="DM212" s="7"/>
      <c r="DN212" s="7"/>
      <c r="DO212" s="7"/>
      <c r="DP212" s="7"/>
      <c r="DQ212" s="7"/>
      <c r="DR212" s="7"/>
      <c r="DS212" s="7"/>
      <c r="DT212" s="7"/>
      <c r="DU212" s="7"/>
    </row>
    <row r="213" spans="1:125" x14ac:dyDescent="0.25">
      <c r="A213" t="str">
        <f>'storage capacity'!Q16</f>
        <v>France</v>
      </c>
      <c r="C213" s="7">
        <f t="shared" si="9"/>
        <v>3845393.1333333254</v>
      </c>
      <c r="D213" s="7">
        <f t="shared" si="12"/>
        <v>3976520.9472278063</v>
      </c>
      <c r="E213" s="7">
        <f t="shared" si="12"/>
        <v>4110764.2237483948</v>
      </c>
      <c r="F213" s="7">
        <f t="shared" si="12"/>
        <v>4248151.663941931</v>
      </c>
      <c r="G213" s="7">
        <f t="shared" si="12"/>
        <v>4388710.9916937407</v>
      </c>
      <c r="H213" s="7">
        <f t="shared" si="12"/>
        <v>4532468.9298121436</v>
      </c>
      <c r="I213" s="7">
        <f t="shared" si="12"/>
        <v>4679451.1770544518</v>
      </c>
      <c r="J213" s="7">
        <f t="shared" si="12"/>
        <v>4829682.3861173028</v>
      </c>
      <c r="K213" s="7">
        <f t="shared" si="12"/>
        <v>4983186.1426124293</v>
      </c>
      <c r="L213" s="7">
        <f t="shared" si="12"/>
        <v>5139984.9450471811</v>
      </c>
      <c r="M213" s="7">
        <f t="shared" si="12"/>
        <v>5300100.1858273698</v>
      </c>
      <c r="N213" s="7">
        <f t="shared" si="12"/>
        <v>5463552.1332982071</v>
      </c>
      <c r="O213" s="7">
        <f t="shared" si="12"/>
        <v>5630359.9148373529</v>
      </c>
      <c r="P213" s="7">
        <f t="shared" si="12"/>
        <v>5800541.5010123253</v>
      </c>
      <c r="Q213" s="7">
        <f t="shared" si="12"/>
        <v>5974113.6908127544</v>
      </c>
      <c r="R213" s="7">
        <f t="shared" si="12"/>
        <v>6151092.0979662286</v>
      </c>
      <c r="S213" s="7">
        <f t="shared" si="12"/>
        <v>6331491.1383447582</v>
      </c>
      <c r="T213" s="7">
        <f t="shared" si="12"/>
        <v>6515324.0184671693</v>
      </c>
      <c r="U213" s="7">
        <f t="shared" si="12"/>
        <v>6702602.7251010509</v>
      </c>
      <c r="V213" s="7">
        <f t="shared" si="12"/>
        <v>6893338.0159662375</v>
      </c>
      <c r="W213" s="7">
        <f t="shared" si="12"/>
        <v>7087539.4115401739</v>
      </c>
      <c r="X213" s="7">
        <f t="shared" si="12"/>
        <v>7285215.1879639011</v>
      </c>
      <c r="Y213" s="7">
        <f t="shared" si="12"/>
        <v>7486372.3710458549</v>
      </c>
      <c r="Z213" s="7">
        <f t="shared" si="12"/>
        <v>7691016.7313591428</v>
      </c>
      <c r="AA213" s="7">
        <f t="shared" si="12"/>
        <v>7899152.7804264734</v>
      </c>
      <c r="AB213" s="7">
        <f t="shared" si="12"/>
        <v>8110783.7679854585</v>
      </c>
      <c r="AC213" s="7">
        <f t="shared" si="12"/>
        <v>8325911.6803256273</v>
      </c>
      <c r="AD213" s="7">
        <f t="shared" si="12"/>
        <v>8544537.2396871168</v>
      </c>
      <c r="AE213" s="7">
        <f t="shared" si="12"/>
        <v>8766659.9047096986</v>
      </c>
      <c r="AF213" s="7">
        <f t="shared" si="12"/>
        <v>8992277.8719195295</v>
      </c>
      <c r="AG213" s="7">
        <f t="shared" si="12"/>
        <v>9221388.0782398302</v>
      </c>
      <c r="AH213" s="7">
        <f t="shared" si="12"/>
        <v>9453986.2045104709</v>
      </c>
      <c r="AI213" s="7">
        <f t="shared" si="12"/>
        <v>9690066.6800004039</v>
      </c>
      <c r="AJ213" s="7">
        <f t="shared" si="12"/>
        <v>9929622.6878957525</v>
      </c>
      <c r="AK213" s="7">
        <f t="shared" si="12"/>
        <v>10172646.171745408</v>
      </c>
      <c r="AL213" s="7">
        <f t="shared" si="12"/>
        <v>10419127.842845021</v>
      </c>
      <c r="AM213" s="7">
        <f t="shared" si="12"/>
        <v>10669057.188539315</v>
      </c>
      <c r="AN213" s="7">
        <f t="shared" si="12"/>
        <v>10922422.481421905</v>
      </c>
      <c r="AO213" s="7">
        <f t="shared" si="12"/>
        <v>11179210.789410906</v>
      </c>
      <c r="AP213" s="7">
        <f t="shared" si="12"/>
        <v>11439407.986677954</v>
      </c>
      <c r="AQ213" s="7">
        <f t="shared" si="12"/>
        <v>11702998.765407503</v>
      </c>
      <c r="AR213" s="7">
        <f t="shared" si="12"/>
        <v>11969966.648362707</v>
      </c>
      <c r="AS213" s="7">
        <f t="shared" si="12"/>
        <v>12240294.002233539</v>
      </c>
      <c r="AT213" s="7">
        <f t="shared" si="12"/>
        <v>12513962.051742317</v>
      </c>
      <c r="AU213" s="7">
        <f t="shared" si="12"/>
        <v>12790950.894481327</v>
      </c>
      <c r="AV213" s="7">
        <f t="shared" si="12"/>
        <v>13071239.516456779</v>
      </c>
      <c r="AW213" s="7">
        <f t="shared" si="12"/>
        <v>13354805.808312992</v>
      </c>
      <c r="AX213" s="7">
        <f t="shared" si="12"/>
        <v>13641626.582210351</v>
      </c>
      <c r="AY213" s="7">
        <f t="shared" si="12"/>
        <v>13931677.589330342</v>
      </c>
      <c r="AZ213" s="7">
        <f t="shared" si="12"/>
        <v>14224933.537980676</v>
      </c>
      <c r="BA213" s="7">
        <f t="shared" si="12"/>
        <v>14521368.11227341</v>
      </c>
      <c r="BB213" s="7">
        <f t="shared" si="12"/>
        <v>14820953.991348786</v>
      </c>
      <c r="BC213" s="7">
        <f t="shared" si="12"/>
        <v>15123662.869117426</v>
      </c>
      <c r="BD213" s="7">
        <f t="shared" si="12"/>
        <v>15429465.474493487</v>
      </c>
      <c r="BE213" s="7">
        <f t="shared" si="12"/>
        <v>15738331.592091367</v>
      </c>
      <c r="BF213" s="7">
        <f t="shared" si="12"/>
        <v>16050230.083358582</v>
      </c>
      <c r="BG213" s="7">
        <f t="shared" si="12"/>
        <v>16365128.908117538</v>
      </c>
      <c r="BH213" s="7">
        <f t="shared" si="12"/>
        <v>16682995.146488965</v>
      </c>
      <c r="BI213" s="7">
        <f t="shared" si="12"/>
        <v>17003795.021170016</v>
      </c>
      <c r="BJ213" s="7">
        <f t="shared" si="12"/>
        <v>17327493.920040175</v>
      </c>
      <c r="BK213" s="7">
        <f t="shared" si="12"/>
        <v>17654056.419068307</v>
      </c>
      <c r="BL213" s="7">
        <f t="shared" si="12"/>
        <v>17983446.305494502</v>
      </c>
      <c r="BM213" s="7">
        <f t="shared" si="12"/>
        <v>18315626.601260588</v>
      </c>
      <c r="BN213" s="7">
        <f t="shared" si="12"/>
        <v>18650559.586663511</v>
      </c>
      <c r="BO213" s="7">
        <f t="shared" ref="BO213:BS216" si="13">VLOOKUP($A213,$A$2:$BU$196,BO$198,FALSE)</f>
        <v>18988206.824206166</v>
      </c>
      <c r="BP213" s="7">
        <f t="shared" si="13"/>
        <v>19328529.182620529</v>
      </c>
      <c r="BQ213" s="7">
        <f t="shared" si="13"/>
        <v>19671486.861038458</v>
      </c>
      <c r="BR213" s="7">
        <f t="shared" si="13"/>
        <v>20017039.413285788</v>
      </c>
      <c r="BS213" s="7">
        <f t="shared" si="13"/>
        <v>20365145.772275973</v>
      </c>
      <c r="BT213" s="7">
        <f t="shared" si="7"/>
        <v>20715764.274479762</v>
      </c>
      <c r="BU213" s="7">
        <f t="shared" si="7"/>
        <v>21068852.684448063</v>
      </c>
      <c r="BV213" s="7"/>
      <c r="BW213" s="7"/>
      <c r="BX213" s="7"/>
      <c r="BY213" s="7"/>
      <c r="BZ213" s="7"/>
      <c r="CA213" s="7"/>
      <c r="CB213" s="7"/>
      <c r="CC213" s="7"/>
      <c r="CD213" s="7"/>
      <c r="CE213" s="7"/>
      <c r="CF213" s="7"/>
      <c r="CG213" s="7"/>
      <c r="CH213" s="7"/>
      <c r="CI213" s="7"/>
      <c r="CJ213" s="7"/>
      <c r="CK213" s="7"/>
      <c r="CL213" s="7"/>
      <c r="CM213" s="7"/>
      <c r="CN213" s="7"/>
      <c r="CO213" s="7"/>
      <c r="CP213" s="7"/>
      <c r="CQ213" s="7"/>
      <c r="CR213" s="7"/>
      <c r="CS213" s="7"/>
      <c r="CT213" s="7"/>
      <c r="CU213" s="7"/>
      <c r="CV213" s="7"/>
      <c r="CW213" s="7"/>
      <c r="CX213" s="7"/>
      <c r="CY213" s="7"/>
      <c r="CZ213" s="7"/>
      <c r="DA213" s="7"/>
      <c r="DB213" s="7"/>
      <c r="DC213" s="7"/>
      <c r="DD213" s="7"/>
      <c r="DE213" s="7"/>
      <c r="DF213" s="7"/>
      <c r="DG213" s="7"/>
      <c r="DH213" s="7"/>
      <c r="DI213" s="7"/>
      <c r="DJ213" s="7"/>
      <c r="DK213" s="7"/>
      <c r="DL213" s="7"/>
      <c r="DM213" s="7"/>
      <c r="DN213" s="7"/>
      <c r="DO213" s="7"/>
      <c r="DP213" s="7"/>
      <c r="DQ213" s="7"/>
      <c r="DR213" s="7"/>
      <c r="DS213" s="7"/>
      <c r="DT213" s="7"/>
      <c r="DU213" s="7"/>
    </row>
    <row r="214" spans="1:125" x14ac:dyDescent="0.25">
      <c r="A214" t="str">
        <f>'storage capacity'!Q17</f>
        <v>Germany</v>
      </c>
      <c r="C214" s="7">
        <f t="shared" si="9"/>
        <v>5784681.9333333373</v>
      </c>
      <c r="D214" s="7">
        <f t="shared" ref="D214:BO217" si="14">VLOOKUP($A214,$A$2:$BU$196,D$198,FALSE)</f>
        <v>6010213.5472328039</v>
      </c>
      <c r="E214" s="7">
        <f t="shared" si="14"/>
        <v>6242194.8808724731</v>
      </c>
      <c r="F214" s="7">
        <f t="shared" si="14"/>
        <v>6480720.8425715417</v>
      </c>
      <c r="G214" s="7">
        <f t="shared" si="14"/>
        <v>6725884.9233105425</v>
      </c>
      <c r="H214" s="7">
        <f t="shared" si="14"/>
        <v>6977779.1153443083</v>
      </c>
      <c r="I214" s="7">
        <f t="shared" si="14"/>
        <v>7236493.8319899151</v>
      </c>
      <c r="J214" s="7">
        <f t="shared" si="14"/>
        <v>7502117.8286943426</v>
      </c>
      <c r="K214" s="7">
        <f t="shared" si="14"/>
        <v>7774738.1254836768</v>
      </c>
      <c r="L214" s="7">
        <f t="shared" si="14"/>
        <v>8054439.9308926202</v>
      </c>
      <c r="M214" s="7">
        <f t="shared" si="14"/>
        <v>8341306.5674698493</v>
      </c>
      <c r="N214" s="7">
        <f t="shared" si="14"/>
        <v>8635419.3989514057</v>
      </c>
      <c r="O214" s="7">
        <f t="shared" si="14"/>
        <v>8936857.7591907494</v>
      </c>
      <c r="P214" s="7">
        <f t="shared" si="14"/>
        <v>9245698.8829305358</v>
      </c>
      <c r="Q214" s="7">
        <f t="shared" si="14"/>
        <v>9562017.8384973407</v>
      </c>
      <c r="R214" s="7">
        <f t="shared" si="14"/>
        <v>9885887.4624967854</v>
      </c>
      <c r="S214" s="7">
        <f t="shared" si="14"/>
        <v>10217378.296582488</v>
      </c>
      <c r="T214" s="7">
        <f t="shared" si="14"/>
        <v>10556558.52636829</v>
      </c>
      <c r="U214" s="7">
        <f t="shared" si="14"/>
        <v>10903493.922549061</v>
      </c>
      <c r="V214" s="7">
        <f t="shared" si="14"/>
        <v>11258247.784291239</v>
      </c>
      <c r="W214" s="7">
        <f t="shared" si="14"/>
        <v>11620880.88495004</v>
      </c>
      <c r="X214" s="7">
        <f t="shared" si="14"/>
        <v>11991451.420166031</v>
      </c>
      <c r="Y214" s="7">
        <f t="shared" si="14"/>
        <v>12370014.958389454</v>
      </c>
      <c r="Z214" s="7">
        <f t="shared" si="14"/>
        <v>12756624.393876381</v>
      </c>
      <c r="AA214" s="7">
        <f t="shared" si="14"/>
        <v>13151329.902196532</v>
      </c>
      <c r="AB214" s="7">
        <f t="shared" si="14"/>
        <v>13554178.898288166</v>
      </c>
      <c r="AC214" s="7">
        <f t="shared" si="14"/>
        <v>13965215.997091286</v>
      </c>
      <c r="AD214" s="7">
        <f t="shared" si="14"/>
        <v>14384482.976786014</v>
      </c>
      <c r="AE214" s="7">
        <f t="shared" si="14"/>
        <v>14812018.744658805</v>
      </c>
      <c r="AF214" s="7">
        <f t="shared" si="14"/>
        <v>15247859.305614945</v>
      </c>
      <c r="AG214" s="7">
        <f t="shared" si="14"/>
        <v>15692037.733351581</v>
      </c>
      <c r="AH214" s="7">
        <f t="shared" si="14"/>
        <v>16144584.144201474</v>
      </c>
      <c r="AI214" s="7">
        <f t="shared" si="14"/>
        <v>16605525.673653582</v>
      </c>
      <c r="AJ214" s="7">
        <f t="shared" si="14"/>
        <v>17074886.455552571</v>
      </c>
      <c r="AK214" s="7">
        <f t="shared" si="14"/>
        <v>17552687.603975523</v>
      </c>
      <c r="AL214" s="7">
        <f t="shared" si="14"/>
        <v>18038947.197780196</v>
      </c>
      <c r="AM214" s="7">
        <f t="shared" si="14"/>
        <v>18533680.26781553</v>
      </c>
      <c r="AN214" s="7">
        <f t="shared" si="14"/>
        <v>19036898.786781386</v>
      </c>
      <c r="AO214" s="7">
        <f t="shared" si="14"/>
        <v>19548611.66172098</v>
      </c>
      <c r="AP214" s="7">
        <f t="shared" si="14"/>
        <v>20068824.729126081</v>
      </c>
      <c r="AQ214" s="7">
        <f t="shared" si="14"/>
        <v>20597540.752631586</v>
      </c>
      <c r="AR214" s="7">
        <f t="shared" si="14"/>
        <v>21134759.423273005</v>
      </c>
      <c r="AS214" s="7">
        <f t="shared" si="14"/>
        <v>21680477.362277146</v>
      </c>
      <c r="AT214" s="7">
        <f t="shared" si="14"/>
        <v>22234688.126353409</v>
      </c>
      <c r="AU214" s="7">
        <f t="shared" si="14"/>
        <v>22797382.215450134</v>
      </c>
      <c r="AV214" s="7">
        <f t="shared" si="14"/>
        <v>23368547.08293777</v>
      </c>
      <c r="AW214" s="7">
        <f t="shared" si="14"/>
        <v>23948167.148177952</v>
      </c>
      <c r="AX214" s="7">
        <f t="shared" si="14"/>
        <v>24536223.81143517</v>
      </c>
      <c r="AY214" s="7">
        <f t="shared" si="14"/>
        <v>25132695.471085202</v>
      </c>
      <c r="AZ214" s="7">
        <f t="shared" si="14"/>
        <v>25737557.543072384</v>
      </c>
      <c r="BA214" s="7">
        <f t="shared" si="14"/>
        <v>26350782.482565615</v>
      </c>
      <c r="BB214" s="7">
        <f t="shared" si="14"/>
        <v>26972339.807761062</v>
      </c>
      <c r="BC214" s="7">
        <f t="shared" si="14"/>
        <v>27602196.125777576</v>
      </c>
      <c r="BD214" s="7">
        <f t="shared" si="14"/>
        <v>28240315.160589308</v>
      </c>
      <c r="BE214" s="7">
        <f t="shared" si="14"/>
        <v>28886657.782938205</v>
      </c>
      <c r="BF214" s="7">
        <f t="shared" si="14"/>
        <v>29541182.042167846</v>
      </c>
      <c r="BG214" s="7">
        <f t="shared" si="14"/>
        <v>30203843.199918501</v>
      </c>
      <c r="BH214" s="7">
        <f t="shared" si="14"/>
        <v>30874593.765622314</v>
      </c>
      <c r="BI214" s="7">
        <f t="shared" si="14"/>
        <v>31553383.533736341</v>
      </c>
      <c r="BJ214" s="7">
        <f t="shared" si="14"/>
        <v>32240159.622650158</v>
      </c>
      <c r="BK214" s="7">
        <f t="shared" si="14"/>
        <v>32934866.515204102</v>
      </c>
      <c r="BL214" s="7">
        <f t="shared" si="14"/>
        <v>33637446.100753307</v>
      </c>
      <c r="BM214" s="7">
        <f t="shared" si="14"/>
        <v>34347837.718712233</v>
      </c>
      <c r="BN214" s="7">
        <f t="shared" si="14"/>
        <v>35065978.203513831</v>
      </c>
      <c r="BO214" s="7">
        <f t="shared" si="14"/>
        <v>35791801.930917226</v>
      </c>
      <c r="BP214" s="7">
        <f t="shared" si="13"/>
        <v>36525240.865597375</v>
      </c>
      <c r="BQ214" s="7">
        <f t="shared" si="13"/>
        <v>37266224.6099502</v>
      </c>
      <c r="BR214" s="7">
        <f t="shared" si="13"/>
        <v>38014680.454046473</v>
      </c>
      <c r="BS214" s="7">
        <f t="shared" si="13"/>
        <v>38770533.426667951</v>
      </c>
      <c r="BT214" s="7">
        <f t="shared" si="7"/>
        <v>39533706.347359248</v>
      </c>
      <c r="BU214" s="7">
        <f t="shared" si="7"/>
        <v>40304119.879429251</v>
      </c>
      <c r="BV214" s="7"/>
      <c r="BW214" s="7"/>
      <c r="BX214" s="7"/>
      <c r="BY214" s="7"/>
      <c r="BZ214" s="7"/>
      <c r="CA214" s="7"/>
      <c r="CB214" s="7"/>
      <c r="CC214" s="7"/>
      <c r="CD214" s="7"/>
      <c r="CE214" s="7"/>
      <c r="CF214" s="7"/>
      <c r="CG214" s="7"/>
      <c r="CH214" s="7"/>
      <c r="CI214" s="7"/>
      <c r="CJ214" s="7"/>
      <c r="CK214" s="7"/>
      <c r="CL214" s="7"/>
      <c r="CM214" s="7"/>
      <c r="CN214" s="7"/>
      <c r="CO214" s="7"/>
      <c r="CP214" s="7"/>
      <c r="CQ214" s="7"/>
      <c r="CR214" s="7"/>
      <c r="CS214" s="7"/>
      <c r="CT214" s="7"/>
      <c r="CU214" s="7"/>
      <c r="CV214" s="7"/>
      <c r="CW214" s="7"/>
      <c r="CX214" s="7"/>
      <c r="CY214" s="7"/>
      <c r="CZ214" s="7"/>
      <c r="DA214" s="7"/>
      <c r="DB214" s="7"/>
      <c r="DC214" s="7"/>
      <c r="DD214" s="7"/>
      <c r="DE214" s="7"/>
      <c r="DF214" s="7"/>
      <c r="DG214" s="7"/>
      <c r="DH214" s="7"/>
      <c r="DI214" s="7"/>
      <c r="DJ214" s="7"/>
      <c r="DK214" s="7"/>
      <c r="DL214" s="7"/>
      <c r="DM214" s="7"/>
      <c r="DN214" s="7"/>
      <c r="DO214" s="7"/>
      <c r="DP214" s="7"/>
      <c r="DQ214" s="7"/>
      <c r="DR214" s="7"/>
      <c r="DS214" s="7"/>
      <c r="DT214" s="7"/>
      <c r="DU214" s="7"/>
    </row>
    <row r="215" spans="1:125" x14ac:dyDescent="0.25">
      <c r="A215" t="str">
        <f>'storage capacity'!Q18</f>
        <v>Iceland</v>
      </c>
      <c r="C215" s="7">
        <f t="shared" si="9"/>
        <v>49642.066666666418</v>
      </c>
      <c r="D215" s="7">
        <f t="shared" si="14"/>
        <v>53481.233675091855</v>
      </c>
      <c r="E215" s="7">
        <f t="shared" si="14"/>
        <v>57575.949460823693</v>
      </c>
      <c r="F215" s="7">
        <f t="shared" si="14"/>
        <v>61940.089208652258</v>
      </c>
      <c r="G215" s="7">
        <f t="shared" si="14"/>
        <v>66588.072537674423</v>
      </c>
      <c r="H215" s="7">
        <f t="shared" si="14"/>
        <v>71534.87278402214</v>
      </c>
      <c r="I215" s="7">
        <f t="shared" si="14"/>
        <v>76796.025805821031</v>
      </c>
      <c r="J215" s="7">
        <f t="shared" si="14"/>
        <v>82387.638277206846</v>
      </c>
      <c r="K215" s="7">
        <f t="shared" si="14"/>
        <v>88326.395438615786</v>
      </c>
      <c r="L215" s="7">
        <f t="shared" si="14"/>
        <v>94629.568271058321</v>
      </c>
      <c r="M215" s="7">
        <f t="shared" si="14"/>
        <v>101315.02006268682</v>
      </c>
      <c r="N215" s="7">
        <f t="shared" si="14"/>
        <v>108401.21233667275</v>
      </c>
      <c r="O215" s="7">
        <f t="shared" si="14"/>
        <v>115907.21011021908</v>
      </c>
      <c r="P215" s="7">
        <f t="shared" si="14"/>
        <v>123852.6864554466</v>
      </c>
      <c r="Q215" s="7">
        <f t="shared" si="14"/>
        <v>132257.92633390598</v>
      </c>
      <c r="R215" s="7">
        <f t="shared" si="14"/>
        <v>141143.82967757992</v>
      </c>
      <c r="S215" s="7">
        <f t="shared" si="14"/>
        <v>150531.91369044658</v>
      </c>
      <c r="T215" s="7">
        <f t="shared" si="14"/>
        <v>160444.31434597666</v>
      </c>
      <c r="U215" s="7">
        <f t="shared" si="14"/>
        <v>170903.78705732417</v>
      </c>
      <c r="V215" s="7">
        <f t="shared" si="14"/>
        <v>181933.70649844574</v>
      </c>
      <c r="W215" s="7">
        <f t="shared" si="14"/>
        <v>193558.06555593773</v>
      </c>
      <c r="X215" s="7">
        <f t="shared" si="14"/>
        <v>205801.47339301088</v>
      </c>
      <c r="Y215" s="7">
        <f t="shared" si="14"/>
        <v>218689.15260872443</v>
      </c>
      <c r="Z215" s="7">
        <f t="shared" si="14"/>
        <v>232246.93547736955</v>
      </c>
      <c r="AA215" s="7">
        <f t="shared" si="14"/>
        <v>246501.25925472064</v>
      </c>
      <c r="AB215" s="7">
        <f t="shared" si="14"/>
        <v>261479.1605397565</v>
      </c>
      <c r="AC215" s="7">
        <f t="shared" si="14"/>
        <v>277208.26868238638</v>
      </c>
      <c r="AD215" s="7">
        <f t="shared" si="14"/>
        <v>293716.79822969134</v>
      </c>
      <c r="AE215" s="7">
        <f t="shared" si="14"/>
        <v>311033.54040520551</v>
      </c>
      <c r="AF215" s="7">
        <f t="shared" si="14"/>
        <v>329187.85361780244</v>
      </c>
      <c r="AG215" s="7">
        <f t="shared" si="14"/>
        <v>348209.65299882344</v>
      </c>
      <c r="AH215" s="7">
        <f t="shared" si="14"/>
        <v>368129.39896816609</v>
      </c>
      <c r="AI215" s="7">
        <f t="shared" si="14"/>
        <v>388978.08483215119</v>
      </c>
      <c r="AJ215" s="7">
        <f t="shared" si="14"/>
        <v>410787.22341808607</v>
      </c>
      <c r="AK215" s="7">
        <f t="shared" si="14"/>
        <v>433588.8327525428</v>
      </c>
      <c r="AL215" s="7">
        <f t="shared" si="14"/>
        <v>457415.42079246085</v>
      </c>
      <c r="AM215" s="7">
        <f t="shared" si="14"/>
        <v>482299.96922026208</v>
      </c>
      <c r="AN215" s="7">
        <f t="shared" si="14"/>
        <v>508275.91631622106</v>
      </c>
      <c r="AO215" s="7">
        <f t="shared" si="14"/>
        <v>535377.13892336376</v>
      </c>
      <c r="AP215" s="7">
        <f t="shared" si="14"/>
        <v>563637.93352216436</v>
      </c>
      <c r="AQ215" s="7">
        <f t="shared" si="14"/>
        <v>593092.9964342661</v>
      </c>
      <c r="AR215" s="7">
        <f t="shared" si="14"/>
        <v>623777.40317636682</v>
      </c>
      <c r="AS215" s="7">
        <f t="shared" si="14"/>
        <v>655726.58698727225</v>
      </c>
      <c r="AT215" s="7">
        <f t="shared" si="14"/>
        <v>688976.31655292679</v>
      </c>
      <c r="AU215" s="7">
        <f t="shared" si="14"/>
        <v>723562.67295598146</v>
      </c>
      <c r="AV215" s="7">
        <f t="shared" si="14"/>
        <v>759522.02587813837</v>
      </c>
      <c r="AW215" s="7">
        <f t="shared" si="14"/>
        <v>796891.00908512785</v>
      </c>
      <c r="AX215" s="7">
        <f t="shared" si="14"/>
        <v>835706.49522571033</v>
      </c>
      <c r="AY215" s="7">
        <f t="shared" si="14"/>
        <v>876005.5699775595</v>
      </c>
      <c r="AZ215" s="7">
        <f t="shared" si="14"/>
        <v>917825.5055742634</v>
      </c>
      <c r="BA215" s="7">
        <f t="shared" si="14"/>
        <v>961203.73374897696</v>
      </c>
      <c r="BB215" s="7">
        <f t="shared" si="14"/>
        <v>1006177.818131469</v>
      </c>
      <c r="BC215" s="7">
        <f t="shared" si="14"/>
        <v>1052785.4261364245</v>
      </c>
      <c r="BD215" s="7">
        <f t="shared" si="14"/>
        <v>1101064.3003818935</v>
      </c>
      <c r="BE215" s="7">
        <f t="shared" si="14"/>
        <v>1151052.2296777063</v>
      </c>
      <c r="BF215" s="7">
        <f t="shared" si="14"/>
        <v>1202787.0196245154</v>
      </c>
      <c r="BG215" s="7">
        <f t="shared" si="14"/>
        <v>1256306.4628648639</v>
      </c>
      <c r="BH215" s="7">
        <f t="shared" si="14"/>
        <v>1311648.3090283195</v>
      </c>
      <c r="BI215" s="7">
        <f t="shared" si="14"/>
        <v>1368850.2344132597</v>
      </c>
      <c r="BJ215" s="7">
        <f t="shared" si="14"/>
        <v>1427949.8114483343</v>
      </c>
      <c r="BK215" s="7">
        <f t="shared" si="14"/>
        <v>1488984.4779769799</v>
      </c>
      <c r="BL215" s="7">
        <f t="shared" si="14"/>
        <v>1551991.5064086043</v>
      </c>
      <c r="BM215" s="7">
        <f t="shared" si="14"/>
        <v>1617007.9727802062</v>
      </c>
      <c r="BN215" s="7">
        <f t="shared" si="14"/>
        <v>1684070.7257722483</v>
      </c>
      <c r="BO215" s="7">
        <f t="shared" si="14"/>
        <v>1753216.3557225561</v>
      </c>
      <c r="BP215" s="7">
        <f t="shared" si="13"/>
        <v>1824481.1636818708</v>
      </c>
      <c r="BQ215" s="7">
        <f t="shared" si="13"/>
        <v>1897901.1305544553</v>
      </c>
      <c r="BR215" s="7">
        <f t="shared" si="13"/>
        <v>1973511.8863668272</v>
      </c>
      <c r="BS215" s="7">
        <f t="shared" si="13"/>
        <v>2051348.6797072734</v>
      </c>
      <c r="BT215" s="7">
        <f t="shared" si="7"/>
        <v>2131446.3473783126</v>
      </c>
      <c r="BU215" s="7">
        <f t="shared" si="7"/>
        <v>2213839.2843036763</v>
      </c>
      <c r="BV215" s="7"/>
      <c r="BW215" s="7"/>
      <c r="BX215" s="7"/>
      <c r="BY215" s="7"/>
      <c r="BZ215" s="7"/>
      <c r="CA215" s="7"/>
      <c r="CB215" s="7"/>
      <c r="CC215" s="7"/>
      <c r="CD215" s="7"/>
      <c r="CE215" s="7"/>
      <c r="CF215" s="7"/>
      <c r="CG215" s="7"/>
      <c r="CH215" s="7"/>
      <c r="CI215" s="7"/>
      <c r="CJ215" s="7"/>
      <c r="CK215" s="7"/>
      <c r="CL215" s="7"/>
      <c r="CM215" s="7"/>
      <c r="CN215" s="7"/>
      <c r="CO215" s="7"/>
      <c r="CP215" s="7"/>
      <c r="CQ215" s="7"/>
      <c r="CR215" s="7"/>
      <c r="CS215" s="7"/>
      <c r="CT215" s="7"/>
      <c r="CU215" s="7"/>
      <c r="CV215" s="7"/>
      <c r="CW215" s="7"/>
      <c r="CX215" s="7"/>
      <c r="CY215" s="7"/>
      <c r="CZ215" s="7"/>
      <c r="DA215" s="7"/>
      <c r="DB215" s="7"/>
      <c r="DC215" s="7"/>
      <c r="DD215" s="7"/>
      <c r="DE215" s="7"/>
      <c r="DF215" s="7"/>
      <c r="DG215" s="7"/>
      <c r="DH215" s="7"/>
      <c r="DI215" s="7"/>
      <c r="DJ215" s="7"/>
      <c r="DK215" s="7"/>
      <c r="DL215" s="7"/>
      <c r="DM215" s="7"/>
      <c r="DN215" s="7"/>
      <c r="DO215" s="7"/>
      <c r="DP215" s="7"/>
      <c r="DQ215" s="7"/>
      <c r="DR215" s="7"/>
      <c r="DS215" s="7"/>
      <c r="DT215" s="7"/>
      <c r="DU215" s="7"/>
    </row>
    <row r="216" spans="1:125" x14ac:dyDescent="0.25">
      <c r="A216" t="str">
        <f>'storage capacity'!Q19</f>
        <v>India</v>
      </c>
      <c r="C216" s="7">
        <f t="shared" si="9"/>
        <v>6405675.6666666269</v>
      </c>
      <c r="D216" s="7">
        <f t="shared" si="14"/>
        <v>6977262.140167064</v>
      </c>
      <c r="E216" s="7">
        <f t="shared" si="14"/>
        <v>7593626.0930468263</v>
      </c>
      <c r="F216" s="7">
        <f t="shared" si="14"/>
        <v>8257730.8562564654</v>
      </c>
      <c r="G216" s="7">
        <f t="shared" si="14"/>
        <v>8972693.4241349343</v>
      </c>
      <c r="H216" s="7">
        <f t="shared" si="14"/>
        <v>9741789.5163357221</v>
      </c>
      <c r="I216" s="7">
        <f t="shared" si="14"/>
        <v>10568458.630609062</v>
      </c>
      <c r="J216" s="7">
        <f t="shared" si="14"/>
        <v>11456309.075082567</v>
      </c>
      <c r="K216" s="7">
        <f t="shared" si="14"/>
        <v>12409122.968314812</v>
      </c>
      <c r="L216" s="7">
        <f t="shared" si="14"/>
        <v>13430861.195055431</v>
      </c>
      <c r="M216" s="7">
        <f t="shared" si="14"/>
        <v>14525668.305333422</v>
      </c>
      <c r="N216" s="7">
        <f t="shared" si="14"/>
        <v>15697877.34421416</v>
      </c>
      <c r="O216" s="7">
        <f t="shared" si="14"/>
        <v>16952014.599317171</v>
      </c>
      <c r="P216" s="7">
        <f t="shared" si="14"/>
        <v>18292804.252972532</v>
      </c>
      <c r="Q216" s="7">
        <f t="shared" si="14"/>
        <v>19725172.925715368</v>
      </c>
      <c r="R216" s="7">
        <f t="shared" si="14"/>
        <v>21254254.097676866</v>
      </c>
      <c r="S216" s="7">
        <f t="shared" si="14"/>
        <v>22885392.394327715</v>
      </c>
      <c r="T216" s="7">
        <f t="shared" si="14"/>
        <v>24624147.722966917</v>
      </c>
      <c r="U216" s="7">
        <f t="shared" si="14"/>
        <v>26476299.246326789</v>
      </c>
      <c r="V216" s="7">
        <f t="shared" si="14"/>
        <v>28447849.179684095</v>
      </c>
      <c r="W216" s="7">
        <f t="shared" si="14"/>
        <v>30545026.397928625</v>
      </c>
      <c r="X216" s="7">
        <f t="shared" si="14"/>
        <v>32774289.839144379</v>
      </c>
      <c r="Y216" s="7">
        <f t="shared" si="14"/>
        <v>35142331.691405363</v>
      </c>
      <c r="Z216" s="7">
        <f t="shared" si="14"/>
        <v>37656080.34967754</v>
      </c>
      <c r="AA216" s="7">
        <f t="shared" si="14"/>
        <v>40322703.129951447</v>
      </c>
      <c r="AB216" s="7">
        <f t="shared" si="14"/>
        <v>43149608.728005186</v>
      </c>
      <c r="AC216" s="7">
        <f t="shared" si="14"/>
        <v>46144449.410515293</v>
      </c>
      <c r="AD216" s="7">
        <f t="shared" si="14"/>
        <v>49315122.926592365</v>
      </c>
      <c r="AE216" s="7">
        <f t="shared" si="14"/>
        <v>52669774.128218852</v>
      </c>
      <c r="AF216" s="7">
        <f t="shared" si="14"/>
        <v>56216796.288506627</v>
      </c>
      <c r="AG216" s="7">
        <f t="shared" si="14"/>
        <v>59964832.107171617</v>
      </c>
      <c r="AH216" s="7">
        <f t="shared" si="14"/>
        <v>63922774.393139683</v>
      </c>
      <c r="AI216" s="7">
        <f t="shared" si="14"/>
        <v>68099766.414751261</v>
      </c>
      <c r="AJ216" s="7">
        <f t="shared" si="14"/>
        <v>72505201.90862073</v>
      </c>
      <c r="AK216" s="7">
        <f t="shared" si="14"/>
        <v>77148724.738827214</v>
      </c>
      <c r="AL216" s="7">
        <f t="shared" si="14"/>
        <v>82040228.198766291</v>
      </c>
      <c r="AM216" s="7">
        <f t="shared" si="14"/>
        <v>87189853.948673546</v>
      </c>
      <c r="AN216" s="7">
        <f t="shared" si="14"/>
        <v>92607990.582539946</v>
      </c>
      <c r="AO216" s="7">
        <f t="shared" si="14"/>
        <v>98305271.818872735</v>
      </c>
      <c r="AP216" s="7">
        <f t="shared" si="14"/>
        <v>104292574.31051253</v>
      </c>
      <c r="AQ216" s="7">
        <f t="shared" si="14"/>
        <v>110581015.06949419</v>
      </c>
      <c r="AR216" s="7">
        <f t="shared" si="14"/>
        <v>117181948.50373444</v>
      </c>
      <c r="AS216" s="7">
        <f t="shared" si="14"/>
        <v>124106963.06313953</v>
      </c>
      <c r="AT216" s="7">
        <f t="shared" si="14"/>
        <v>131367877.49355043</v>
      </c>
      <c r="AU216" s="7">
        <f t="shared" si="14"/>
        <v>138976736.69777656</v>
      </c>
      <c r="AV216" s="7">
        <f t="shared" si="14"/>
        <v>146945807.2038112</v>
      </c>
      <c r="AW216" s="7">
        <f t="shared" si="14"/>
        <v>155287572.24116912</v>
      </c>
      <c r="AX216" s="7">
        <f t="shared" si="14"/>
        <v>164014726.42713585</v>
      </c>
      <c r="AY216" s="7">
        <f t="shared" si="14"/>
        <v>173140170.06556818</v>
      </c>
      <c r="AZ216" s="7">
        <f t="shared" si="14"/>
        <v>182677003.06173214</v>
      </c>
      <c r="BA216" s="7">
        <f t="shared" si="14"/>
        <v>192638518.45750609</v>
      </c>
      <c r="BB216" s="7">
        <f t="shared" si="14"/>
        <v>203038195.59211072</v>
      </c>
      <c r="BC216" s="7">
        <f t="shared" si="14"/>
        <v>213889692.8943508</v>
      </c>
      <c r="BD216" s="7">
        <f t="shared" si="14"/>
        <v>225206840.31316429</v>
      </c>
      <c r="BE216" s="7">
        <f t="shared" si="14"/>
        <v>237003631.39407015</v>
      </c>
      <c r="BF216" s="7">
        <f t="shared" si="14"/>
        <v>249294215.00988388</v>
      </c>
      <c r="BG216" s="7">
        <f t="shared" si="14"/>
        <v>262092886.75482804</v>
      </c>
      <c r="BH216" s="7">
        <f t="shared" si="14"/>
        <v>275414080.01190221</v>
      </c>
      <c r="BI216" s="7">
        <f t="shared" si="14"/>
        <v>289272356.70408851</v>
      </c>
      <c r="BJ216" s="7">
        <f t="shared" si="14"/>
        <v>303682397.74065608</v>
      </c>
      <c r="BK216" s="7">
        <f t="shared" si="14"/>
        <v>318658993.17048687</v>
      </c>
      <c r="BL216" s="7">
        <f t="shared" si="14"/>
        <v>334217032.05497485</v>
      </c>
      <c r="BM216" s="7">
        <f t="shared" si="14"/>
        <v>350371492.07364959</v>
      </c>
      <c r="BN216" s="7">
        <f t="shared" si="14"/>
        <v>367137428.87624079</v>
      </c>
      <c r="BO216" s="7">
        <f t="shared" si="14"/>
        <v>384529965.19543386</v>
      </c>
      <c r="BP216" s="7">
        <f t="shared" si="13"/>
        <v>402564279.73506302</v>
      </c>
      <c r="BQ216" s="7">
        <f t="shared" si="13"/>
        <v>421255595.84894979</v>
      </c>
      <c r="BR216" s="7">
        <f t="shared" si="13"/>
        <v>440619170.02602041</v>
      </c>
      <c r="BS216" s="7">
        <f t="shared" si="13"/>
        <v>460670280.19771886</v>
      </c>
      <c r="BT216" s="7">
        <f t="shared" si="7"/>
        <v>481424213.88408327</v>
      </c>
      <c r="BU216" s="7">
        <f t="shared" si="7"/>
        <v>502896256.19515949</v>
      </c>
      <c r="BV216" s="7"/>
      <c r="BW216" s="7"/>
      <c r="BX216" s="7"/>
      <c r="BY216" s="7"/>
      <c r="BZ216" s="7"/>
      <c r="CA216" s="7"/>
      <c r="CB216" s="7"/>
      <c r="CC216" s="7"/>
      <c r="CD216" s="7"/>
      <c r="CE216" s="7"/>
      <c r="CF216" s="7"/>
      <c r="CG216" s="7"/>
      <c r="CH216" s="7"/>
      <c r="CI216" s="7"/>
      <c r="CJ216" s="7"/>
      <c r="CK216" s="7"/>
      <c r="CL216" s="7"/>
      <c r="CM216" s="7"/>
      <c r="CN216" s="7"/>
      <c r="CO216" s="7"/>
      <c r="CP216" s="7"/>
      <c r="CQ216" s="7"/>
      <c r="CR216" s="7"/>
      <c r="CS216" s="7"/>
      <c r="CT216" s="7"/>
      <c r="CU216" s="7"/>
      <c r="CV216" s="7"/>
      <c r="CW216" s="7"/>
      <c r="CX216" s="7"/>
      <c r="CY216" s="7"/>
      <c r="CZ216" s="7"/>
      <c r="DA216" s="7"/>
      <c r="DB216" s="7"/>
      <c r="DC216" s="7"/>
      <c r="DD216" s="7"/>
      <c r="DE216" s="7"/>
      <c r="DF216" s="7"/>
      <c r="DG216" s="7"/>
      <c r="DH216" s="7"/>
      <c r="DI216" s="7"/>
      <c r="DJ216" s="7"/>
      <c r="DK216" s="7"/>
      <c r="DL216" s="7"/>
      <c r="DM216" s="7"/>
      <c r="DN216" s="7"/>
      <c r="DO216" s="7"/>
      <c r="DP216" s="7"/>
      <c r="DQ216" s="7"/>
      <c r="DR216" s="7"/>
      <c r="DS216" s="7"/>
      <c r="DT216" s="7"/>
      <c r="DU216" s="7"/>
    </row>
    <row r="217" spans="1:125" x14ac:dyDescent="0.25">
      <c r="A217" t="str">
        <f>'storage capacity'!Q20</f>
        <v>Indonesia</v>
      </c>
      <c r="C217" s="7">
        <f t="shared" si="9"/>
        <v>2062571.2666666806</v>
      </c>
      <c r="D217" s="7">
        <f t="shared" si="14"/>
        <v>2209246.3663080642</v>
      </c>
      <c r="E217" s="7">
        <f t="shared" si="14"/>
        <v>2364780.8788778726</v>
      </c>
      <c r="F217" s="7">
        <f t="shared" si="14"/>
        <v>2529600.4284176864</v>
      </c>
      <c r="G217" s="7">
        <f t="shared" si="14"/>
        <v>2704144.4340729201</v>
      </c>
      <c r="H217" s="7">
        <f t="shared" si="14"/>
        <v>2888866.2083618925</v>
      </c>
      <c r="I217" s="7">
        <f t="shared" si="14"/>
        <v>3084233.0386681533</v>
      </c>
      <c r="J217" s="7">
        <f t="shared" si="14"/>
        <v>3290726.2513468387</v>
      </c>
      <c r="K217" s="7">
        <f t="shared" si="14"/>
        <v>3508841.2578640906</v>
      </c>
      <c r="L217" s="7">
        <f t="shared" si="14"/>
        <v>3739087.5824189377</v>
      </c>
      <c r="M217" s="7">
        <f t="shared" si="14"/>
        <v>3981988.8705293718</v>
      </c>
      <c r="N217" s="7">
        <f t="shared" si="14"/>
        <v>4238082.8780986173</v>
      </c>
      <c r="O217" s="7">
        <f t="shared" si="14"/>
        <v>4507921.4405136351</v>
      </c>
      <c r="P217" s="7">
        <f t="shared" si="14"/>
        <v>4792070.4213656634</v>
      </c>
      <c r="Q217" s="7">
        <f t="shared" si="14"/>
        <v>5091109.640421927</v>
      </c>
      <c r="R217" s="7">
        <f t="shared" si="14"/>
        <v>5405632.7805184443</v>
      </c>
      <c r="S217" s="7">
        <f t="shared" si="14"/>
        <v>5736247.2730860133</v>
      </c>
      <c r="T217" s="7">
        <f t="shared" si="14"/>
        <v>6083574.1620647777</v>
      </c>
      <c r="U217" s="7">
        <f t="shared" si="14"/>
        <v>6448247.9460072108</v>
      </c>
      <c r="V217" s="7">
        <f t="shared" si="14"/>
        <v>6830916.398214696</v>
      </c>
      <c r="W217" s="7">
        <f t="shared" si="14"/>
        <v>7232240.364799032</v>
      </c>
      <c r="X217" s="7">
        <f t="shared" si="14"/>
        <v>7652893.5406069765</v>
      </c>
      <c r="Y217" s="7">
        <f t="shared" si="14"/>
        <v>8093562.2229932295</v>
      </c>
      <c r="Z217" s="7">
        <f t="shared" si="14"/>
        <v>8554945.0434749257</v>
      </c>
      <c r="AA217" s="7">
        <f t="shared" si="14"/>
        <v>9037752.6773485262</v>
      </c>
      <c r="AB217" s="7">
        <f t="shared" si="14"/>
        <v>9542707.5313979331</v>
      </c>
      <c r="AC217" s="7">
        <f t="shared" si="14"/>
        <v>10070543.409870461</v>
      </c>
      <c r="AD217" s="7">
        <f t="shared" si="14"/>
        <v>10622005.158944871</v>
      </c>
      <c r="AE217" s="7">
        <f t="shared" si="14"/>
        <v>11197848.289962908</v>
      </c>
      <c r="AF217" s="7">
        <f t="shared" si="14"/>
        <v>11798838.58174241</v>
      </c>
      <c r="AG217" s="7">
        <f t="shared" si="14"/>
        <v>12425751.662336113</v>
      </c>
      <c r="AH217" s="7">
        <f t="shared" si="14"/>
        <v>13079372.570645489</v>
      </c>
      <c r="AI217" s="7">
        <f t="shared" si="14"/>
        <v>13760495.298343191</v>
      </c>
      <c r="AJ217" s="7">
        <f t="shared" si="14"/>
        <v>14469922.312600972</v>
      </c>
      <c r="AK217" s="7">
        <f t="shared" si="14"/>
        <v>15208464.060161937</v>
      </c>
      <c r="AL217" s="7">
        <f t="shared" si="14"/>
        <v>15976938.453336772</v>
      </c>
      <c r="AM217" s="7">
        <f t="shared" si="14"/>
        <v>16776170.338542873</v>
      </c>
      <c r="AN217" s="7">
        <f t="shared" si="14"/>
        <v>17606990.948043182</v>
      </c>
      <c r="AO217" s="7">
        <f t="shared" si="14"/>
        <v>18470237.335577674</v>
      </c>
      <c r="AP217" s="7">
        <f t="shared" si="14"/>
        <v>19366751.796614986</v>
      </c>
      <c r="AQ217" s="7">
        <f t="shared" si="14"/>
        <v>20297381.273984294</v>
      </c>
      <c r="AR217" s="7">
        <f t="shared" si="14"/>
        <v>21262976.749678493</v>
      </c>
      <c r="AS217" s="7">
        <f t="shared" si="14"/>
        <v>22264392.623648413</v>
      </c>
      <c r="AT217" s="7">
        <f t="shared" si="14"/>
        <v>23302486.080434885</v>
      </c>
      <c r="AU217" s="7">
        <f t="shared" si="14"/>
        <v>24378116.444510065</v>
      </c>
      <c r="AV217" s="7">
        <f t="shared" si="14"/>
        <v>25492144.525222223</v>
      </c>
      <c r="AW217" s="7">
        <f t="shared" si="14"/>
        <v>26645431.952258658</v>
      </c>
      <c r="AX217" s="7">
        <f t="shared" si="14"/>
        <v>27838840.502559692</v>
      </c>
      <c r="AY217" s="7">
        <f t="shared" si="14"/>
        <v>29073231.41963286</v>
      </c>
      <c r="AZ217" s="7">
        <f t="shared" si="14"/>
        <v>30349464.726230185</v>
      </c>
      <c r="BA217" s="7">
        <f t="shared" si="14"/>
        <v>31668398.531363077</v>
      </c>
      <c r="BB217" s="7">
        <f t="shared" si="14"/>
        <v>33030888.332638651</v>
      </c>
      <c r="BC217" s="7">
        <f t="shared" si="14"/>
        <v>34437786.314908415</v>
      </c>
      <c r="BD217" s="7">
        <f t="shared" si="14"/>
        <v>35889940.646225102</v>
      </c>
      <c r="BE217" s="7">
        <f t="shared" si="14"/>
        <v>37388194.772105925</v>
      </c>
      <c r="BF217" s="7">
        <f t="shared" si="14"/>
        <v>38933386.709100977</v>
      </c>
      <c r="BG217" s="7">
        <f t="shared" si="14"/>
        <v>40526348.338663772</v>
      </c>
      <c r="BH217" s="7">
        <f t="shared" si="14"/>
        <v>42167904.702316813</v>
      </c>
      <c r="BI217" s="7">
        <f t="shared" si="14"/>
        <v>43858873.299099162</v>
      </c>
      <c r="BJ217" s="7">
        <f t="shared" si="14"/>
        <v>45600063.38627483</v>
      </c>
      <c r="BK217" s="7">
        <f t="shared" si="14"/>
        <v>47392275.284270644</v>
      </c>
      <c r="BL217" s="7">
        <f t="shared" si="14"/>
        <v>49236299.686800234</v>
      </c>
      <c r="BM217" s="7">
        <f t="shared" si="14"/>
        <v>51132916.977116846</v>
      </c>
      <c r="BN217" s="7">
        <f t="shared" si="14"/>
        <v>53082896.551321775</v>
      </c>
      <c r="BO217" s="7">
        <f t="shared" ref="BO217:BU232" si="15">VLOOKUP($A217,$A$2:$BU$196,BO$198,FALSE)</f>
        <v>55086996.149637729</v>
      </c>
      <c r="BP217" s="7">
        <f t="shared" si="15"/>
        <v>57145961.196537405</v>
      </c>
      <c r="BQ217" s="7">
        <f t="shared" si="15"/>
        <v>59260524.150596209</v>
      </c>
      <c r="BR217" s="7">
        <f t="shared" si="15"/>
        <v>61431403.86491634</v>
      </c>
      <c r="BS217" s="7">
        <f t="shared" si="15"/>
        <v>63659304.958945058</v>
      </c>
      <c r="BT217" s="7">
        <f t="shared" si="7"/>
        <v>65944917.202485166</v>
      </c>
      <c r="BU217" s="7">
        <f t="shared" si="7"/>
        <v>68288914.912669078</v>
      </c>
      <c r="BV217" s="7"/>
      <c r="BW217" s="7"/>
      <c r="BX217" s="7"/>
      <c r="BY217" s="7"/>
      <c r="BZ217" s="7"/>
      <c r="CA217" s="7"/>
      <c r="CB217" s="7"/>
      <c r="CC217" s="7"/>
      <c r="CD217" s="7"/>
      <c r="CE217" s="7"/>
      <c r="CF217" s="7"/>
      <c r="CG217" s="7"/>
      <c r="CH217" s="7"/>
      <c r="CI217" s="7"/>
      <c r="CJ217" s="7"/>
      <c r="CK217" s="7"/>
      <c r="CL217" s="7"/>
      <c r="CM217" s="7"/>
      <c r="CN217" s="7"/>
      <c r="CO217" s="7"/>
      <c r="CP217" s="7"/>
      <c r="CQ217" s="7"/>
      <c r="CR217" s="7"/>
      <c r="CS217" s="7"/>
      <c r="CT217" s="7"/>
      <c r="CU217" s="7"/>
      <c r="CV217" s="7"/>
      <c r="CW217" s="7"/>
      <c r="CX217" s="7"/>
      <c r="CY217" s="7"/>
      <c r="CZ217" s="7"/>
      <c r="DA217" s="7"/>
      <c r="DB217" s="7"/>
      <c r="DC217" s="7"/>
      <c r="DD217" s="7"/>
      <c r="DE217" s="7"/>
      <c r="DF217" s="7"/>
      <c r="DG217" s="7"/>
      <c r="DH217" s="7"/>
      <c r="DI217" s="7"/>
      <c r="DJ217" s="7"/>
      <c r="DK217" s="7"/>
      <c r="DL217" s="7"/>
      <c r="DM217" s="7"/>
      <c r="DN217" s="7"/>
      <c r="DO217" s="7"/>
      <c r="DP217" s="7"/>
      <c r="DQ217" s="7"/>
      <c r="DR217" s="7"/>
      <c r="DS217" s="7"/>
      <c r="DT217" s="7"/>
      <c r="DU217" s="7"/>
    </row>
    <row r="218" spans="1:125" x14ac:dyDescent="0.25">
      <c r="A218" t="str">
        <f>'storage capacity'!Q21</f>
        <v>Iran</v>
      </c>
      <c r="C218" s="7">
        <f t="shared" si="9"/>
        <v>658182.33333334327</v>
      </c>
      <c r="D218" s="7">
        <f t="shared" ref="D218:BO221" si="16">VLOOKUP($A218,$A$2:$BU$196,D$198,FALSE)</f>
        <v>702711.65784067614</v>
      </c>
      <c r="E218" s="7">
        <f t="shared" si="16"/>
        <v>749778.19415397046</v>
      </c>
      <c r="F218" s="7">
        <f t="shared" si="16"/>
        <v>799494.98422886117</v>
      </c>
      <c r="G218" s="7">
        <f t="shared" si="16"/>
        <v>851978.29377385078</v>
      </c>
      <c r="H218" s="7">
        <f t="shared" si="16"/>
        <v>907347.61438974563</v>
      </c>
      <c r="I218" s="7">
        <f t="shared" si="16"/>
        <v>965725.66125428595</v>
      </c>
      <c r="J218" s="7">
        <f t="shared" si="16"/>
        <v>1027238.3662492954</v>
      </c>
      <c r="K218" s="7">
        <f t="shared" si="16"/>
        <v>1092014.8664362882</v>
      </c>
      <c r="L218" s="7">
        <f t="shared" si="16"/>
        <v>1160187.4877954428</v>
      </c>
      <c r="M218" s="7">
        <f t="shared" si="16"/>
        <v>1231891.7241521599</v>
      </c>
      <c r="N218" s="7">
        <f t="shared" si="16"/>
        <v>1307266.2112250319</v>
      </c>
      <c r="O218" s="7">
        <f t="shared" si="16"/>
        <v>1386452.6957389475</v>
      </c>
      <c r="P218" s="7">
        <f t="shared" si="16"/>
        <v>1469595.9995571892</v>
      </c>
      <c r="Q218" s="7">
        <f t="shared" si="16"/>
        <v>1556843.9787967347</v>
      </c>
      <c r="R218" s="7">
        <f t="shared" si="16"/>
        <v>1648347.4779015053</v>
      </c>
      <c r="S218" s="7">
        <f t="shared" si="16"/>
        <v>1744260.2786589935</v>
      </c>
      <c r="T218" s="7">
        <f t="shared" si="16"/>
        <v>1844739.0441564922</v>
      </c>
      <c r="U218" s="7">
        <f t="shared" si="16"/>
        <v>1949943.2576840403</v>
      </c>
      <c r="V218" s="7">
        <f t="shared" si="16"/>
        <v>2060035.1566021217</v>
      </c>
      <c r="W218" s="7">
        <f t="shared" si="16"/>
        <v>2175179.6612031027</v>
      </c>
      <c r="X218" s="7">
        <f t="shared" si="16"/>
        <v>2295544.2986063161</v>
      </c>
      <c r="Y218" s="7">
        <f t="shared" si="16"/>
        <v>2421299.1217375784</v>
      </c>
      <c r="Z218" s="7">
        <f t="shared" si="16"/>
        <v>2552616.623454703</v>
      </c>
      <c r="AA218" s="7">
        <f t="shared" si="16"/>
        <v>2689671.6458912506</v>
      </c>
      <c r="AB218" s="7">
        <f t="shared" si="16"/>
        <v>2832641.2851012736</v>
      </c>
      <c r="AC218" s="7">
        <f t="shared" si="16"/>
        <v>2981704.7910981434</v>
      </c>
      <c r="AD218" s="7">
        <f t="shared" si="16"/>
        <v>3137043.4633906833</v>
      </c>
      <c r="AE218" s="7">
        <f t="shared" si="16"/>
        <v>3298840.5421297066</v>
      </c>
      <c r="AF218" s="7">
        <f t="shared" si="16"/>
        <v>3467281.0949876797</v>
      </c>
      <c r="AG218" s="7">
        <f t="shared" si="16"/>
        <v>3642551.8999035521</v>
      </c>
      <c r="AH218" s="7">
        <f t="shared" si="16"/>
        <v>3824841.3238337864</v>
      </c>
      <c r="AI218" s="7">
        <f t="shared" si="16"/>
        <v>4014339.1976592857</v>
      </c>
      <c r="AJ218" s="7">
        <f t="shared" si="16"/>
        <v>4211236.687406186</v>
      </c>
      <c r="AK218" s="7">
        <f t="shared" si="16"/>
        <v>4415726.1619463991</v>
      </c>
      <c r="AL218" s="7">
        <f t="shared" si="16"/>
        <v>4628001.0573512437</v>
      </c>
      <c r="AM218" s="7">
        <f t="shared" si="16"/>
        <v>4848255.7380785951</v>
      </c>
      <c r="AN218" s="7">
        <f t="shared" si="16"/>
        <v>5076685.3551805755</v>
      </c>
      <c r="AO218" s="7">
        <f t="shared" si="16"/>
        <v>5313485.7017249605</v>
      </c>
      <c r="AP218" s="7">
        <f t="shared" si="16"/>
        <v>5558853.0656291842</v>
      </c>
      <c r="AQ218" s="7">
        <f t="shared" si="16"/>
        <v>5812984.0801109839</v>
      </c>
      <c r="AR218" s="7">
        <f t="shared" si="16"/>
        <v>6076075.5719644697</v>
      </c>
      <c r="AS218" s="7">
        <f t="shared" si="16"/>
        <v>6348324.4078745814</v>
      </c>
      <c r="AT218" s="7">
        <f t="shared" si="16"/>
        <v>6629927.3389866073</v>
      </c>
      <c r="AU218" s="7">
        <f t="shared" si="16"/>
        <v>6921080.8439506078</v>
      </c>
      <c r="AV218" s="7">
        <f t="shared" si="16"/>
        <v>7221980.9706632765</v>
      </c>
      <c r="AW218" s="7">
        <f t="shared" si="16"/>
        <v>7532823.1769319102</v>
      </c>
      <c r="AX218" s="7">
        <f t="shared" si="16"/>
        <v>7853802.1702867784</v>
      </c>
      <c r="AY218" s="7">
        <f t="shared" si="16"/>
        <v>8185111.747169367</v>
      </c>
      <c r="AZ218" s="7">
        <f t="shared" si="16"/>
        <v>8526944.6317244973</v>
      </c>
      <c r="BA218" s="7">
        <f t="shared" si="16"/>
        <v>8879492.314424511</v>
      </c>
      <c r="BB218" s="7">
        <f t="shared" si="16"/>
        <v>9242944.8907532655</v>
      </c>
      <c r="BC218" s="7">
        <f t="shared" si="16"/>
        <v>9617490.9001768269</v>
      </c>
      <c r="BD218" s="7">
        <f t="shared" si="16"/>
        <v>10003317.165626381</v>
      </c>
      <c r="BE218" s="7">
        <f t="shared" si="16"/>
        <v>10400608.633717041</v>
      </c>
      <c r="BF218" s="7">
        <f t="shared" si="16"/>
        <v>10809548.215923963</v>
      </c>
      <c r="BG218" s="7">
        <f t="shared" si="16"/>
        <v>11230316.630934389</v>
      </c>
      <c r="BH218" s="7">
        <f t="shared" si="16"/>
        <v>11663092.248391127</v>
      </c>
      <c r="BI218" s="7">
        <f t="shared" si="16"/>
        <v>12108050.934239335</v>
      </c>
      <c r="BJ218" s="7">
        <f t="shared" si="16"/>
        <v>12565365.897884523</v>
      </c>
      <c r="BK218" s="7">
        <f t="shared" si="16"/>
        <v>13035207.541365283</v>
      </c>
      <c r="BL218" s="7">
        <f t="shared" si="16"/>
        <v>13517743.31073951</v>
      </c>
      <c r="BM218" s="7">
        <f t="shared" si="16"/>
        <v>14013137.549877811</v>
      </c>
      <c r="BN218" s="7">
        <f t="shared" si="16"/>
        <v>14521551.356852332</v>
      </c>
      <c r="BO218" s="7">
        <f t="shared" si="16"/>
        <v>15043142.443103526</v>
      </c>
      <c r="BP218" s="7">
        <f t="shared" si="15"/>
        <v>15578064.99556133</v>
      </c>
      <c r="BQ218" s="7">
        <f t="shared" si="15"/>
        <v>16126469.541890908</v>
      </c>
      <c r="BR218" s="7">
        <f t="shared" si="15"/>
        <v>16688502.81902661</v>
      </c>
      <c r="BS218" s="7">
        <f t="shared" si="15"/>
        <v>17264307.645150907</v>
      </c>
      <c r="BT218" s="7">
        <f t="shared" si="7"/>
        <v>17854022.795268174</v>
      </c>
      <c r="BU218" s="7">
        <f t="shared" si="7"/>
        <v>18457782.880515922</v>
      </c>
      <c r="BV218" s="7"/>
      <c r="BW218" s="7"/>
      <c r="BX218" s="7"/>
      <c r="BY218" s="7"/>
      <c r="BZ218" s="7"/>
      <c r="CA218" s="7"/>
      <c r="CB218" s="7"/>
      <c r="CC218" s="7"/>
      <c r="CD218" s="7"/>
      <c r="CE218" s="7"/>
      <c r="CF218" s="7"/>
      <c r="CG218" s="7"/>
      <c r="CH218" s="7"/>
      <c r="CI218" s="7"/>
      <c r="CJ218" s="7"/>
      <c r="CK218" s="7"/>
      <c r="CL218" s="7"/>
      <c r="CM218" s="7"/>
      <c r="CN218" s="7"/>
      <c r="CO218" s="7"/>
      <c r="CP218" s="7"/>
      <c r="CQ218" s="7"/>
      <c r="CR218" s="7"/>
      <c r="CS218" s="7"/>
      <c r="CT218" s="7"/>
      <c r="CU218" s="7"/>
      <c r="CV218" s="7"/>
      <c r="CW218" s="7"/>
      <c r="CX218" s="7"/>
      <c r="CY218" s="7"/>
      <c r="CZ218" s="7"/>
      <c r="DA218" s="7"/>
      <c r="DB218" s="7"/>
      <c r="DC218" s="7"/>
      <c r="DD218" s="7"/>
      <c r="DE218" s="7"/>
      <c r="DF218" s="7"/>
      <c r="DG218" s="7"/>
      <c r="DH218" s="7"/>
      <c r="DI218" s="7"/>
      <c r="DJ218" s="7"/>
      <c r="DK218" s="7"/>
      <c r="DL218" s="7"/>
      <c r="DM218" s="7"/>
      <c r="DN218" s="7"/>
      <c r="DO218" s="7"/>
      <c r="DP218" s="7"/>
      <c r="DQ218" s="7"/>
      <c r="DR218" s="7"/>
      <c r="DS218" s="7"/>
      <c r="DT218" s="7"/>
      <c r="DU218" s="7"/>
    </row>
    <row r="219" spans="1:125" x14ac:dyDescent="0.25">
      <c r="A219" t="str">
        <f>'storage capacity'!Q22</f>
        <v>Ireland</v>
      </c>
      <c r="C219" s="7">
        <f t="shared" si="9"/>
        <v>713611.39999999851</v>
      </c>
      <c r="D219" s="7">
        <f t="shared" si="16"/>
        <v>742669.5834011829</v>
      </c>
      <c r="E219" s="7">
        <f t="shared" si="16"/>
        <v>772608.59876913147</v>
      </c>
      <c r="F219" s="7">
        <f t="shared" si="16"/>
        <v>803443.07727297011</v>
      </c>
      <c r="G219" s="7">
        <f t="shared" si="16"/>
        <v>835187.49592343869</v>
      </c>
      <c r="H219" s="7">
        <f t="shared" si="16"/>
        <v>867856.16511665168</v>
      </c>
      <c r="I219" s="7">
        <f t="shared" si="16"/>
        <v>901463.21627921436</v>
      </c>
      <c r="J219" s="7">
        <f t="shared" si="16"/>
        <v>936022.58963150915</v>
      </c>
      <c r="K219" s="7">
        <f t="shared" si="16"/>
        <v>971548.02208567748</v>
      </c>
      <c r="L219" s="7">
        <f t="shared" si="16"/>
        <v>1008053.0352944842</v>
      </c>
      <c r="M219" s="7">
        <f t="shared" si="16"/>
        <v>1045550.9238668969</v>
      </c>
      <c r="N219" s="7">
        <f t="shared" si="16"/>
        <v>1084054.7437658231</v>
      </c>
      <c r="O219" s="7">
        <f t="shared" si="16"/>
        <v>1123577.3009030314</v>
      </c>
      <c r="P219" s="7">
        <f t="shared" si="16"/>
        <v>1164131.1399458474</v>
      </c>
      <c r="Q219" s="7">
        <f t="shared" si="16"/>
        <v>1205728.533349745</v>
      </c>
      <c r="R219" s="7">
        <f t="shared" si="16"/>
        <v>1248381.4706304737</v>
      </c>
      <c r="S219" s="7">
        <f t="shared" si="16"/>
        <v>1292101.6478888502</v>
      </c>
      <c r="T219" s="7">
        <f t="shared" si="16"/>
        <v>1336900.4576008215</v>
      </c>
      <c r="U219" s="7">
        <f t="shared" si="16"/>
        <v>1382788.9786848591</v>
      </c>
      <c r="V219" s="7">
        <f t="shared" si="16"/>
        <v>1429777.9668581884</v>
      </c>
      <c r="W219" s="7">
        <f t="shared" si="16"/>
        <v>1477877.8452927798</v>
      </c>
      <c r="X219" s="7">
        <f t="shared" si="16"/>
        <v>1527098.6955814464</v>
      </c>
      <c r="Y219" s="7">
        <f t="shared" si="16"/>
        <v>1577450.2490237933</v>
      </c>
      <c r="Z219" s="7">
        <f t="shared" si="16"/>
        <v>1628941.8782411581</v>
      </c>
      <c r="AA219" s="7">
        <f t="shared" si="16"/>
        <v>1681582.5891290668</v>
      </c>
      <c r="AB219" s="7">
        <f t="shared" si="16"/>
        <v>1735381.0131551113</v>
      </c>
      <c r="AC219" s="7">
        <f t="shared" si="16"/>
        <v>1790345.4000095278</v>
      </c>
      <c r="AD219" s="7">
        <f t="shared" si="16"/>
        <v>1846483.6106151254</v>
      </c>
      <c r="AE219" s="7">
        <f t="shared" si="16"/>
        <v>1903803.1105025914</v>
      </c>
      <c r="AF219" s="7">
        <f t="shared" si="16"/>
        <v>1962310.9635565586</v>
      </c>
      <c r="AG219" s="7">
        <f t="shared" si="16"/>
        <v>2022013.8261372012</v>
      </c>
      <c r="AH219" s="7">
        <f t="shared" si="16"/>
        <v>2082917.9415814932</v>
      </c>
      <c r="AI219" s="7">
        <f t="shared" si="16"/>
        <v>2145029.1350876419</v>
      </c>
      <c r="AJ219" s="7">
        <f t="shared" si="16"/>
        <v>2208352.8089855928</v>
      </c>
      <c r="AK219" s="7">
        <f t="shared" si="16"/>
        <v>2272893.9383958899</v>
      </c>
      <c r="AL219" s="7">
        <f t="shared" si="16"/>
        <v>2338657.067278571</v>
      </c>
      <c r="AM219" s="7">
        <f t="shared" si="16"/>
        <v>2405646.3048731829</v>
      </c>
      <c r="AN219" s="7">
        <f t="shared" si="16"/>
        <v>2473865.3225304168</v>
      </c>
      <c r="AO219" s="7">
        <f t="shared" si="16"/>
        <v>2543317.3509352892</v>
      </c>
      <c r="AP219" s="7">
        <f t="shared" si="16"/>
        <v>2614005.1777212257</v>
      </c>
      <c r="AQ219" s="7">
        <f t="shared" si="16"/>
        <v>2685931.1454738635</v>
      </c>
      <c r="AR219" s="7">
        <f t="shared" si="16"/>
        <v>2759097.1501228428</v>
      </c>
      <c r="AS219" s="7">
        <f t="shared" si="16"/>
        <v>2833504.6397193363</v>
      </c>
      <c r="AT219" s="7">
        <f t="shared" si="16"/>
        <v>2909154.6135965604</v>
      </c>
      <c r="AU219" s="7">
        <f t="shared" si="16"/>
        <v>2986047.6219100161</v>
      </c>
      <c r="AV219" s="7">
        <f t="shared" si="16"/>
        <v>3064183.7655537254</v>
      </c>
      <c r="AW219" s="7">
        <f t="shared" si="16"/>
        <v>3143562.6964482884</v>
      </c>
      <c r="AX219" s="7">
        <f t="shared" si="16"/>
        <v>3224183.6181961102</v>
      </c>
      <c r="AY219" s="7">
        <f t="shared" si="16"/>
        <v>3306045.2870987579</v>
      </c>
      <c r="AZ219" s="7">
        <f t="shared" si="16"/>
        <v>3389146.0135309719</v>
      </c>
      <c r="BA219" s="7">
        <f t="shared" si="16"/>
        <v>3473483.6636654804</v>
      </c>
      <c r="BB219" s="7">
        <f t="shared" si="16"/>
        <v>3559055.6615423895</v>
      </c>
      <c r="BC219" s="7">
        <f t="shared" si="16"/>
        <v>3645858.99147658</v>
      </c>
      <c r="BD219" s="7">
        <f t="shared" si="16"/>
        <v>3733890.200796186</v>
      </c>
      <c r="BE219" s="7">
        <f t="shared" si="16"/>
        <v>3823145.4029049478</v>
      </c>
      <c r="BF219" s="7">
        <f t="shared" si="16"/>
        <v>3913620.2806609017</v>
      </c>
      <c r="BG219" s="7">
        <f t="shared" si="16"/>
        <v>4005310.0900636264</v>
      </c>
      <c r="BH219" s="7">
        <f t="shared" si="16"/>
        <v>4098209.6642419822</v>
      </c>
      <c r="BI219" s="7">
        <f t="shared" si="16"/>
        <v>4192313.4177340618</v>
      </c>
      <c r="BJ219" s="7">
        <f t="shared" si="16"/>
        <v>4287615.3510508351</v>
      </c>
      <c r="BK219" s="7">
        <f t="shared" si="16"/>
        <v>4384109.0555147845</v>
      </c>
      <c r="BL219" s="7">
        <f t="shared" si="16"/>
        <v>4481787.7183646411</v>
      </c>
      <c r="BM219" s="7">
        <f t="shared" si="16"/>
        <v>4580644.1281171599</v>
      </c>
      <c r="BN219" s="7">
        <f t="shared" si="16"/>
        <v>4680670.680176748</v>
      </c>
      <c r="BO219" s="7">
        <f t="shared" si="16"/>
        <v>4781859.3826836077</v>
      </c>
      <c r="BP219" s="7">
        <f t="shared" si="15"/>
        <v>4884201.8625909705</v>
      </c>
      <c r="BQ219" s="7">
        <f t="shared" si="15"/>
        <v>4987689.3719618842</v>
      </c>
      <c r="BR219" s="7">
        <f t="shared" si="15"/>
        <v>5092312.7944759652</v>
      </c>
      <c r="BS219" s="7">
        <f t="shared" si="15"/>
        <v>5198062.6521364357</v>
      </c>
      <c r="BT219" s="7">
        <f t="shared" si="7"/>
        <v>5304929.1121677672</v>
      </c>
      <c r="BU219" s="7">
        <f t="shared" si="7"/>
        <v>5412901.9940941706</v>
      </c>
      <c r="BV219" s="7"/>
      <c r="BW219" s="7"/>
      <c r="BX219" s="7"/>
      <c r="BY219" s="7"/>
      <c r="BZ219" s="7"/>
      <c r="CA219" s="7"/>
      <c r="CB219" s="7"/>
      <c r="CC219" s="7"/>
      <c r="CD219" s="7"/>
      <c r="CE219" s="7"/>
      <c r="CF219" s="7"/>
      <c r="CG219" s="7"/>
      <c r="CH219" s="7"/>
      <c r="CI219" s="7"/>
      <c r="CJ219" s="7"/>
      <c r="CK219" s="7"/>
      <c r="CL219" s="7"/>
      <c r="CM219" s="7"/>
      <c r="CN219" s="7"/>
      <c r="CO219" s="7"/>
      <c r="CP219" s="7"/>
      <c r="CQ219" s="7"/>
      <c r="CR219" s="7"/>
      <c r="CS219" s="7"/>
      <c r="CT219" s="7"/>
      <c r="CU219" s="7"/>
      <c r="CV219" s="7"/>
      <c r="CW219" s="7"/>
      <c r="CX219" s="7"/>
      <c r="CY219" s="7"/>
      <c r="CZ219" s="7"/>
      <c r="DA219" s="7"/>
      <c r="DB219" s="7"/>
      <c r="DC219" s="7"/>
      <c r="DD219" s="7"/>
      <c r="DE219" s="7"/>
      <c r="DF219" s="7"/>
      <c r="DG219" s="7"/>
      <c r="DH219" s="7"/>
      <c r="DI219" s="7"/>
      <c r="DJ219" s="7"/>
      <c r="DK219" s="7"/>
      <c r="DL219" s="7"/>
      <c r="DM219" s="7"/>
      <c r="DN219" s="7"/>
      <c r="DO219" s="7"/>
      <c r="DP219" s="7"/>
      <c r="DQ219" s="7"/>
      <c r="DR219" s="7"/>
      <c r="DS219" s="7"/>
      <c r="DT219" s="7"/>
      <c r="DU219" s="7"/>
    </row>
    <row r="220" spans="1:125" x14ac:dyDescent="0.25">
      <c r="A220" t="str">
        <f>'storage capacity'!Q23</f>
        <v>Italy</v>
      </c>
      <c r="C220" s="7">
        <f t="shared" si="9"/>
        <v>2855608.400000006</v>
      </c>
      <c r="D220" s="7">
        <f t="shared" si="16"/>
        <v>2941771.7632731865</v>
      </c>
      <c r="E220" s="7">
        <f t="shared" si="16"/>
        <v>3029647.3345926413</v>
      </c>
      <c r="F220" s="7">
        <f t="shared" si="16"/>
        <v>3119242.8884728281</v>
      </c>
      <c r="G220" s="7">
        <f t="shared" si="16"/>
        <v>3210565.5939830258</v>
      </c>
      <c r="H220" s="7">
        <f t="shared" si="16"/>
        <v>3303622.0090414872</v>
      </c>
      <c r="I220" s="7">
        <f t="shared" si="16"/>
        <v>3398418.0752646229</v>
      </c>
      <c r="J220" s="7">
        <f t="shared" si="16"/>
        <v>3494959.1133720833</v>
      </c>
      <c r="K220" s="7">
        <f t="shared" si="16"/>
        <v>3593249.8191477638</v>
      </c>
      <c r="L220" s="7">
        <f t="shared" si="16"/>
        <v>3693294.2599559678</v>
      </c>
      <c r="M220" s="7">
        <f t="shared" si="16"/>
        <v>3795095.8718111739</v>
      </c>
      <c r="N220" s="7">
        <f t="shared" si="16"/>
        <v>3898657.4569990877</v>
      </c>
      <c r="O220" s="7">
        <f t="shared" si="16"/>
        <v>4003981.1822459106</v>
      </c>
      <c r="P220" s="7">
        <f t="shared" si="16"/>
        <v>4111068.577432035</v>
      </c>
      <c r="Q220" s="7">
        <f t="shared" si="16"/>
        <v>4219920.5348456725</v>
      </c>
      <c r="R220" s="7">
        <f t="shared" si="16"/>
        <v>4330537.3089712299</v>
      </c>
      <c r="S220" s="7">
        <f t="shared" si="16"/>
        <v>4442918.5168066099</v>
      </c>
      <c r="T220" s="7">
        <f t="shared" si="16"/>
        <v>4557063.1387029635</v>
      </c>
      <c r="U220" s="7">
        <f t="shared" si="16"/>
        <v>4672969.5197198149</v>
      </c>
      <c r="V220" s="7">
        <f t="shared" si="16"/>
        <v>4790635.3714879053</v>
      </c>
      <c r="W220" s="7">
        <f t="shared" si="16"/>
        <v>4910057.7745715361</v>
      </c>
      <c r="X220" s="7">
        <f t="shared" si="16"/>
        <v>5031233.1813216666</v>
      </c>
      <c r="Y220" s="7">
        <f t="shared" si="16"/>
        <v>5154157.4192105085</v>
      </c>
      <c r="Z220" s="7">
        <f t="shared" si="16"/>
        <v>5278825.6946378956</v>
      </c>
      <c r="AA220" s="7">
        <f t="shared" si="16"/>
        <v>5405232.5971992379</v>
      </c>
      <c r="AB220" s="7">
        <f t="shared" si="16"/>
        <v>5533372.1044044662</v>
      </c>
      <c r="AC220" s="7">
        <f t="shared" si="16"/>
        <v>5663237.586836962</v>
      </c>
      <c r="AD220" s="7">
        <f t="shared" si="16"/>
        <v>5794821.8137410991</v>
      </c>
      <c r="AE220" s="7">
        <f t="shared" si="16"/>
        <v>5928116.9590266934</v>
      </c>
      <c r="AF220" s="7">
        <f t="shared" si="16"/>
        <v>6063114.6076783231</v>
      </c>
      <c r="AG220" s="7">
        <f t="shared" si="16"/>
        <v>6199805.7625572151</v>
      </c>
      <c r="AH220" s="7">
        <f t="shared" si="16"/>
        <v>6338180.8515831064</v>
      </c>
      <c r="AI220" s="7">
        <f t="shared" si="16"/>
        <v>6478229.7352832742</v>
      </c>
      <c r="AJ220" s="7">
        <f t="shared" si="16"/>
        <v>6619941.7146957144</v>
      </c>
      <c r="AK220" s="7">
        <f t="shared" si="16"/>
        <v>6763305.5396132413</v>
      </c>
      <c r="AL220" s="7">
        <f t="shared" si="16"/>
        <v>6908309.4171551643</v>
      </c>
      <c r="AM220" s="7">
        <f t="shared" si="16"/>
        <v>7054941.0206530178</v>
      </c>
      <c r="AN220" s="7">
        <f t="shared" si="16"/>
        <v>7203187.4988367446</v>
      </c>
      <c r="AO220" s="7">
        <f t="shared" si="16"/>
        <v>7353035.4853076143</v>
      </c>
      <c r="AP220" s="7">
        <f t="shared" si="16"/>
        <v>7504471.1082841279</v>
      </c>
      <c r="AQ220" s="7">
        <f t="shared" si="16"/>
        <v>7657480.0006070882</v>
      </c>
      <c r="AR220" s="7">
        <f t="shared" si="16"/>
        <v>7812047.3099900065</v>
      </c>
      <c r="AS220" s="7">
        <f t="shared" si="16"/>
        <v>7968157.7095010299</v>
      </c>
      <c r="AT220" s="7">
        <f t="shared" si="16"/>
        <v>8125795.4082625676</v>
      </c>
      <c r="AU220" s="7">
        <f t="shared" si="16"/>
        <v>8284944.1623548521</v>
      </c>
      <c r="AV220" s="7">
        <f t="shared" si="16"/>
        <v>8445587.2859097421</v>
      </c>
      <c r="AW220" s="7">
        <f t="shared" si="16"/>
        <v>8607707.6623811275</v>
      </c>
      <c r="AX220" s="7">
        <f t="shared" si="16"/>
        <v>8771287.7559783999</v>
      </c>
      <c r="AY220" s="7">
        <f t="shared" si="16"/>
        <v>8936309.6232495885</v>
      </c>
      <c r="AZ220" s="7">
        <f t="shared" si="16"/>
        <v>9102754.9248008486</v>
      </c>
      <c r="BA220" s="7">
        <f t="shared" si="16"/>
        <v>9270604.9371391851</v>
      </c>
      <c r="BB220" s="7">
        <f t="shared" si="16"/>
        <v>9439840.5646253917</v>
      </c>
      <c r="BC220" s="7">
        <f t="shared" si="16"/>
        <v>9610442.3515244201</v>
      </c>
      <c r="BD220" s="7">
        <f t="shared" si="16"/>
        <v>9782390.4941405319</v>
      </c>
      <c r="BE220" s="7">
        <f t="shared" si="16"/>
        <v>9955664.8530248217</v>
      </c>
      <c r="BF220" s="7">
        <f t="shared" si="16"/>
        <v>10130244.965242889</v>
      </c>
      <c r="BG220" s="7">
        <f t="shared" si="16"/>
        <v>10306110.056690635</v>
      </c>
      <c r="BH220" s="7">
        <f t="shared" si="16"/>
        <v>10483239.054446464</v>
      </c>
      <c r="BI220" s="7">
        <f t="shared" si="16"/>
        <v>10661610.599148335</v>
      </c>
      <c r="BJ220" s="7">
        <f t="shared" si="16"/>
        <v>10841203.057384377</v>
      </c>
      <c r="BK220" s="7">
        <f t="shared" si="16"/>
        <v>11021994.53408609</v>
      </c>
      <c r="BL220" s="7">
        <f t="shared" si="16"/>
        <v>11203962.884913329</v>
      </c>
      <c r="BM220" s="7">
        <f t="shared" si="16"/>
        <v>11387085.728620641</v>
      </c>
      <c r="BN220" s="7">
        <f t="shared" si="16"/>
        <v>11571340.459394708</v>
      </c>
      <c r="BO220" s="7">
        <f t="shared" si="16"/>
        <v>11756704.25915299</v>
      </c>
      <c r="BP220" s="7">
        <f t="shared" si="15"/>
        <v>11943154.109793952</v>
      </c>
      <c r="BQ220" s="7">
        <f t="shared" si="15"/>
        <v>12130666.805389509</v>
      </c>
      <c r="BR220" s="7">
        <f t="shared" si="15"/>
        <v>12319218.964310655</v>
      </c>
      <c r="BS220" s="7">
        <f t="shared" si="15"/>
        <v>12508787.041277539</v>
      </c>
      <c r="BT220" s="7">
        <f t="shared" si="15"/>
        <v>12699347.339325508</v>
      </c>
      <c r="BU220" s="7">
        <f t="shared" si="15"/>
        <v>12890876.02167902</v>
      </c>
      <c r="BV220" s="7"/>
      <c r="BW220" s="7"/>
      <c r="BX220" s="7"/>
      <c r="BY220" s="7"/>
      <c r="BZ220" s="7"/>
      <c r="CA220" s="7"/>
      <c r="CB220" s="7"/>
      <c r="CC220" s="7"/>
      <c r="CD220" s="7"/>
      <c r="CE220" s="7"/>
      <c r="CF220" s="7"/>
      <c r="CG220" s="7"/>
      <c r="CH220" s="7"/>
      <c r="CI220" s="7"/>
      <c r="CJ220" s="7"/>
      <c r="CK220" s="7"/>
      <c r="CL220" s="7"/>
      <c r="CM220" s="7"/>
      <c r="CN220" s="7"/>
      <c r="CO220" s="7"/>
      <c r="CP220" s="7"/>
      <c r="CQ220" s="7"/>
      <c r="CR220" s="7"/>
      <c r="CS220" s="7"/>
      <c r="CT220" s="7"/>
      <c r="CU220" s="7"/>
      <c r="CV220" s="7"/>
      <c r="CW220" s="7"/>
      <c r="CX220" s="7"/>
      <c r="CY220" s="7"/>
      <c r="CZ220" s="7"/>
      <c r="DA220" s="7"/>
      <c r="DB220" s="7"/>
      <c r="DC220" s="7"/>
      <c r="DD220" s="7"/>
      <c r="DE220" s="7"/>
      <c r="DF220" s="7"/>
      <c r="DG220" s="7"/>
      <c r="DH220" s="7"/>
      <c r="DI220" s="7"/>
      <c r="DJ220" s="7"/>
      <c r="DK220" s="7"/>
      <c r="DL220" s="7"/>
      <c r="DM220" s="7"/>
      <c r="DN220" s="7"/>
      <c r="DO220" s="7"/>
      <c r="DP220" s="7"/>
      <c r="DQ220" s="7"/>
      <c r="DR220" s="7"/>
      <c r="DS220" s="7"/>
      <c r="DT220" s="7"/>
      <c r="DU220" s="7"/>
    </row>
    <row r="221" spans="1:125" x14ac:dyDescent="0.25">
      <c r="A221" t="str">
        <f>'storage capacity'!Q24</f>
        <v>Japan</v>
      </c>
      <c r="C221" s="7">
        <f t="shared" si="9"/>
        <v>4750463.7333333343</v>
      </c>
      <c r="D221" s="7">
        <f t="shared" si="16"/>
        <v>4816244.5926857879</v>
      </c>
      <c r="E221" s="7">
        <f t="shared" si="16"/>
        <v>4882269.4186151102</v>
      </c>
      <c r="F221" s="7">
        <f t="shared" si="16"/>
        <v>4948530.0647425344</v>
      </c>
      <c r="G221" s="7">
        <f t="shared" si="16"/>
        <v>5015018.3806553008</v>
      </c>
      <c r="H221" s="7">
        <f t="shared" si="16"/>
        <v>5081726.2152685076</v>
      </c>
      <c r="I221" s="7">
        <f t="shared" si="16"/>
        <v>5148645.4201298663</v>
      </c>
      <c r="J221" s="7">
        <f t="shared" si="16"/>
        <v>5215767.8526660837</v>
      </c>
      <c r="K221" s="7">
        <f t="shared" si="16"/>
        <v>5283085.3793696919</v>
      </c>
      <c r="L221" s="7">
        <f t="shared" si="16"/>
        <v>5350589.8789252369</v>
      </c>
      <c r="M221" s="7">
        <f t="shared" si="16"/>
        <v>5418273.2452738294</v>
      </c>
      <c r="N221" s="7">
        <f t="shared" si="16"/>
        <v>5486127.3906151289</v>
      </c>
      <c r="O221" s="7">
        <f t="shared" si="16"/>
        <v>5554144.2483459394</v>
      </c>
      <c r="P221" s="7">
        <f t="shared" si="16"/>
        <v>5622315.7759346664</v>
      </c>
      <c r="Q221" s="7">
        <f t="shared" si="16"/>
        <v>5690633.957730962</v>
      </c>
      <c r="R221" s="7">
        <f t="shared" si="16"/>
        <v>5759090.8077099808</v>
      </c>
      <c r="S221" s="7">
        <f t="shared" si="16"/>
        <v>5827678.3721507257</v>
      </c>
      <c r="T221" s="7">
        <f t="shared" si="16"/>
        <v>5896388.7322480464</v>
      </c>
      <c r="U221" s="7">
        <f t="shared" si="16"/>
        <v>5965214.0066579403</v>
      </c>
      <c r="V221" s="7">
        <f t="shared" si="16"/>
        <v>6034146.3539758539</v>
      </c>
      <c r="W221" s="7">
        <f t="shared" si="16"/>
        <v>6103177.9751477661</v>
      </c>
      <c r="X221" s="7">
        <f t="shared" si="16"/>
        <v>6172301.1158138998</v>
      </c>
      <c r="Y221" s="7">
        <f t="shared" si="16"/>
        <v>6241508.0685849739</v>
      </c>
      <c r="Z221" s="7">
        <f t="shared" si="16"/>
        <v>6310791.1752509754</v>
      </c>
      <c r="AA221" s="7">
        <f t="shared" si="16"/>
        <v>6380142.828922472</v>
      </c>
      <c r="AB221" s="7">
        <f t="shared" si="16"/>
        <v>6449555.4761045789</v>
      </c>
      <c r="AC221" s="7">
        <f t="shared" si="16"/>
        <v>6519021.618703722</v>
      </c>
      <c r="AD221" s="7">
        <f t="shared" si="16"/>
        <v>6588533.8159674052</v>
      </c>
      <c r="AE221" s="7">
        <f t="shared" si="16"/>
        <v>6658084.6863572467</v>
      </c>
      <c r="AF221" s="7">
        <f t="shared" si="16"/>
        <v>6727666.9093555892</v>
      </c>
      <c r="AG221" s="7">
        <f t="shared" si="16"/>
        <v>6797273.2272060541</v>
      </c>
      <c r="AH221" s="7">
        <f t="shared" si="16"/>
        <v>6866896.446588438</v>
      </c>
      <c r="AI221" s="7">
        <f t="shared" si="16"/>
        <v>6936529.4402284082</v>
      </c>
      <c r="AJ221" s="7">
        <f t="shared" si="16"/>
        <v>7006165.1484424882</v>
      </c>
      <c r="AK221" s="7">
        <f t="shared" si="16"/>
        <v>7075796.5806188835</v>
      </c>
      <c r="AL221" s="7">
        <f t="shared" si="16"/>
        <v>7145416.8166346997</v>
      </c>
      <c r="AM221" s="7">
        <f t="shared" si="16"/>
        <v>7215019.0082101915</v>
      </c>
      <c r="AN221" s="7">
        <f t="shared" si="16"/>
        <v>7284596.3802006608</v>
      </c>
      <c r="AO221" s="7">
        <f t="shared" si="16"/>
        <v>7354142.2318267217</v>
      </c>
      <c r="AP221" s="7">
        <f t="shared" si="16"/>
        <v>7423649.9378436077</v>
      </c>
      <c r="AQ221" s="7">
        <f t="shared" si="16"/>
        <v>7493112.9496502876</v>
      </c>
      <c r="AR221" s="7">
        <f t="shared" si="16"/>
        <v>7562524.796339158</v>
      </c>
      <c r="AS221" s="7">
        <f t="shared" si="16"/>
        <v>7631879.0856870972</v>
      </c>
      <c r="AT221" s="7">
        <f t="shared" si="16"/>
        <v>7701169.5050887121</v>
      </c>
      <c r="AU221" s="7">
        <f t="shared" si="16"/>
        <v>7770389.8224326242</v>
      </c>
      <c r="AV221" s="7">
        <f t="shared" si="16"/>
        <v>7839533.8869216451</v>
      </c>
      <c r="AW221" s="7">
        <f t="shared" si="16"/>
        <v>7908595.6298377505</v>
      </c>
      <c r="AX221" s="7">
        <f t="shared" si="16"/>
        <v>7977569.0652527306</v>
      </c>
      <c r="AY221" s="7">
        <f t="shared" si="16"/>
        <v>8046448.2906854544</v>
      </c>
      <c r="AZ221" s="7">
        <f t="shared" si="16"/>
        <v>8115227.4877066743</v>
      </c>
      <c r="BA221" s="7">
        <f t="shared" si="16"/>
        <v>8183900.9224923253</v>
      </c>
      <c r="BB221" s="7">
        <f t="shared" si="16"/>
        <v>8252462.9463262772</v>
      </c>
      <c r="BC221" s="7">
        <f t="shared" si="16"/>
        <v>8320907.996053502</v>
      </c>
      <c r="BD221" s="7">
        <f t="shared" si="16"/>
        <v>8389230.5944846626</v>
      </c>
      <c r="BE221" s="7">
        <f t="shared" si="16"/>
        <v>8457425.3507530876</v>
      </c>
      <c r="BF221" s="7">
        <f t="shared" si="16"/>
        <v>8525486.9606251381</v>
      </c>
      <c r="BG221" s="7">
        <f t="shared" si="16"/>
        <v>8593410.2067649737</v>
      </c>
      <c r="BH221" s="7">
        <f t="shared" si="16"/>
        <v>8661189.9589547254</v>
      </c>
      <c r="BI221" s="7">
        <f t="shared" si="16"/>
        <v>8728821.1742710769</v>
      </c>
      <c r="BJ221" s="7">
        <f t="shared" si="16"/>
        <v>8796298.8972192779</v>
      </c>
      <c r="BK221" s="7">
        <f t="shared" si="16"/>
        <v>8863618.2598256078</v>
      </c>
      <c r="BL221" s="7">
        <f t="shared" si="16"/>
        <v>8930774.4816892892</v>
      </c>
      <c r="BM221" s="7">
        <f t="shared" si="16"/>
        <v>8997762.8699948844</v>
      </c>
      <c r="BN221" s="7">
        <f t="shared" si="16"/>
        <v>9064578.8194861822</v>
      </c>
      <c r="BO221" s="7">
        <f t="shared" ref="BO221:BS224" si="17">VLOOKUP($A221,$A$2:$BU$196,BO$198,FALSE)</f>
        <v>9131217.8124025837</v>
      </c>
      <c r="BP221" s="7">
        <f t="shared" si="17"/>
        <v>9197675.418379005</v>
      </c>
      <c r="BQ221" s="7">
        <f t="shared" si="17"/>
        <v>9263947.2943102941</v>
      </c>
      <c r="BR221" s="7">
        <f t="shared" si="17"/>
        <v>9330029.1841811612</v>
      </c>
      <c r="BS221" s="7">
        <f t="shared" si="17"/>
        <v>9395916.9188626297</v>
      </c>
      <c r="BT221" s="7">
        <f t="shared" si="15"/>
        <v>9461606.4158759806</v>
      </c>
      <c r="BU221" s="7">
        <f t="shared" si="15"/>
        <v>9527093.6791251842</v>
      </c>
      <c r="BV221" s="7"/>
      <c r="BW221" s="7"/>
      <c r="BX221" s="7"/>
      <c r="BY221" s="7"/>
      <c r="BZ221" s="7"/>
      <c r="CA221" s="7"/>
      <c r="CB221" s="7"/>
      <c r="CC221" s="7"/>
      <c r="CD221" s="7"/>
      <c r="CE221" s="7"/>
      <c r="CF221" s="7"/>
      <c r="CG221" s="7"/>
      <c r="CH221" s="7"/>
      <c r="CI221" s="7"/>
      <c r="CJ221" s="7"/>
      <c r="CK221" s="7"/>
      <c r="CL221" s="7"/>
      <c r="CM221" s="7"/>
      <c r="CN221" s="7"/>
      <c r="CO221" s="7"/>
      <c r="CP221" s="7"/>
      <c r="CQ221" s="7"/>
      <c r="CR221" s="7"/>
      <c r="CS221" s="7"/>
      <c r="CT221" s="7"/>
      <c r="CU221" s="7"/>
      <c r="CV221" s="7"/>
      <c r="CW221" s="7"/>
      <c r="CX221" s="7"/>
      <c r="CY221" s="7"/>
      <c r="CZ221" s="7"/>
      <c r="DA221" s="7"/>
      <c r="DB221" s="7"/>
      <c r="DC221" s="7"/>
      <c r="DD221" s="7"/>
      <c r="DE221" s="7"/>
      <c r="DF221" s="7"/>
      <c r="DG221" s="7"/>
      <c r="DH221" s="7"/>
      <c r="DI221" s="7"/>
      <c r="DJ221" s="7"/>
      <c r="DK221" s="7"/>
      <c r="DL221" s="7"/>
      <c r="DM221" s="7"/>
      <c r="DN221" s="7"/>
      <c r="DO221" s="7"/>
      <c r="DP221" s="7"/>
      <c r="DQ221" s="7"/>
      <c r="DR221" s="7"/>
      <c r="DS221" s="7"/>
      <c r="DT221" s="7"/>
      <c r="DU221" s="7"/>
    </row>
    <row r="222" spans="1:125" x14ac:dyDescent="0.25">
      <c r="A222" t="str">
        <f>'storage capacity'!Q25</f>
        <v>Malaysia</v>
      </c>
      <c r="C222" s="7">
        <f t="shared" si="9"/>
        <v>646078.46666666865</v>
      </c>
      <c r="D222" s="7">
        <f t="shared" ref="D222:BO225" si="18">VLOOKUP($A222,$A$2:$BU$196,D$198,FALSE)</f>
        <v>694354.04861799185</v>
      </c>
      <c r="E222" s="7">
        <f t="shared" si="18"/>
        <v>745717.99902285694</v>
      </c>
      <c r="F222" s="7">
        <f t="shared" si="18"/>
        <v>800329.89646929805</v>
      </c>
      <c r="G222" s="7">
        <f t="shared" si="18"/>
        <v>858355.12711105286</v>
      </c>
      <c r="H222" s="7">
        <f t="shared" si="18"/>
        <v>919964.96062901337</v>
      </c>
      <c r="I222" s="7">
        <f t="shared" si="18"/>
        <v>985336.62022974156</v>
      </c>
      <c r="J222" s="7">
        <f t="shared" si="18"/>
        <v>1054653.3463634104</v>
      </c>
      <c r="K222" s="7">
        <f t="shared" si="18"/>
        <v>1128104.4538511203</v>
      </c>
      <c r="L222" s="7">
        <f t="shared" si="18"/>
        <v>1205885.3821201753</v>
      </c>
      <c r="M222" s="7">
        <f t="shared" si="18"/>
        <v>1288197.7382555692</v>
      </c>
      <c r="N222" s="7">
        <f t="shared" si="18"/>
        <v>1375249.3325866121</v>
      </c>
      <c r="O222" s="7">
        <f t="shared" si="18"/>
        <v>1467254.2065392863</v>
      </c>
      <c r="P222" s="7">
        <f t="shared" si="18"/>
        <v>1564432.6524975356</v>
      </c>
      <c r="Q222" s="7">
        <f t="shared" si="18"/>
        <v>1667011.2254302292</v>
      </c>
      <c r="R222" s="7">
        <f t="shared" si="18"/>
        <v>1775222.7460549602</v>
      </c>
      <c r="S222" s="7">
        <f t="shared" si="18"/>
        <v>1889306.2953250939</v>
      </c>
      <c r="T222" s="7">
        <f t="shared" si="18"/>
        <v>2009507.2000425446</v>
      </c>
      <c r="U222" s="7">
        <f t="shared" si="18"/>
        <v>2136077.0094155581</v>
      </c>
      <c r="V222" s="7">
        <f t="shared" si="18"/>
        <v>2269273.4623982888</v>
      </c>
      <c r="W222" s="7">
        <f t="shared" si="18"/>
        <v>2409360.4456671043</v>
      </c>
      <c r="X222" s="7">
        <f t="shared" si="18"/>
        <v>2556607.9421072933</v>
      </c>
      <c r="Y222" s="7">
        <f t="shared" si="18"/>
        <v>2711291.9697031179</v>
      </c>
      <c r="Z222" s="7">
        <f t="shared" si="18"/>
        <v>2873694.5107439021</v>
      </c>
      <c r="AA222" s="7">
        <f t="shared" si="18"/>
        <v>3044103.431278992</v>
      </c>
      <c r="AB222" s="7">
        <f t="shared" si="18"/>
        <v>3222812.3907749197</v>
      </c>
      <c r="AC222" s="7">
        <f t="shared" si="18"/>
        <v>3410120.7419488952</v>
      </c>
      <c r="AD222" s="7">
        <f t="shared" si="18"/>
        <v>3606333.4207737353</v>
      </c>
      <c r="AE222" s="7">
        <f t="shared" si="18"/>
        <v>3811760.8266704991</v>
      </c>
      <c r="AF222" s="7">
        <f t="shared" si="18"/>
        <v>4026718.6929263286</v>
      </c>
      <c r="AG222" s="7">
        <f t="shared" si="18"/>
        <v>4251527.9473962551</v>
      </c>
      <c r="AH222" s="7">
        <f t="shared" si="18"/>
        <v>4486514.5635689478</v>
      </c>
      <c r="AI222" s="7">
        <f t="shared" si="18"/>
        <v>4732009.4020974711</v>
      </c>
      <c r="AJ222" s="7">
        <f t="shared" si="18"/>
        <v>4988348.042917056</v>
      </c>
      <c r="AK222" s="7">
        <f t="shared" si="18"/>
        <v>5255870.6080925837</v>
      </c>
      <c r="AL222" s="7">
        <f t="shared" si="18"/>
        <v>5534921.5755588608</v>
      </c>
      <c r="AM222" s="7">
        <f t="shared" si="18"/>
        <v>5825849.5839368086</v>
      </c>
      <c r="AN222" s="7">
        <f t="shared" si="18"/>
        <v>6129007.2286283094</v>
      </c>
      <c r="AO222" s="7">
        <f t="shared" si="18"/>
        <v>6444750.8494115695</v>
      </c>
      <c r="AP222" s="7">
        <f t="shared" si="18"/>
        <v>6773440.3097775141</v>
      </c>
      <c r="AQ222" s="7">
        <f t="shared" si="18"/>
        <v>7115438.7682657167</v>
      </c>
      <c r="AR222" s="7">
        <f t="shared" si="18"/>
        <v>7471112.4420758067</v>
      </c>
      <c r="AS222" s="7">
        <f t="shared" si="18"/>
        <v>7840830.3632470071</v>
      </c>
      <c r="AT222" s="7">
        <f t="shared" si="18"/>
        <v>8224964.1277144542</v>
      </c>
      <c r="AU222" s="7">
        <f t="shared" si="18"/>
        <v>8623887.6375662182</v>
      </c>
      <c r="AV222" s="7">
        <f t="shared" si="18"/>
        <v>9037976.8368393723</v>
      </c>
      <c r="AW222" s="7">
        <f t="shared" si="18"/>
        <v>9467609.4412070699</v>
      </c>
      <c r="AX222" s="7">
        <f t="shared" si="18"/>
        <v>9913164.6619213354</v>
      </c>
      <c r="AY222" s="7">
        <f t="shared" si="18"/>
        <v>10375022.92438812</v>
      </c>
      <c r="AZ222" s="7">
        <f t="shared" si="18"/>
        <v>10853565.581762118</v>
      </c>
      <c r="BA222" s="7">
        <f t="shared" si="18"/>
        <v>11349174.623958798</v>
      </c>
      <c r="BB222" s="7">
        <f t="shared" si="18"/>
        <v>11862232.382490166</v>
      </c>
      <c r="BC222" s="7">
        <f t="shared" si="18"/>
        <v>12393121.23153878</v>
      </c>
      <c r="BD222" s="7">
        <f t="shared" si="18"/>
        <v>12942223.285691667</v>
      </c>
      <c r="BE222" s="7">
        <f t="shared" si="18"/>
        <v>13509920.094761796</v>
      </c>
      <c r="BF222" s="7">
        <f t="shared" si="18"/>
        <v>14096592.336129868</v>
      </c>
      <c r="BG222" s="7">
        <f t="shared" si="18"/>
        <v>14702619.505043244</v>
      </c>
      <c r="BH222" s="7">
        <f t="shared" si="18"/>
        <v>15328379.603311872</v>
      </c>
      <c r="BI222" s="7">
        <f t="shared" si="18"/>
        <v>15974248.826843185</v>
      </c>
      <c r="BJ222" s="7">
        <f t="shared" si="18"/>
        <v>16640601.252458962</v>
      </c>
      <c r="BK222" s="7">
        <f t="shared" si="18"/>
        <v>17327808.524437305</v>
      </c>
      <c r="BL222" s="7">
        <f t="shared" si="18"/>
        <v>18036239.541221946</v>
      </c>
      <c r="BM222" s="7">
        <f t="shared" si="18"/>
        <v>18766260.142739318</v>
      </c>
      <c r="BN222" s="7">
        <f t="shared" si="18"/>
        <v>19518232.7987611</v>
      </c>
      <c r="BO222" s="7">
        <f t="shared" si="18"/>
        <v>20292516.298746165</v>
      </c>
      <c r="BP222" s="7">
        <f t="shared" si="17"/>
        <v>21089465.443591464</v>
      </c>
      <c r="BQ222" s="7">
        <f t="shared" si="17"/>
        <v>21909430.739715815</v>
      </c>
      <c r="BR222" s="7">
        <f t="shared" si="17"/>
        <v>22752758.09589437</v>
      </c>
      <c r="BS222" s="7">
        <f t="shared" si="17"/>
        <v>23619788.523254503</v>
      </c>
      <c r="BT222" s="7">
        <f t="shared" si="15"/>
        <v>24510857.83883594</v>
      </c>
      <c r="BU222" s="7">
        <f t="shared" si="15"/>
        <v>25426296.373109426</v>
      </c>
      <c r="BV222" s="7"/>
      <c r="BW222" s="7"/>
      <c r="BX222" s="7"/>
      <c r="BY222" s="7"/>
      <c r="BZ222" s="7"/>
      <c r="CA222" s="7"/>
      <c r="CB222" s="7"/>
      <c r="CC222" s="7"/>
      <c r="CD222" s="7"/>
      <c r="CE222" s="7"/>
      <c r="CF222" s="7"/>
      <c r="CG222" s="7"/>
      <c r="CH222" s="7"/>
      <c r="CI222" s="7"/>
      <c r="CJ222" s="7"/>
      <c r="CK222" s="7"/>
      <c r="CL222" s="7"/>
      <c r="CM222" s="7"/>
      <c r="CN222" s="7"/>
      <c r="CO222" s="7"/>
      <c r="CP222" s="7"/>
      <c r="CQ222" s="7"/>
      <c r="CR222" s="7"/>
      <c r="CS222" s="7"/>
      <c r="CT222" s="7"/>
      <c r="CU222" s="7"/>
      <c r="CV222" s="7"/>
      <c r="CW222" s="7"/>
      <c r="CX222" s="7"/>
      <c r="CY222" s="7"/>
      <c r="CZ222" s="7"/>
      <c r="DA222" s="7"/>
      <c r="DB222" s="7"/>
      <c r="DC222" s="7"/>
      <c r="DD222" s="7"/>
      <c r="DE222" s="7"/>
      <c r="DF222" s="7"/>
      <c r="DG222" s="7"/>
      <c r="DH222" s="7"/>
      <c r="DI222" s="7"/>
      <c r="DJ222" s="7"/>
      <c r="DK222" s="7"/>
      <c r="DL222" s="7"/>
      <c r="DM222" s="7"/>
      <c r="DN222" s="7"/>
      <c r="DO222" s="7"/>
      <c r="DP222" s="7"/>
      <c r="DQ222" s="7"/>
      <c r="DR222" s="7"/>
      <c r="DS222" s="7"/>
      <c r="DT222" s="7"/>
      <c r="DU222" s="7"/>
    </row>
    <row r="223" spans="1:125" x14ac:dyDescent="0.25">
      <c r="A223" t="str">
        <f>'storage capacity'!Q26</f>
        <v>Mexico</v>
      </c>
      <c r="C223" s="7">
        <f t="shared" si="9"/>
        <v>2347205.0666666627</v>
      </c>
      <c r="D223" s="7">
        <f t="shared" si="18"/>
        <v>2464650.0566450022</v>
      </c>
      <c r="E223" s="7">
        <f t="shared" si="18"/>
        <v>2586738.3212199071</v>
      </c>
      <c r="F223" s="7">
        <f t="shared" si="18"/>
        <v>2713592.958363513</v>
      </c>
      <c r="G223" s="7">
        <f t="shared" si="18"/>
        <v>2845337.8390853661</v>
      </c>
      <c r="H223" s="7">
        <f t="shared" si="18"/>
        <v>2982097.5200602328</v>
      </c>
      <c r="I223" s="7">
        <f t="shared" si="18"/>
        <v>3123997.1542190961</v>
      </c>
      <c r="J223" s="7">
        <f t="shared" si="18"/>
        <v>3271162.3994238153</v>
      </c>
      <c r="K223" s="7">
        <f t="shared" si="18"/>
        <v>3423719.3253499018</v>
      </c>
      <c r="L223" s="7">
        <f t="shared" si="18"/>
        <v>3581794.3187055071</v>
      </c>
      <c r="M223" s="7">
        <f t="shared" si="18"/>
        <v>3745513.9869180662</v>
      </c>
      <c r="N223" s="7">
        <f t="shared" si="18"/>
        <v>3915005.0604230608</v>
      </c>
      <c r="O223" s="7">
        <f t="shared" si="18"/>
        <v>4090394.2936920687</v>
      </c>
      <c r="P223" s="7">
        <f t="shared" si="18"/>
        <v>4271808.3651396399</v>
      </c>
      <c r="Q223" s="7">
        <f t="shared" si="18"/>
        <v>4459373.7760505844</v>
      </c>
      <c r="R223" s="7">
        <f t="shared" si="18"/>
        <v>4653216.7486709747</v>
      </c>
      <c r="S223" s="7">
        <f t="shared" si="18"/>
        <v>4853463.1236075312</v>
      </c>
      <c r="T223" s="7">
        <f t="shared" si="18"/>
        <v>5060238.2566811349</v>
      </c>
      <c r="U223" s="7">
        <f t="shared" si="18"/>
        <v>5273666.9153808914</v>
      </c>
      <c r="V223" s="7">
        <f t="shared" si="18"/>
        <v>5493873.1750656031</v>
      </c>
      <c r="W223" s="7">
        <f t="shared" si="18"/>
        <v>5720980.3150595259</v>
      </c>
      <c r="X223" s="7">
        <f t="shared" si="18"/>
        <v>5955110.7147890748</v>
      </c>
      <c r="Y223" s="7">
        <f t="shared" si="18"/>
        <v>6196385.7501065228</v>
      </c>
      <c r="Z223" s="7">
        <f t="shared" si="18"/>
        <v>6444925.6899458999</v>
      </c>
      <c r="AA223" s="7">
        <f t="shared" si="18"/>
        <v>6700849.5934550809</v>
      </c>
      <c r="AB223" s="7">
        <f t="shared" si="18"/>
        <v>6964275.207746583</v>
      </c>
      <c r="AC223" s="7">
        <f t="shared" si="18"/>
        <v>7235318.8664078265</v>
      </c>
      <c r="AD223" s="7">
        <f t="shared" si="18"/>
        <v>7514095.3889095532</v>
      </c>
      <c r="AE223" s="7">
        <f t="shared" si="18"/>
        <v>7800717.9810487982</v>
      </c>
      <c r="AF223" s="7">
        <f t="shared" si="18"/>
        <v>8095298.1365602249</v>
      </c>
      <c r="AG223" s="7">
        <f t="shared" si="18"/>
        <v>8397945.5400268044</v>
      </c>
      <c r="AH223" s="7">
        <f t="shared" si="18"/>
        <v>8708767.9712177794</v>
      </c>
      <c r="AI223" s="7">
        <f t="shared" si="18"/>
        <v>9027871.2109785546</v>
      </c>
      <c r="AJ223" s="7">
        <f t="shared" si="18"/>
        <v>9355358.9487936441</v>
      </c>
      <c r="AK223" s="7">
        <f t="shared" si="18"/>
        <v>9691332.6921401583</v>
      </c>
      <c r="AL223" s="7">
        <f t="shared" si="18"/>
        <v>10035891.677745353</v>
      </c>
      <c r="AM223" s="7">
        <f t="shared" si="18"/>
        <v>10389132.784857767</v>
      </c>
      <c r="AN223" s="7">
        <f t="shared" si="18"/>
        <v>10751150.450637178</v>
      </c>
      <c r="AO223" s="7">
        <f t="shared" si="18"/>
        <v>11122036.587764345</v>
      </c>
      <c r="AP223" s="7">
        <f t="shared" si="18"/>
        <v>11501880.504366841</v>
      </c>
      <c r="AQ223" s="7">
        <f t="shared" si="18"/>
        <v>11890768.826352777</v>
      </c>
      <c r="AR223" s="7">
        <f t="shared" si="18"/>
        <v>12288785.422239415</v>
      </c>
      <c r="AS223" s="7">
        <f t="shared" si="18"/>
        <v>12696011.330558829</v>
      </c>
      <c r="AT223" s="7">
        <f t="shared" si="18"/>
        <v>13112524.689917857</v>
      </c>
      <c r="AU223" s="7">
        <f t="shared" si="18"/>
        <v>13538400.671784606</v>
      </c>
      <c r="AV223" s="7">
        <f t="shared" si="18"/>
        <v>13973711.416068701</v>
      </c>
      <c r="AW223" s="7">
        <f t="shared" si="18"/>
        <v>14418525.969557373</v>
      </c>
      <c r="AX223" s="7">
        <f t="shared" si="18"/>
        <v>14872910.227264384</v>
      </c>
      <c r="AY223" s="7">
        <f t="shared" si="18"/>
        <v>15336926.87674359</v>
      </c>
      <c r="AZ223" s="7">
        <f t="shared" si="18"/>
        <v>15810635.345413849</v>
      </c>
      <c r="BA223" s="7">
        <f t="shared" si="18"/>
        <v>16294091.750936748</v>
      </c>
      <c r="BB223" s="7">
        <f t="shared" si="18"/>
        <v>16787348.854683608</v>
      </c>
      <c r="BC223" s="7">
        <f t="shared" si="18"/>
        <v>17290456.018322945</v>
      </c>
      <c r="BD223" s="7">
        <f t="shared" si="18"/>
        <v>17803459.16355468</v>
      </c>
      <c r="BE223" s="7">
        <f t="shared" si="18"/>
        <v>18326400.735012218</v>
      </c>
      <c r="BF223" s="7">
        <f t="shared" si="18"/>
        <v>18859319.666348606</v>
      </c>
      <c r="BG223" s="7">
        <f t="shared" si="18"/>
        <v>19402251.349518087</v>
      </c>
      <c r="BH223" s="7">
        <f t="shared" si="18"/>
        <v>19955227.607259501</v>
      </c>
      <c r="BI223" s="7">
        <f t="shared" si="18"/>
        <v>20518276.668783251</v>
      </c>
      <c r="BJ223" s="7">
        <f t="shared" si="18"/>
        <v>21091423.148658924</v>
      </c>
      <c r="BK223" s="7">
        <f t="shared" si="18"/>
        <v>21674688.028896045</v>
      </c>
      <c r="BL223" s="7">
        <f t="shared" si="18"/>
        <v>22268088.644206028</v>
      </c>
      <c r="BM223" s="7">
        <f t="shared" si="18"/>
        <v>22871638.670429081</v>
      </c>
      <c r="BN223" s="7">
        <f t="shared" si="18"/>
        <v>23485348.116105482</v>
      </c>
      <c r="BO223" s="7">
        <f t="shared" si="18"/>
        <v>24109223.317166716</v>
      </c>
      <c r="BP223" s="7">
        <f t="shared" si="17"/>
        <v>24743266.934717849</v>
      </c>
      <c r="BQ223" s="7">
        <f t="shared" si="17"/>
        <v>25387477.955878772</v>
      </c>
      <c r="BR223" s="7">
        <f t="shared" si="17"/>
        <v>26041851.697648179</v>
      </c>
      <c r="BS223" s="7">
        <f t="shared" si="17"/>
        <v>26706379.813750684</v>
      </c>
      <c r="BT223" s="7">
        <f t="shared" si="15"/>
        <v>27381050.30442401</v>
      </c>
      <c r="BU223" s="7">
        <f t="shared" si="15"/>
        <v>28065847.529099889</v>
      </c>
      <c r="BV223" s="7"/>
      <c r="BW223" s="7"/>
      <c r="BX223" s="7"/>
      <c r="BY223" s="7"/>
      <c r="BZ223" s="7"/>
      <c r="CA223" s="7"/>
      <c r="CB223" s="7"/>
      <c r="CC223" s="7"/>
      <c r="CD223" s="7"/>
      <c r="CE223" s="7"/>
      <c r="CF223" s="7"/>
      <c r="CG223" s="7"/>
      <c r="CH223" s="7"/>
      <c r="CI223" s="7"/>
      <c r="CJ223" s="7"/>
      <c r="CK223" s="7"/>
      <c r="CL223" s="7"/>
      <c r="CM223" s="7"/>
      <c r="CN223" s="7"/>
      <c r="CO223" s="7"/>
      <c r="CP223" s="7"/>
      <c r="CQ223" s="7"/>
      <c r="CR223" s="7"/>
      <c r="CS223" s="7"/>
      <c r="CT223" s="7"/>
      <c r="CU223" s="7"/>
      <c r="CV223" s="7"/>
      <c r="CW223" s="7"/>
      <c r="CX223" s="7"/>
      <c r="CY223" s="7"/>
      <c r="CZ223" s="7"/>
      <c r="DA223" s="7"/>
      <c r="DB223" s="7"/>
      <c r="DC223" s="7"/>
      <c r="DD223" s="7"/>
      <c r="DE223" s="7"/>
      <c r="DF223" s="7"/>
      <c r="DG223" s="7"/>
      <c r="DH223" s="7"/>
      <c r="DI223" s="7"/>
      <c r="DJ223" s="7"/>
      <c r="DK223" s="7"/>
      <c r="DL223" s="7"/>
      <c r="DM223" s="7"/>
      <c r="DN223" s="7"/>
      <c r="DO223" s="7"/>
      <c r="DP223" s="7"/>
      <c r="DQ223" s="7"/>
      <c r="DR223" s="7"/>
      <c r="DS223" s="7"/>
      <c r="DT223" s="7"/>
      <c r="DU223" s="7"/>
    </row>
    <row r="224" spans="1:125" x14ac:dyDescent="0.25">
      <c r="A224" t="str">
        <f>'storage capacity'!Q27</f>
        <v>Netherlands</v>
      </c>
      <c r="C224" s="7">
        <f t="shared" si="9"/>
        <v>1547472.8666666746</v>
      </c>
      <c r="D224" s="7">
        <f t="shared" si="18"/>
        <v>1676162.0844569197</v>
      </c>
      <c r="E224" s="7">
        <f t="shared" si="18"/>
        <v>1814159.3006039357</v>
      </c>
      <c r="F224" s="7">
        <f t="shared" si="18"/>
        <v>1962024.1438058731</v>
      </c>
      <c r="G224" s="7">
        <f t="shared" si="18"/>
        <v>2120341.6897693588</v>
      </c>
      <c r="H224" s="7">
        <f t="shared" si="18"/>
        <v>2289723.1018423145</v>
      </c>
      <c r="I224" s="7">
        <f t="shared" si="18"/>
        <v>2470806.2587581337</v>
      </c>
      <c r="J224" s="7">
        <f t="shared" si="18"/>
        <v>2664256.3676958736</v>
      </c>
      <c r="K224" s="7">
        <f t="shared" si="18"/>
        <v>2870766.5608421396</v>
      </c>
      <c r="L224" s="7">
        <f t="shared" si="18"/>
        <v>3091058.4736265535</v>
      </c>
      <c r="M224" s="7">
        <f t="shared" si="18"/>
        <v>3325882.8027942558</v>
      </c>
      <c r="N224" s="7">
        <f t="shared" si="18"/>
        <v>3576019.84247596</v>
      </c>
      <c r="O224" s="7">
        <f t="shared" si="18"/>
        <v>3842279.9964187187</v>
      </c>
      <c r="P224" s="7">
        <f t="shared" si="18"/>
        <v>4125504.2645488982</v>
      </c>
      <c r="Q224" s="7">
        <f t="shared" si="18"/>
        <v>4426564.7020529406</v>
      </c>
      <c r="R224" s="7">
        <f t="shared" si="18"/>
        <v>4746364.8491813475</v>
      </c>
      <c r="S224" s="7">
        <f t="shared" si="18"/>
        <v>5085840.1300070034</v>
      </c>
      <c r="T224" s="7">
        <f t="shared" si="18"/>
        <v>5445958.2184004076</v>
      </c>
      <c r="U224" s="7">
        <f t="shared" si="18"/>
        <v>5827719.3695216142</v>
      </c>
      <c r="V224" s="7">
        <f t="shared" si="18"/>
        <v>6232156.7151716249</v>
      </c>
      <c r="W224" s="7">
        <f t="shared" si="18"/>
        <v>6660336.5213945433</v>
      </c>
      <c r="X224" s="7">
        <f t="shared" si="18"/>
        <v>7113358.4067758843</v>
      </c>
      <c r="Y224" s="7">
        <f t="shared" si="18"/>
        <v>7592355.5199419521</v>
      </c>
      <c r="Z224" s="7">
        <f t="shared" si="18"/>
        <v>8098494.6748299282</v>
      </c>
      <c r="AA224" s="7">
        <f t="shared" si="18"/>
        <v>8632976.4423681796</v>
      </c>
      <c r="AB224" s="7">
        <f t="shared" si="18"/>
        <v>9197035.1972810011</v>
      </c>
      <c r="AC224" s="7">
        <f t="shared" si="18"/>
        <v>9791939.118811477</v>
      </c>
      <c r="AD224" s="7">
        <f t="shared" si="18"/>
        <v>10418990.144239962</v>
      </c>
      <c r="AE224" s="7">
        <f t="shared" si="18"/>
        <v>11079523.874163855</v>
      </c>
      <c r="AF224" s="7">
        <f t="shared" si="18"/>
        <v>11774909.428596295</v>
      </c>
      <c r="AG224" s="7">
        <f t="shared" si="18"/>
        <v>12506549.253037218</v>
      </c>
      <c r="AH224" s="7">
        <f t="shared" si="18"/>
        <v>13275878.873769194</v>
      </c>
      <c r="AI224" s="7">
        <f t="shared" si="18"/>
        <v>14084366.601732727</v>
      </c>
      <c r="AJ224" s="7">
        <f t="shared" si="18"/>
        <v>14933513.18444054</v>
      </c>
      <c r="AK224" s="7">
        <f t="shared" si="18"/>
        <v>15824851.405497739</v>
      </c>
      <c r="AL224" s="7">
        <f t="shared" si="18"/>
        <v>16759945.631404186</v>
      </c>
      <c r="AM224" s="7">
        <f t="shared" si="18"/>
        <v>17740391.305426594</v>
      </c>
      <c r="AN224" s="7">
        <f t="shared" si="18"/>
        <v>18767814.388440434</v>
      </c>
      <c r="AO224" s="7">
        <f t="shared" si="18"/>
        <v>19843870.74675535</v>
      </c>
      <c r="AP224" s="7">
        <f t="shared" si="18"/>
        <v>20970245.487052206</v>
      </c>
      <c r="AQ224" s="7">
        <f t="shared" si="18"/>
        <v>22148652.238674432</v>
      </c>
      <c r="AR224" s="7">
        <f t="shared" si="18"/>
        <v>23380832.383631095</v>
      </c>
      <c r="AS224" s="7">
        <f t="shared" si="18"/>
        <v>24668554.234783351</v>
      </c>
      <c r="AT224" s="7">
        <f t="shared" si="18"/>
        <v>26013612.162799526</v>
      </c>
      <c r="AU224" s="7">
        <f t="shared" si="18"/>
        <v>27417825.672576647</v>
      </c>
      <c r="AV224" s="7">
        <f t="shared" si="18"/>
        <v>28883038.429937243</v>
      </c>
      <c r="AW224" s="7">
        <f t="shared" si="18"/>
        <v>30411117.239519749</v>
      </c>
      <c r="AX224" s="7">
        <f t="shared" si="18"/>
        <v>32003950.974888116</v>
      </c>
      <c r="AY224" s="7">
        <f t="shared" si="18"/>
        <v>33663449.461991228</v>
      </c>
      <c r="AZ224" s="7">
        <f t="shared" si="18"/>
        <v>35391542.317205064</v>
      </c>
      <c r="BA224" s="7">
        <f t="shared" si="18"/>
        <v>37190177.741289884</v>
      </c>
      <c r="BB224" s="7">
        <f t="shared" si="18"/>
        <v>39061321.270690881</v>
      </c>
      <c r="BC224" s="7">
        <f t="shared" si="18"/>
        <v>41006954.487703353</v>
      </c>
      <c r="BD224" s="7">
        <f t="shared" si="18"/>
        <v>43029073.691112459</v>
      </c>
      <c r="BE224" s="7">
        <f t="shared" si="18"/>
        <v>45129688.529002398</v>
      </c>
      <c r="BF224" s="7">
        <f t="shared" si="18"/>
        <v>47310820.59551084</v>
      </c>
      <c r="BG224" s="7">
        <f t="shared" si="18"/>
        <v>49574501.993380614</v>
      </c>
      <c r="BH224" s="7">
        <f t="shared" si="18"/>
        <v>51922773.864232592</v>
      </c>
      <c r="BI224" s="7">
        <f t="shared" si="18"/>
        <v>54357684.888550781</v>
      </c>
      <c r="BJ224" s="7">
        <f t="shared" si="18"/>
        <v>56881289.757432677</v>
      </c>
      <c r="BK224" s="7">
        <f t="shared" si="18"/>
        <v>59495647.618215479</v>
      </c>
      <c r="BL224" s="7">
        <f t="shared" si="18"/>
        <v>62202820.496140473</v>
      </c>
      <c r="BM224" s="7">
        <f t="shared" si="18"/>
        <v>65004871.694264963</v>
      </c>
      <c r="BN224" s="7">
        <f t="shared" si="18"/>
        <v>67903864.173872605</v>
      </c>
      <c r="BO224" s="7">
        <f t="shared" si="18"/>
        <v>70901858.917669401</v>
      </c>
      <c r="BP224" s="7">
        <f t="shared" si="17"/>
        <v>74000913.27808325</v>
      </c>
      <c r="BQ224" s="7">
        <f t="shared" si="17"/>
        <v>77203079.313010439</v>
      </c>
      <c r="BR224" s="7">
        <f t="shared" si="17"/>
        <v>80510402.111372679</v>
      </c>
      <c r="BS224" s="7">
        <f t="shared" si="17"/>
        <v>83924918.110862717</v>
      </c>
      <c r="BT224" s="7">
        <f t="shared" si="15"/>
        <v>87448653.410265774</v>
      </c>
      <c r="BU224" s="7">
        <f t="shared" si="15"/>
        <v>91083622.078748286</v>
      </c>
      <c r="BV224" s="7"/>
      <c r="BW224" s="7"/>
      <c r="BX224" s="7"/>
      <c r="BY224" s="7"/>
      <c r="BZ224" s="7"/>
      <c r="CA224" s="7"/>
      <c r="CB224" s="7"/>
      <c r="CC224" s="7"/>
      <c r="CD224" s="7"/>
      <c r="CE224" s="7"/>
      <c r="CF224" s="7"/>
      <c r="CG224" s="7"/>
      <c r="CH224" s="7"/>
      <c r="CI224" s="7"/>
      <c r="CJ224" s="7"/>
      <c r="CK224" s="7"/>
      <c r="CL224" s="7"/>
      <c r="CM224" s="7"/>
      <c r="CN224" s="7"/>
      <c r="CO224" s="7"/>
      <c r="CP224" s="7"/>
      <c r="CQ224" s="7"/>
      <c r="CR224" s="7"/>
      <c r="CS224" s="7"/>
      <c r="CT224" s="7"/>
      <c r="CU224" s="7"/>
      <c r="CV224" s="7"/>
      <c r="CW224" s="7"/>
      <c r="CX224" s="7"/>
      <c r="CY224" s="7"/>
      <c r="CZ224" s="7"/>
      <c r="DA224" s="7"/>
      <c r="DB224" s="7"/>
      <c r="DC224" s="7"/>
      <c r="DD224" s="7"/>
      <c r="DE224" s="7"/>
      <c r="DF224" s="7"/>
      <c r="DG224" s="7"/>
      <c r="DH224" s="7"/>
      <c r="DI224" s="7"/>
      <c r="DJ224" s="7"/>
      <c r="DK224" s="7"/>
      <c r="DL224" s="7"/>
      <c r="DM224" s="7"/>
      <c r="DN224" s="7"/>
      <c r="DO224" s="7"/>
      <c r="DP224" s="7"/>
      <c r="DQ224" s="7"/>
      <c r="DR224" s="7"/>
      <c r="DS224" s="7"/>
      <c r="DT224" s="7"/>
      <c r="DU224" s="7"/>
    </row>
    <row r="225" spans="1:125" x14ac:dyDescent="0.25">
      <c r="A225" t="str">
        <f>'storage capacity'!Q28</f>
        <v>New Zealand</v>
      </c>
      <c r="C225" s="7">
        <f t="shared" si="9"/>
        <v>315392.86666666716</v>
      </c>
      <c r="D225" s="7">
        <f t="shared" si="18"/>
        <v>328327.02912242227</v>
      </c>
      <c r="E225" s="7">
        <f t="shared" si="18"/>
        <v>341656.97163629439</v>
      </c>
      <c r="F225" s="7">
        <f t="shared" si="18"/>
        <v>355389.3930135807</v>
      </c>
      <c r="G225" s="7">
        <f t="shared" si="18"/>
        <v>369530.92598380521</v>
      </c>
      <c r="H225" s="7">
        <f t="shared" si="18"/>
        <v>384088.13150903233</v>
      </c>
      <c r="I225" s="7">
        <f t="shared" si="18"/>
        <v>399067.49313279602</v>
      </c>
      <c r="J225" s="7">
        <f t="shared" si="18"/>
        <v>414475.4113773788</v>
      </c>
      <c r="K225" s="7">
        <f t="shared" si="18"/>
        <v>430318.19819705019</v>
      </c>
      <c r="L225" s="7">
        <f t="shared" si="18"/>
        <v>446602.07149473333</v>
      </c>
      <c r="M225" s="7">
        <f t="shared" si="18"/>
        <v>463333.14970941568</v>
      </c>
      <c r="N225" s="7">
        <f t="shared" si="18"/>
        <v>480517.44648145029</v>
      </c>
      <c r="O225" s="7">
        <f t="shared" si="18"/>
        <v>498160.86540271604</v>
      </c>
      <c r="P225" s="7">
        <f t="shared" si="18"/>
        <v>516269.19485841144</v>
      </c>
      <c r="Q225" s="7">
        <f t="shared" si="18"/>
        <v>534848.10296705505</v>
      </c>
      <c r="R225" s="7">
        <f t="shared" si="18"/>
        <v>553903.13262505014</v>
      </c>
      <c r="S225" s="7">
        <f t="shared" si="18"/>
        <v>573439.69666194648</v>
      </c>
      <c r="T225" s="7">
        <f t="shared" si="18"/>
        <v>593463.07311230304</v>
      </c>
      <c r="U225" s="7">
        <f t="shared" si="18"/>
        <v>613978.40060980862</v>
      </c>
      <c r="V225" s="7">
        <f t="shared" si="18"/>
        <v>634990.6739090709</v>
      </c>
      <c r="W225" s="7">
        <f t="shared" si="18"/>
        <v>656504.73954023013</v>
      </c>
      <c r="X225" s="7">
        <f t="shared" si="18"/>
        <v>678525.29160128534</v>
      </c>
      <c r="Y225" s="7">
        <f t="shared" si="18"/>
        <v>701056.86769275973</v>
      </c>
      <c r="Z225" s="7">
        <f t="shared" si="18"/>
        <v>724103.84499905375</v>
      </c>
      <c r="AA225" s="7">
        <f t="shared" si="18"/>
        <v>747670.43652056088</v>
      </c>
      <c r="AB225" s="7">
        <f t="shared" si="18"/>
        <v>771760.6874603387</v>
      </c>
      <c r="AC225" s="7">
        <f t="shared" si="18"/>
        <v>796378.47176884662</v>
      </c>
      <c r="AD225" s="7">
        <f t="shared" si="18"/>
        <v>821527.48884997738</v>
      </c>
      <c r="AE225" s="7">
        <f t="shared" si="18"/>
        <v>847211.26043131959</v>
      </c>
      <c r="AF225" s="7">
        <f t="shared" si="18"/>
        <v>873433.12760130817</v>
      </c>
      <c r="AG225" s="7">
        <f t="shared" si="18"/>
        <v>900196.24801562785</v>
      </c>
      <c r="AH225" s="7">
        <f t="shared" si="18"/>
        <v>927503.59327495098</v>
      </c>
      <c r="AI225" s="7">
        <f t="shared" si="18"/>
        <v>955357.94647580816</v>
      </c>
      <c r="AJ225" s="7">
        <f t="shared" si="18"/>
        <v>983761.89993610408</v>
      </c>
      <c r="AK225" s="7">
        <f t="shared" si="18"/>
        <v>1012717.8530965145</v>
      </c>
      <c r="AL225" s="7">
        <f t="shared" si="18"/>
        <v>1042228.0105987211</v>
      </c>
      <c r="AM225" s="7">
        <f t="shared" si="18"/>
        <v>1072294.3805411675</v>
      </c>
      <c r="AN225" s="7">
        <f t="shared" si="18"/>
        <v>1102918.7729127523</v>
      </c>
      <c r="AO225" s="7">
        <f t="shared" si="18"/>
        <v>1134102.7982046078</v>
      </c>
      <c r="AP225" s="7">
        <f t="shared" si="18"/>
        <v>1165847.8661998541</v>
      </c>
      <c r="AQ225" s="7">
        <f t="shared" si="18"/>
        <v>1198155.184940964</v>
      </c>
      <c r="AR225" s="7">
        <f t="shared" si="18"/>
        <v>1231025.7598741259</v>
      </c>
      <c r="AS225" s="7">
        <f t="shared" si="18"/>
        <v>1264460.3931697477</v>
      </c>
      <c r="AT225" s="7">
        <f t="shared" si="18"/>
        <v>1298459.6832180105</v>
      </c>
      <c r="AU225" s="7">
        <f t="shared" si="18"/>
        <v>1333024.0242981508</v>
      </c>
      <c r="AV225" s="7">
        <f t="shared" si="18"/>
        <v>1368153.6064199281</v>
      </c>
      <c r="AW225" s="7">
        <f t="shared" si="18"/>
        <v>1403848.4153355197</v>
      </c>
      <c r="AX225" s="7">
        <f t="shared" si="18"/>
        <v>1440108.2327198787</v>
      </c>
      <c r="AY225" s="7">
        <f t="shared" si="18"/>
        <v>1476932.6365173913</v>
      </c>
      <c r="AZ225" s="7">
        <f t="shared" si="18"/>
        <v>1514321.0014524774</v>
      </c>
      <c r="BA225" s="7">
        <f t="shared" si="18"/>
        <v>1552272.499701598</v>
      </c>
      <c r="BB225" s="7">
        <f t="shared" si="18"/>
        <v>1590786.1017239545</v>
      </c>
      <c r="BC225" s="7">
        <f t="shared" si="18"/>
        <v>1629860.5772480057</v>
      </c>
      <c r="BD225" s="7">
        <f t="shared" si="18"/>
        <v>1669494.4964107599</v>
      </c>
      <c r="BE225" s="7">
        <f t="shared" si="18"/>
        <v>1709686.2310466636</v>
      </c>
      <c r="BF225" s="7">
        <f t="shared" si="18"/>
        <v>1750433.9561227572</v>
      </c>
      <c r="BG225" s="7">
        <f t="shared" si="18"/>
        <v>1791735.6513166411</v>
      </c>
      <c r="BH225" s="7">
        <f t="shared" si="18"/>
        <v>1833589.102733674</v>
      </c>
      <c r="BI225" s="7">
        <f t="shared" si="18"/>
        <v>1875991.9047597062</v>
      </c>
      <c r="BJ225" s="7">
        <f t="shared" si="18"/>
        <v>1918941.4620455538</v>
      </c>
      <c r="BK225" s="7">
        <f t="shared" si="18"/>
        <v>1962434.9916193082</v>
      </c>
      <c r="BL225" s="7">
        <f t="shared" si="18"/>
        <v>2006469.5251225058</v>
      </c>
      <c r="BM225" s="7">
        <f t="shared" si="18"/>
        <v>2051041.9111660828</v>
      </c>
      <c r="BN225" s="7">
        <f t="shared" si="18"/>
        <v>2096148.8178019885</v>
      </c>
      <c r="BO225" s="7">
        <f t="shared" ref="BO225:BS228" si="19">VLOOKUP($A225,$A$2:$BU$196,BO$198,FALSE)</f>
        <v>2141786.7351062451</v>
      </c>
      <c r="BP225" s="7">
        <f t="shared" si="19"/>
        <v>2187951.9778692103</v>
      </c>
      <c r="BQ225" s="7">
        <f t="shared" si="19"/>
        <v>2234640.6883887295</v>
      </c>
      <c r="BR225" s="7">
        <f t="shared" si="19"/>
        <v>2281848.8393618409</v>
      </c>
      <c r="BS225" s="7">
        <f t="shared" si="19"/>
        <v>2329572.2368706563</v>
      </c>
      <c r="BT225" s="7">
        <f t="shared" si="15"/>
        <v>2377806.5234580198</v>
      </c>
      <c r="BU225" s="7">
        <f t="shared" si="15"/>
        <v>2426547.1812885259</v>
      </c>
      <c r="BV225" s="7"/>
      <c r="BW225" s="7"/>
      <c r="BX225" s="7"/>
      <c r="BY225" s="7"/>
      <c r="BZ225" s="7"/>
      <c r="CA225" s="7"/>
      <c r="CB225" s="7"/>
      <c r="CC225" s="7"/>
      <c r="CD225" s="7"/>
      <c r="CE225" s="7"/>
      <c r="CF225" s="7"/>
      <c r="CG225" s="7"/>
      <c r="CH225" s="7"/>
      <c r="CI225" s="7"/>
      <c r="CJ225" s="7"/>
      <c r="CK225" s="7"/>
      <c r="CL225" s="7"/>
      <c r="CM225" s="7"/>
      <c r="CN225" s="7"/>
      <c r="CO225" s="7"/>
      <c r="CP225" s="7"/>
      <c r="CQ225" s="7"/>
      <c r="CR225" s="7"/>
      <c r="CS225" s="7"/>
      <c r="CT225" s="7"/>
      <c r="CU225" s="7"/>
      <c r="CV225" s="7"/>
      <c r="CW225" s="7"/>
      <c r="CX225" s="7"/>
      <c r="CY225" s="7"/>
      <c r="CZ225" s="7"/>
      <c r="DA225" s="7"/>
      <c r="DB225" s="7"/>
      <c r="DC225" s="7"/>
      <c r="DD225" s="7"/>
      <c r="DE225" s="7"/>
      <c r="DF225" s="7"/>
      <c r="DG225" s="7"/>
      <c r="DH225" s="7"/>
      <c r="DI225" s="7"/>
      <c r="DJ225" s="7"/>
      <c r="DK225" s="7"/>
      <c r="DL225" s="7"/>
      <c r="DM225" s="7"/>
      <c r="DN225" s="7"/>
      <c r="DO225" s="7"/>
      <c r="DP225" s="7"/>
      <c r="DQ225" s="7"/>
      <c r="DR225" s="7"/>
      <c r="DS225" s="7"/>
      <c r="DT225" s="7"/>
      <c r="DU225" s="7"/>
    </row>
    <row r="226" spans="1:125" x14ac:dyDescent="0.25">
      <c r="A226" t="str">
        <f>'storage capacity'!Q29</f>
        <v>Norway</v>
      </c>
      <c r="C226" s="7">
        <f t="shared" si="9"/>
        <v>561054.80000000075</v>
      </c>
      <c r="D226" s="7">
        <f t="shared" ref="D226:BO229" si="20">VLOOKUP($A226,$A$2:$BU$196,D$198,FALSE)</f>
        <v>575518.18171048677</v>
      </c>
      <c r="E226" s="7">
        <f t="shared" si="20"/>
        <v>590206.05133029853</v>
      </c>
      <c r="F226" s="7">
        <f t="shared" si="20"/>
        <v>605118.14465452463</v>
      </c>
      <c r="G226" s="7">
        <f t="shared" si="20"/>
        <v>620254.11698602268</v>
      </c>
      <c r="H226" s="7">
        <f t="shared" si="20"/>
        <v>635613.54347780719</v>
      </c>
      <c r="I226" s="7">
        <f t="shared" si="20"/>
        <v>651195.9195371758</v>
      </c>
      <c r="J226" s="7">
        <f t="shared" si="20"/>
        <v>667000.66129035363</v>
      </c>
      <c r="K226" s="7">
        <f t="shared" si="20"/>
        <v>683027.10610637977</v>
      </c>
      <c r="L226" s="7">
        <f t="shared" si="20"/>
        <v>699274.51317890116</v>
      </c>
      <c r="M226" s="7">
        <f t="shared" si="20"/>
        <v>715742.06416449044</v>
      </c>
      <c r="N226" s="7">
        <f t="shared" si="20"/>
        <v>732428.86387605476</v>
      </c>
      <c r="O226" s="7">
        <f t="shared" si="20"/>
        <v>749333.94102985878</v>
      </c>
      <c r="P226" s="7">
        <f t="shared" si="20"/>
        <v>766456.24904464139</v>
      </c>
      <c r="Q226" s="7">
        <f t="shared" si="20"/>
        <v>783794.6668912709</v>
      </c>
      <c r="R226" s="7">
        <f t="shared" si="20"/>
        <v>801347.99999134697</v>
      </c>
      <c r="S226" s="7">
        <f t="shared" si="20"/>
        <v>819114.98116312677</v>
      </c>
      <c r="T226" s="7">
        <f t="shared" si="20"/>
        <v>837094.27161312476</v>
      </c>
      <c r="U226" s="7">
        <f t="shared" si="20"/>
        <v>855284.46197171253</v>
      </c>
      <c r="V226" s="7">
        <f t="shared" si="20"/>
        <v>873684.0733710198</v>
      </c>
      <c r="W226" s="7">
        <f t="shared" si="20"/>
        <v>892291.55856342486</v>
      </c>
      <c r="X226" s="7">
        <f t="shared" si="20"/>
        <v>911105.30307890242</v>
      </c>
      <c r="Y226" s="7">
        <f t="shared" si="20"/>
        <v>930123.62641948892</v>
      </c>
      <c r="Z226" s="7">
        <f t="shared" si="20"/>
        <v>949344.7832891118</v>
      </c>
      <c r="AA226" s="7">
        <f t="shared" si="20"/>
        <v>968766.96485702868</v>
      </c>
      <c r="AB226" s="7">
        <f t="shared" si="20"/>
        <v>988388.30005311186</v>
      </c>
      <c r="AC226" s="7">
        <f t="shared" si="20"/>
        <v>1008206.8568932185</v>
      </c>
      <c r="AD226" s="7">
        <f t="shared" si="20"/>
        <v>1028220.6438328871</v>
      </c>
      <c r="AE226" s="7">
        <f t="shared" si="20"/>
        <v>1048427.6111476033</v>
      </c>
      <c r="AF226" s="7">
        <f t="shared" si="20"/>
        <v>1068825.6523378862</v>
      </c>
      <c r="AG226" s="7">
        <f t="shared" si="20"/>
        <v>1089412.6055574578</v>
      </c>
      <c r="AH226" s="7">
        <f t="shared" si="20"/>
        <v>1110186.2550627652</v>
      </c>
      <c r="AI226" s="7">
        <f t="shared" si="20"/>
        <v>1131144.332682142</v>
      </c>
      <c r="AJ226" s="7">
        <f t="shared" si="20"/>
        <v>1152284.5193029114</v>
      </c>
      <c r="AK226" s="7">
        <f t="shared" si="20"/>
        <v>1173604.4463747479</v>
      </c>
      <c r="AL226" s="7">
        <f t="shared" si="20"/>
        <v>1195101.6974276383</v>
      </c>
      <c r="AM226" s="7">
        <f t="shared" si="20"/>
        <v>1216773.8096028015</v>
      </c>
      <c r="AN226" s="7">
        <f t="shared" si="20"/>
        <v>1238618.2751949509</v>
      </c>
      <c r="AO226" s="7">
        <f t="shared" si="20"/>
        <v>1260632.5432043062</v>
      </c>
      <c r="AP226" s="7">
        <f t="shared" si="20"/>
        <v>1282814.0208967908</v>
      </c>
      <c r="AQ226" s="7">
        <f t="shared" si="20"/>
        <v>1305160.0753708757</v>
      </c>
      <c r="AR226" s="7">
        <f t="shared" si="20"/>
        <v>1327668.0351295609</v>
      </c>
      <c r="AS226" s="7">
        <f t="shared" si="20"/>
        <v>1350335.191656017</v>
      </c>
      <c r="AT226" s="7">
        <f t="shared" si="20"/>
        <v>1373158.800991439</v>
      </c>
      <c r="AU226" s="7">
        <f t="shared" si="20"/>
        <v>1396136.0853136976</v>
      </c>
      <c r="AV226" s="7">
        <f t="shared" si="20"/>
        <v>1419264.2345154064</v>
      </c>
      <c r="AW226" s="7">
        <f t="shared" si="20"/>
        <v>1442540.4077800596</v>
      </c>
      <c r="AX226" s="7">
        <f t="shared" si="20"/>
        <v>1465961.7351549261</v>
      </c>
      <c r="AY226" s="7">
        <f t="shared" si="20"/>
        <v>1489525.3191194264</v>
      </c>
      <c r="AZ226" s="7">
        <f t="shared" si="20"/>
        <v>1513228.2361477513</v>
      </c>
      <c r="BA226" s="7">
        <f t="shared" si="20"/>
        <v>1537067.5382645207</v>
      </c>
      <c r="BB226" s="7">
        <f t="shared" si="20"/>
        <v>1561040.2545923167</v>
      </c>
      <c r="BC226" s="7">
        <f t="shared" si="20"/>
        <v>1585143.3928899651</v>
      </c>
      <c r="BD226" s="7">
        <f t="shared" si="20"/>
        <v>1609373.9410804759</v>
      </c>
      <c r="BE226" s="7">
        <f t="shared" si="20"/>
        <v>1633728.8687675912</v>
      </c>
      <c r="BF226" s="7">
        <f t="shared" si="20"/>
        <v>1658205.1287399316</v>
      </c>
      <c r="BG226" s="7">
        <f t="shared" si="20"/>
        <v>1682799.6584617652</v>
      </c>
      <c r="BH226" s="7">
        <f t="shared" si="20"/>
        <v>1707509.3815494664</v>
      </c>
      <c r="BI226" s="7">
        <f t="shared" si="20"/>
        <v>1732331.2092327711</v>
      </c>
      <c r="BJ226" s="7">
        <f t="shared" si="20"/>
        <v>1757262.0417999674</v>
      </c>
      <c r="BK226" s="7">
        <f t="shared" si="20"/>
        <v>1782298.7700262084</v>
      </c>
      <c r="BL226" s="7">
        <f t="shared" si="20"/>
        <v>1807438.2765841652</v>
      </c>
      <c r="BM226" s="7">
        <f t="shared" si="20"/>
        <v>1832677.4374362796</v>
      </c>
      <c r="BN226" s="7">
        <f t="shared" si="20"/>
        <v>1858013.1232079132</v>
      </c>
      <c r="BO226" s="7">
        <f t="shared" si="20"/>
        <v>1883442.2005407303</v>
      </c>
      <c r="BP226" s="7">
        <f t="shared" si="19"/>
        <v>1908961.5334256794</v>
      </c>
      <c r="BQ226" s="7">
        <f t="shared" si="19"/>
        <v>1934567.9845149915</v>
      </c>
      <c r="BR226" s="7">
        <f t="shared" si="19"/>
        <v>1960258.4164126317</v>
      </c>
      <c r="BS226" s="7">
        <f t="shared" si="19"/>
        <v>1986029.6929426929</v>
      </c>
      <c r="BT226" s="7">
        <f t="shared" si="15"/>
        <v>2011878.6803952407</v>
      </c>
      <c r="BU226" s="7">
        <f t="shared" si="15"/>
        <v>2037802.2487491677</v>
      </c>
      <c r="BV226" s="7"/>
      <c r="BW226" s="7"/>
      <c r="BX226" s="7"/>
      <c r="BY226" s="7"/>
      <c r="BZ226" s="7"/>
      <c r="CA226" s="7"/>
      <c r="CB226" s="7"/>
      <c r="CC226" s="7"/>
      <c r="CD226" s="7"/>
      <c r="CE226" s="7"/>
      <c r="CF226" s="7"/>
      <c r="CG226" s="7"/>
      <c r="CH226" s="7"/>
      <c r="CI226" s="7"/>
      <c r="CJ226" s="7"/>
      <c r="CK226" s="7"/>
      <c r="CL226" s="7"/>
      <c r="CM226" s="7"/>
      <c r="CN226" s="7"/>
      <c r="CO226" s="7"/>
      <c r="CP226" s="7"/>
      <c r="CQ226" s="7"/>
      <c r="CR226" s="7"/>
      <c r="CS226" s="7"/>
      <c r="CT226" s="7"/>
      <c r="CU226" s="7"/>
      <c r="CV226" s="7"/>
      <c r="CW226" s="7"/>
      <c r="CX226" s="7"/>
      <c r="CY226" s="7"/>
      <c r="CZ226" s="7"/>
      <c r="DA226" s="7"/>
      <c r="DB226" s="7"/>
      <c r="DC226" s="7"/>
      <c r="DD226" s="7"/>
      <c r="DE226" s="7"/>
      <c r="DF226" s="7"/>
      <c r="DG226" s="7"/>
      <c r="DH226" s="7"/>
      <c r="DI226" s="7"/>
      <c r="DJ226" s="7"/>
      <c r="DK226" s="7"/>
      <c r="DL226" s="7"/>
      <c r="DM226" s="7"/>
      <c r="DN226" s="7"/>
      <c r="DO226" s="7"/>
      <c r="DP226" s="7"/>
      <c r="DQ226" s="7"/>
      <c r="DR226" s="7"/>
      <c r="DS226" s="7"/>
      <c r="DT226" s="7"/>
      <c r="DU226" s="7"/>
    </row>
    <row r="227" spans="1:125" x14ac:dyDescent="0.25">
      <c r="A227" t="str">
        <f>'storage capacity'!Q30</f>
        <v>Pakistan</v>
      </c>
      <c r="C227" s="7">
        <f t="shared" si="9"/>
        <v>392896.86666666716</v>
      </c>
      <c r="D227" s="7">
        <f t="shared" si="20"/>
        <v>392896.86666666716</v>
      </c>
      <c r="E227" s="7">
        <f t="shared" si="20"/>
        <v>392896.86666666716</v>
      </c>
      <c r="F227" s="7">
        <f t="shared" si="20"/>
        <v>392896.86666666716</v>
      </c>
      <c r="G227" s="7">
        <f t="shared" si="20"/>
        <v>392896.86666666716</v>
      </c>
      <c r="H227" s="7">
        <f t="shared" si="20"/>
        <v>392896.86666666716</v>
      </c>
      <c r="I227" s="7">
        <f t="shared" si="20"/>
        <v>392896.86666666716</v>
      </c>
      <c r="J227" s="7">
        <f t="shared" si="20"/>
        <v>392896.86666666716</v>
      </c>
      <c r="K227" s="7">
        <f t="shared" si="20"/>
        <v>392896.86666666716</v>
      </c>
      <c r="L227" s="7">
        <f t="shared" si="20"/>
        <v>392896.86666666716</v>
      </c>
      <c r="M227" s="7">
        <f t="shared" si="20"/>
        <v>392896.86666666716</v>
      </c>
      <c r="N227" s="7">
        <f t="shared" si="20"/>
        <v>392896.86666666716</v>
      </c>
      <c r="O227" s="7">
        <f t="shared" si="20"/>
        <v>392896.86666666716</v>
      </c>
      <c r="P227" s="7">
        <f t="shared" si="20"/>
        <v>392896.86666666716</v>
      </c>
      <c r="Q227" s="7">
        <f t="shared" si="20"/>
        <v>392896.86666666716</v>
      </c>
      <c r="R227" s="7">
        <f t="shared" si="20"/>
        <v>392896.86666666716</v>
      </c>
      <c r="S227" s="7">
        <f t="shared" si="20"/>
        <v>392896.86666666716</v>
      </c>
      <c r="T227" s="7">
        <f t="shared" si="20"/>
        <v>392896.86666666716</v>
      </c>
      <c r="U227" s="7">
        <f t="shared" si="20"/>
        <v>392896.86666666716</v>
      </c>
      <c r="V227" s="7">
        <f t="shared" si="20"/>
        <v>392896.86666666716</v>
      </c>
      <c r="W227" s="7">
        <f t="shared" si="20"/>
        <v>392896.86666666716</v>
      </c>
      <c r="X227" s="7">
        <f t="shared" si="20"/>
        <v>392896.86666666716</v>
      </c>
      <c r="Y227" s="7">
        <f t="shared" si="20"/>
        <v>392896.86666666716</v>
      </c>
      <c r="Z227" s="7">
        <f t="shared" si="20"/>
        <v>392896.86666666716</v>
      </c>
      <c r="AA227" s="7">
        <f t="shared" si="20"/>
        <v>392896.86666666716</v>
      </c>
      <c r="AB227" s="7">
        <f t="shared" si="20"/>
        <v>392896.86666666716</v>
      </c>
      <c r="AC227" s="7">
        <f t="shared" si="20"/>
        <v>392896.86666666716</v>
      </c>
      <c r="AD227" s="7">
        <f t="shared" si="20"/>
        <v>392896.86666666716</v>
      </c>
      <c r="AE227" s="7">
        <f t="shared" si="20"/>
        <v>392896.86666666716</v>
      </c>
      <c r="AF227" s="7">
        <f t="shared" si="20"/>
        <v>392896.86666666716</v>
      </c>
      <c r="AG227" s="7">
        <f t="shared" si="20"/>
        <v>392896.86666666716</v>
      </c>
      <c r="AH227" s="7">
        <f t="shared" si="20"/>
        <v>392896.86666666716</v>
      </c>
      <c r="AI227" s="7">
        <f t="shared" si="20"/>
        <v>392896.86666666716</v>
      </c>
      <c r="AJ227" s="7">
        <f t="shared" si="20"/>
        <v>392896.86666666716</v>
      </c>
      <c r="AK227" s="7">
        <f t="shared" si="20"/>
        <v>392896.86666666716</v>
      </c>
      <c r="AL227" s="7">
        <f t="shared" si="20"/>
        <v>392896.86666666716</v>
      </c>
      <c r="AM227" s="7">
        <f t="shared" si="20"/>
        <v>392896.86666666716</v>
      </c>
      <c r="AN227" s="7">
        <f t="shared" si="20"/>
        <v>392896.86666666716</v>
      </c>
      <c r="AO227" s="7">
        <f t="shared" si="20"/>
        <v>392896.86666666716</v>
      </c>
      <c r="AP227" s="7">
        <f t="shared" si="20"/>
        <v>392896.86666666716</v>
      </c>
      <c r="AQ227" s="7">
        <f t="shared" si="20"/>
        <v>392896.86666666716</v>
      </c>
      <c r="AR227" s="7">
        <f t="shared" si="20"/>
        <v>392896.86666666716</v>
      </c>
      <c r="AS227" s="7">
        <f t="shared" si="20"/>
        <v>392896.86666666716</v>
      </c>
      <c r="AT227" s="7">
        <f t="shared" si="20"/>
        <v>392896.86666666716</v>
      </c>
      <c r="AU227" s="7">
        <f t="shared" si="20"/>
        <v>392896.86666666716</v>
      </c>
      <c r="AV227" s="7">
        <f t="shared" si="20"/>
        <v>392896.86666666716</v>
      </c>
      <c r="AW227" s="7">
        <f t="shared" si="20"/>
        <v>392896.86666666716</v>
      </c>
      <c r="AX227" s="7">
        <f t="shared" si="20"/>
        <v>392896.86666666716</v>
      </c>
      <c r="AY227" s="7">
        <f t="shared" si="20"/>
        <v>392896.86666666716</v>
      </c>
      <c r="AZ227" s="7">
        <f t="shared" si="20"/>
        <v>392896.86666666716</v>
      </c>
      <c r="BA227" s="7">
        <f t="shared" si="20"/>
        <v>392896.86666666716</v>
      </c>
      <c r="BB227" s="7">
        <f t="shared" si="20"/>
        <v>392896.86666666716</v>
      </c>
      <c r="BC227" s="7">
        <f t="shared" si="20"/>
        <v>392896.86666666716</v>
      </c>
      <c r="BD227" s="7">
        <f t="shared" si="20"/>
        <v>392896.86666666716</v>
      </c>
      <c r="BE227" s="7">
        <f t="shared" si="20"/>
        <v>392896.86666666716</v>
      </c>
      <c r="BF227" s="7">
        <f t="shared" si="20"/>
        <v>392896.86666666716</v>
      </c>
      <c r="BG227" s="7">
        <f t="shared" si="20"/>
        <v>392896.86666666716</v>
      </c>
      <c r="BH227" s="7">
        <f t="shared" si="20"/>
        <v>392896.86666666716</v>
      </c>
      <c r="BI227" s="7">
        <f t="shared" si="20"/>
        <v>392896.86666666716</v>
      </c>
      <c r="BJ227" s="7">
        <f t="shared" si="20"/>
        <v>392896.86666666716</v>
      </c>
      <c r="BK227" s="7">
        <f t="shared" si="20"/>
        <v>392896.86666666716</v>
      </c>
      <c r="BL227" s="7">
        <f t="shared" si="20"/>
        <v>392896.86666666716</v>
      </c>
      <c r="BM227" s="7">
        <f t="shared" si="20"/>
        <v>392896.86666666716</v>
      </c>
      <c r="BN227" s="7">
        <f t="shared" si="20"/>
        <v>392896.86666666716</v>
      </c>
      <c r="BO227" s="7">
        <f t="shared" si="20"/>
        <v>392896.86666666716</v>
      </c>
      <c r="BP227" s="7">
        <f t="shared" si="19"/>
        <v>392896.86666666716</v>
      </c>
      <c r="BQ227" s="7">
        <f t="shared" si="19"/>
        <v>392896.86666666716</v>
      </c>
      <c r="BR227" s="7">
        <f t="shared" si="19"/>
        <v>392896.86666666716</v>
      </c>
      <c r="BS227" s="7">
        <f t="shared" si="19"/>
        <v>392896.86666666716</v>
      </c>
      <c r="BT227" s="7">
        <f t="shared" si="15"/>
        <v>392896.86666666716</v>
      </c>
      <c r="BU227" s="7">
        <f t="shared" si="15"/>
        <v>392896.86666666716</v>
      </c>
      <c r="BV227" s="7"/>
      <c r="BW227" s="7"/>
      <c r="BX227" s="7"/>
      <c r="BY227" s="7"/>
      <c r="BZ227" s="7"/>
      <c r="CA227" s="7"/>
      <c r="CB227" s="7"/>
      <c r="CC227" s="7"/>
      <c r="CD227" s="7"/>
      <c r="CE227" s="7"/>
      <c r="CF227" s="7"/>
      <c r="CG227" s="7"/>
      <c r="CH227" s="7"/>
      <c r="CI227" s="7"/>
      <c r="CJ227" s="7"/>
      <c r="CK227" s="7"/>
      <c r="CL227" s="7"/>
      <c r="CM227" s="7"/>
      <c r="CN227" s="7"/>
      <c r="CO227" s="7"/>
      <c r="CP227" s="7"/>
      <c r="CQ227" s="7"/>
      <c r="CR227" s="7"/>
      <c r="CS227" s="7"/>
      <c r="CT227" s="7"/>
      <c r="CU227" s="7"/>
      <c r="CV227" s="7"/>
      <c r="CW227" s="7"/>
      <c r="CX227" s="7"/>
      <c r="CY227" s="7"/>
      <c r="CZ227" s="7"/>
      <c r="DA227" s="7"/>
      <c r="DB227" s="7"/>
      <c r="DC227" s="7"/>
      <c r="DD227" s="7"/>
      <c r="DE227" s="7"/>
      <c r="DF227" s="7"/>
      <c r="DG227" s="7"/>
      <c r="DH227" s="7"/>
      <c r="DI227" s="7"/>
      <c r="DJ227" s="7"/>
      <c r="DK227" s="7"/>
      <c r="DL227" s="7"/>
      <c r="DM227" s="7"/>
      <c r="DN227" s="7"/>
      <c r="DO227" s="7"/>
      <c r="DP227" s="7"/>
      <c r="DQ227" s="7"/>
      <c r="DR227" s="7"/>
      <c r="DS227" s="7"/>
      <c r="DT227" s="7"/>
      <c r="DU227" s="7"/>
    </row>
    <row r="228" spans="1:125" x14ac:dyDescent="0.25">
      <c r="A228" t="str">
        <f>'storage capacity'!Q31</f>
        <v>Poland</v>
      </c>
      <c r="C228" s="7">
        <f t="shared" si="9"/>
        <v>1195422.5333333462</v>
      </c>
      <c r="D228" s="7">
        <f t="shared" si="20"/>
        <v>1263689.880182666</v>
      </c>
      <c r="E228" s="7">
        <f t="shared" si="20"/>
        <v>1335134.1314204712</v>
      </c>
      <c r="F228" s="7">
        <f t="shared" si="20"/>
        <v>1409862.7362934558</v>
      </c>
      <c r="G228" s="7">
        <f t="shared" si="20"/>
        <v>1487984.8531186709</v>
      </c>
      <c r="H228" s="7">
        <f t="shared" si="20"/>
        <v>1569611.2968154131</v>
      </c>
      <c r="I228" s="7">
        <f t="shared" si="20"/>
        <v>1654854.4832618178</v>
      </c>
      <c r="J228" s="7">
        <f t="shared" si="20"/>
        <v>1743828.3705223883</v>
      </c>
      <c r="K228" s="7">
        <f t="shared" si="20"/>
        <v>1836648.3969995652</v>
      </c>
      <c r="L228" s="7">
        <f t="shared" si="20"/>
        <v>1933431.4165692136</v>
      </c>
      <c r="M228" s="7">
        <f t="shared" si="20"/>
        <v>2034295.6307665331</v>
      </c>
      <c r="N228" s="7">
        <f t="shared" si="20"/>
        <v>2139360.5180953727</v>
      </c>
      <c r="O228" s="7">
        <f t="shared" si="20"/>
        <v>2248746.7605402409</v>
      </c>
      <c r="P228" s="7">
        <f t="shared" si="20"/>
        <v>2362576.1673664046</v>
      </c>
      <c r="Q228" s="7">
        <f t="shared" si="20"/>
        <v>2480971.5962993884</v>
      </c>
      <c r="R228" s="7">
        <f t="shared" si="20"/>
        <v>2604056.8721808549</v>
      </c>
      <c r="S228" s="7">
        <f t="shared" si="20"/>
        <v>2731956.7032032991</v>
      </c>
      <c r="T228" s="7">
        <f t="shared" si="20"/>
        <v>2864796.5948311752</v>
      </c>
      <c r="U228" s="7">
        <f t="shared" si="20"/>
        <v>3002702.7615210046</v>
      </c>
      <c r="V228" s="7">
        <f t="shared" si="20"/>
        <v>3145802.0363576468</v>
      </c>
      <c r="W228" s="7">
        <f t="shared" si="20"/>
        <v>3294221.778728297</v>
      </c>
      <c r="X228" s="7">
        <f t="shared" si="20"/>
        <v>3448089.7801598092</v>
      </c>
      <c r="Y228" s="7">
        <f t="shared" si="20"/>
        <v>3607534.1684487122</v>
      </c>
      <c r="Z228" s="7">
        <f t="shared" si="20"/>
        <v>3772683.3102167184</v>
      </c>
      <c r="AA228" s="7">
        <f t="shared" si="20"/>
        <v>3943665.7120276392</v>
      </c>
      <c r="AB228" s="7">
        <f t="shared" si="20"/>
        <v>4120609.9202044168</v>
      </c>
      <c r="AC228" s="7">
        <f t="shared" si="20"/>
        <v>4303644.4194874354</v>
      </c>
      <c r="AD228" s="7">
        <f t="shared" si="20"/>
        <v>4492897.5306773977</v>
      </c>
      <c r="AE228" s="7">
        <f t="shared" si="20"/>
        <v>4688497.3074078532</v>
      </c>
      <c r="AF228" s="7">
        <f t="shared" si="20"/>
        <v>4890571.4321938967</v>
      </c>
      <c r="AG228" s="7">
        <f t="shared" si="20"/>
        <v>5099247.1119046928</v>
      </c>
      <c r="AH228" s="7">
        <f t="shared" si="20"/>
        <v>5314650.9728082344</v>
      </c>
      <c r="AI228" s="7">
        <f t="shared" si="20"/>
        <v>5536908.9553372161</v>
      </c>
      <c r="AJ228" s="7">
        <f t="shared" si="20"/>
        <v>5766146.2087250054</v>
      </c>
      <c r="AK228" s="7">
        <f t="shared" si="20"/>
        <v>6002486.9856604701</v>
      </c>
      <c r="AL228" s="7">
        <f t="shared" si="20"/>
        <v>6246054.5371099152</v>
      </c>
      <c r="AM228" s="7">
        <f t="shared" si="20"/>
        <v>6496971.0074535161</v>
      </c>
      <c r="AN228" s="7">
        <f t="shared" si="20"/>
        <v>6755357.3300824817</v>
      </c>
      <c r="AO228" s="7">
        <f t="shared" si="20"/>
        <v>7021333.12360173</v>
      </c>
      <c r="AP228" s="7">
        <f t="shared" si="20"/>
        <v>7295016.5887810988</v>
      </c>
      <c r="AQ228" s="7">
        <f t="shared" si="20"/>
        <v>7576524.4063960928</v>
      </c>
      <c r="AR228" s="7">
        <f t="shared" si="20"/>
        <v>7865971.6360968547</v>
      </c>
      <c r="AS228" s="7">
        <f t="shared" si="20"/>
        <v>8163471.6164414631</v>
      </c>
      <c r="AT228" s="7">
        <f t="shared" si="20"/>
        <v>8469135.8662268594</v>
      </c>
      <c r="AU228" s="7">
        <f t="shared" si="20"/>
        <v>8783073.9872476291</v>
      </c>
      <c r="AV228" s="7">
        <f t="shared" si="20"/>
        <v>9105393.5686095506</v>
      </c>
      <c r="AW228" s="7">
        <f t="shared" si="20"/>
        <v>9436200.092721343</v>
      </c>
      <c r="AX228" s="7">
        <f t="shared" si="20"/>
        <v>9775596.8430842645</v>
      </c>
      <c r="AY228" s="7">
        <f t="shared" si="20"/>
        <v>10123684.8139954</v>
      </c>
      <c r="AZ228" s="7">
        <f t="shared" si="20"/>
        <v>10480562.622276245</v>
      </c>
      <c r="BA228" s="7">
        <f t="shared" si="20"/>
        <v>10846326.421134068</v>
      </c>
      <c r="BB228" s="7">
        <f t="shared" si="20"/>
        <v>11221069.816259025</v>
      </c>
      <c r="BC228" s="7">
        <f t="shared" si="20"/>
        <v>11604883.784255482</v>
      </c>
      <c r="BD228" s="7">
        <f t="shared" si="20"/>
        <v>11997856.593501331</v>
      </c>
      <c r="BE228" s="7">
        <f t="shared" si="20"/>
        <v>12400073.727524249</v>
      </c>
      <c r="BF228" s="7">
        <f t="shared" si="20"/>
        <v>12811617.810979005</v>
      </c>
      <c r="BG228" s="7">
        <f t="shared" si="20"/>
        <v>13232568.538304901</v>
      </c>
      <c r="BH228" s="7">
        <f t="shared" si="20"/>
        <v>13663002.605137397</v>
      </c>
      <c r="BI228" s="7">
        <f t="shared" si="20"/>
        <v>14102993.64254285</v>
      </c>
      <c r="BJ228" s="7">
        <f t="shared" si="20"/>
        <v>14552612.15414015</v>
      </c>
      <c r="BK228" s="7">
        <f t="shared" si="20"/>
        <v>15011925.456167798</v>
      </c>
      <c r="BL228" s="7">
        <f t="shared" si="20"/>
        <v>15480997.620549826</v>
      </c>
      <c r="BM228" s="7">
        <f t="shared" si="20"/>
        <v>15959889.421008637</v>
      </c>
      <c r="BN228" s="7">
        <f t="shared" si="20"/>
        <v>16448658.282267731</v>
      </c>
      <c r="BO228" s="7">
        <f t="shared" si="20"/>
        <v>16947358.23238194</v>
      </c>
      <c r="BP228" s="7">
        <f t="shared" si="19"/>
        <v>17456039.858227741</v>
      </c>
      <c r="BQ228" s="7">
        <f t="shared" si="19"/>
        <v>17974750.264180947</v>
      </c>
      <c r="BR228" s="7">
        <f t="shared" si="19"/>
        <v>18503533.034004066</v>
      </c>
      <c r="BS228" s="7">
        <f t="shared" si="19"/>
        <v>19042428.195960477</v>
      </c>
      <c r="BT228" s="7">
        <f t="shared" si="15"/>
        <v>19591472.191167701</v>
      </c>
      <c r="BU228" s="7">
        <f t="shared" si="15"/>
        <v>20150697.845196985</v>
      </c>
      <c r="BV228" s="7"/>
      <c r="BW228" s="7"/>
      <c r="BX228" s="7"/>
      <c r="BY228" s="7"/>
      <c r="BZ228" s="7"/>
      <c r="CA228" s="7"/>
      <c r="CB228" s="7"/>
      <c r="CC228" s="7"/>
      <c r="CD228" s="7"/>
      <c r="CE228" s="7"/>
      <c r="CF228" s="7"/>
      <c r="CG228" s="7"/>
      <c r="CH228" s="7"/>
      <c r="CI228" s="7"/>
      <c r="CJ228" s="7"/>
      <c r="CK228" s="7"/>
      <c r="CL228" s="7"/>
      <c r="CM228" s="7"/>
      <c r="CN228" s="7"/>
      <c r="CO228" s="7"/>
      <c r="CP228" s="7"/>
      <c r="CQ228" s="7"/>
      <c r="CR228" s="7"/>
      <c r="CS228" s="7"/>
      <c r="CT228" s="7"/>
      <c r="CU228" s="7"/>
      <c r="CV228" s="7"/>
      <c r="CW228" s="7"/>
      <c r="CX228" s="7"/>
      <c r="CY228" s="7"/>
      <c r="CZ228" s="7"/>
      <c r="DA228" s="7"/>
      <c r="DB228" s="7"/>
      <c r="DC228" s="7"/>
      <c r="DD228" s="7"/>
      <c r="DE228" s="7"/>
      <c r="DF228" s="7"/>
      <c r="DG228" s="7"/>
      <c r="DH228" s="7"/>
      <c r="DI228" s="7"/>
      <c r="DJ228" s="7"/>
      <c r="DK228" s="7"/>
      <c r="DL228" s="7"/>
      <c r="DM228" s="7"/>
      <c r="DN228" s="7"/>
      <c r="DO228" s="7"/>
      <c r="DP228" s="7"/>
      <c r="DQ228" s="7"/>
      <c r="DR228" s="7"/>
      <c r="DS228" s="7"/>
      <c r="DT228" s="7"/>
      <c r="DU228" s="7"/>
    </row>
    <row r="229" spans="1:125" x14ac:dyDescent="0.25">
      <c r="A229" t="str">
        <f>'storage capacity'!Q32</f>
        <v>Portugal</v>
      </c>
      <c r="C229" s="7">
        <f t="shared" si="9"/>
        <v>394084.66666666418</v>
      </c>
      <c r="D229" s="7">
        <f t="shared" si="20"/>
        <v>410793.58357340109</v>
      </c>
      <c r="E229" s="7">
        <f t="shared" si="20"/>
        <v>428036.773349569</v>
      </c>
      <c r="F229" s="7">
        <f t="shared" si="20"/>
        <v>445824.08165498002</v>
      </c>
      <c r="G229" s="7">
        <f t="shared" si="20"/>
        <v>464165.28683937341</v>
      </c>
      <c r="H229" s="7">
        <f t="shared" si="20"/>
        <v>483070.09168179636</v>
      </c>
      <c r="I229" s="7">
        <f t="shared" si="20"/>
        <v>502548.11515040591</v>
      </c>
      <c r="J229" s="7">
        <f t="shared" si="20"/>
        <v>522608.88419420423</v>
      </c>
      <c r="K229" s="7">
        <f t="shared" si="20"/>
        <v>543261.82557811565</v>
      </c>
      <c r="L229" s="7">
        <f t="shared" si="20"/>
        <v>564516.25777268212</v>
      </c>
      <c r="M229" s="7">
        <f t="shared" si="20"/>
        <v>586381.38290950481</v>
      </c>
      <c r="N229" s="7">
        <f t="shared" si="20"/>
        <v>608866.27881338599</v>
      </c>
      <c r="O229" s="7">
        <f t="shared" si="20"/>
        <v>631979.89112192881</v>
      </c>
      <c r="P229" s="7">
        <f t="shared" si="20"/>
        <v>655731.02550314122</v>
      </c>
      <c r="Q229" s="7">
        <f t="shared" si="20"/>
        <v>680128.33998135454</v>
      </c>
      <c r="R229" s="7">
        <f t="shared" si="20"/>
        <v>705180.33738151554</v>
      </c>
      <c r="S229" s="7">
        <f t="shared" si="20"/>
        <v>730895.35790164059</v>
      </c>
      <c r="T229" s="7">
        <f t="shared" si="20"/>
        <v>757281.57182293583</v>
      </c>
      <c r="U229" s="7">
        <f t="shared" si="20"/>
        <v>784346.97236678365</v>
      </c>
      <c r="V229" s="7">
        <f t="shared" si="20"/>
        <v>812099.36870748142</v>
      </c>
      <c r="W229" s="7">
        <f t="shared" si="20"/>
        <v>840546.37914928701</v>
      </c>
      <c r="X229" s="7">
        <f t="shared" si="20"/>
        <v>869695.42447598453</v>
      </c>
      <c r="Y229" s="7">
        <f t="shared" si="20"/>
        <v>899553.72148083046</v>
      </c>
      <c r="Z229" s="7">
        <f t="shared" si="20"/>
        <v>930128.27668437501</v>
      </c>
      <c r="AA229" s="7">
        <f t="shared" si="20"/>
        <v>961425.88024728314</v>
      </c>
      <c r="AB229" s="7">
        <f t="shared" si="20"/>
        <v>993453.10008489375</v>
      </c>
      <c r="AC229" s="7">
        <f t="shared" si="20"/>
        <v>1026216.2761898736</v>
      </c>
      <c r="AD229" s="7">
        <f t="shared" si="20"/>
        <v>1059721.5151689204</v>
      </c>
      <c r="AE229" s="7">
        <f t="shared" si="20"/>
        <v>1093974.6849990769</v>
      </c>
      <c r="AF229" s="7">
        <f t="shared" si="20"/>
        <v>1128981.4100088079</v>
      </c>
      <c r="AG229" s="7">
        <f t="shared" si="20"/>
        <v>1164747.0660885889</v>
      </c>
      <c r="AH229" s="7">
        <f t="shared" si="20"/>
        <v>1201276.7761353471</v>
      </c>
      <c r="AI229" s="7">
        <f t="shared" si="20"/>
        <v>1238575.4057346794</v>
      </c>
      <c r="AJ229" s="7">
        <f t="shared" si="20"/>
        <v>1276647.5590843703</v>
      </c>
      <c r="AK229" s="7">
        <f t="shared" si="20"/>
        <v>1315497.5751623148</v>
      </c>
      <c r="AL229" s="7">
        <f t="shared" si="20"/>
        <v>1355129.5241415503</v>
      </c>
      <c r="AM229" s="7">
        <f t="shared" si="20"/>
        <v>1395547.2040546911</v>
      </c>
      <c r="AN229" s="7">
        <f t="shared" si="20"/>
        <v>1436754.1377096593</v>
      </c>
      <c r="AO229" s="7">
        <f t="shared" si="20"/>
        <v>1478753.5698582081</v>
      </c>
      <c r="AP229" s="7">
        <f t="shared" si="20"/>
        <v>1521548.4646183387</v>
      </c>
      <c r="AQ229" s="7">
        <f t="shared" si="20"/>
        <v>1565141.5031513267</v>
      </c>
      <c r="AR229" s="7">
        <f t="shared" si="20"/>
        <v>1609535.081593689</v>
      </c>
      <c r="AS229" s="7">
        <f t="shared" si="20"/>
        <v>1654731.3092440523</v>
      </c>
      <c r="AT229" s="7">
        <f t="shared" si="20"/>
        <v>1700732.0070045129</v>
      </c>
      <c r="AU229" s="7">
        <f t="shared" si="20"/>
        <v>1747538.7060757249</v>
      </c>
      <c r="AV229" s="7">
        <f t="shared" si="20"/>
        <v>1795152.6469045933</v>
      </c>
      <c r="AW229" s="7">
        <f t="shared" si="20"/>
        <v>1843574.7783831221</v>
      </c>
      <c r="AX229" s="7">
        <f t="shared" si="20"/>
        <v>1892805.7572966218</v>
      </c>
      <c r="AY229" s="7">
        <f t="shared" si="20"/>
        <v>1942845.9480191711</v>
      </c>
      <c r="AZ229" s="7">
        <f t="shared" si="20"/>
        <v>1993695.4224539078</v>
      </c>
      <c r="BA229" s="7">
        <f t="shared" si="20"/>
        <v>2045353.960215433</v>
      </c>
      <c r="BB229" s="7">
        <f t="shared" si="20"/>
        <v>2097821.0490513141</v>
      </c>
      <c r="BC229" s="7">
        <f t="shared" si="20"/>
        <v>2151095.8854994057</v>
      </c>
      <c r="BD229" s="7">
        <f t="shared" si="20"/>
        <v>2205177.3757774294</v>
      </c>
      <c r="BE229" s="7">
        <f t="shared" si="20"/>
        <v>2260064.1369010136</v>
      </c>
      <c r="BF229" s="7">
        <f t="shared" si="20"/>
        <v>2315754.4980261405</v>
      </c>
      <c r="BG229" s="7">
        <f t="shared" si="20"/>
        <v>2372246.5020117261</v>
      </c>
      <c r="BH229" s="7">
        <f t="shared" si="20"/>
        <v>2429537.9071978368</v>
      </c>
      <c r="BI229" s="7">
        <f t="shared" si="20"/>
        <v>2487626.1893948452</v>
      </c>
      <c r="BJ229" s="7">
        <f t="shared" si="20"/>
        <v>2546508.5440786341</v>
      </c>
      <c r="BK229" s="7">
        <f t="shared" si="20"/>
        <v>2606181.888786776</v>
      </c>
      <c r="BL229" s="7">
        <f t="shared" si="20"/>
        <v>2666642.8657104485</v>
      </c>
      <c r="BM229" s="7">
        <f t="shared" si="20"/>
        <v>2727887.8444766947</v>
      </c>
      <c r="BN229" s="7">
        <f t="shared" si="20"/>
        <v>2789912.9251154903</v>
      </c>
      <c r="BO229" s="7">
        <f t="shared" ref="BO229:BS232" si="21">VLOOKUP($A229,$A$2:$BU$196,BO$198,FALSE)</f>
        <v>2852713.9412059505</v>
      </c>
      <c r="BP229" s="7">
        <f t="shared" si="21"/>
        <v>2916286.4631958907</v>
      </c>
      <c r="BQ229" s="7">
        <f t="shared" si="21"/>
        <v>2980625.8018888514</v>
      </c>
      <c r="BR229" s="7">
        <f t="shared" si="21"/>
        <v>3045727.0120925982</v>
      </c>
      <c r="BS229" s="7">
        <f t="shared" si="21"/>
        <v>3111584.8964230292</v>
      </c>
      <c r="BT229" s="7">
        <f t="shared" si="15"/>
        <v>3178194.0092573506</v>
      </c>
      <c r="BU229" s="7">
        <f t="shared" si="15"/>
        <v>3245548.6608303133</v>
      </c>
      <c r="BV229" s="7"/>
      <c r="BW229" s="7"/>
      <c r="BX229" s="7"/>
      <c r="BY229" s="7"/>
      <c r="BZ229" s="7"/>
      <c r="CA229" s="7"/>
      <c r="CB229" s="7"/>
      <c r="CC229" s="7"/>
      <c r="CD229" s="7"/>
      <c r="CE229" s="7"/>
      <c r="CF229" s="7"/>
      <c r="CG229" s="7"/>
      <c r="CH229" s="7"/>
      <c r="CI229" s="7"/>
      <c r="CJ229" s="7"/>
      <c r="CK229" s="7"/>
      <c r="CL229" s="7"/>
      <c r="CM229" s="7"/>
      <c r="CN229" s="7"/>
      <c r="CO229" s="7"/>
      <c r="CP229" s="7"/>
      <c r="CQ229" s="7"/>
      <c r="CR229" s="7"/>
      <c r="CS229" s="7"/>
      <c r="CT229" s="7"/>
      <c r="CU229" s="7"/>
      <c r="CV229" s="7"/>
      <c r="CW229" s="7"/>
      <c r="CX229" s="7"/>
      <c r="CY229" s="7"/>
      <c r="CZ229" s="7"/>
      <c r="DA229" s="7"/>
      <c r="DB229" s="7"/>
      <c r="DC229" s="7"/>
      <c r="DD229" s="7"/>
      <c r="DE229" s="7"/>
      <c r="DF229" s="7"/>
      <c r="DG229" s="7"/>
      <c r="DH229" s="7"/>
      <c r="DI229" s="7"/>
      <c r="DJ229" s="7"/>
      <c r="DK229" s="7"/>
      <c r="DL229" s="7"/>
      <c r="DM229" s="7"/>
      <c r="DN229" s="7"/>
      <c r="DO229" s="7"/>
      <c r="DP229" s="7"/>
      <c r="DQ229" s="7"/>
      <c r="DR229" s="7"/>
      <c r="DS229" s="7"/>
      <c r="DT229" s="7"/>
      <c r="DU229" s="7"/>
    </row>
    <row r="230" spans="1:125" x14ac:dyDescent="0.25">
      <c r="A230" t="str">
        <f>'storage capacity'!Q33</f>
        <v>Russia</v>
      </c>
      <c r="C230" s="7">
        <f t="shared" si="9"/>
        <v>2562274.0666666925</v>
      </c>
      <c r="D230" s="7">
        <f t="shared" ref="D230:BO233" si="22">VLOOKUP($A230,$A$2:$BU$196,D$198,FALSE)</f>
        <v>2721360.4141732305</v>
      </c>
      <c r="E230" s="7">
        <f t="shared" si="22"/>
        <v>2888634.4701495599</v>
      </c>
      <c r="F230" s="7">
        <f t="shared" si="22"/>
        <v>3064414.8135112943</v>
      </c>
      <c r="G230" s="7">
        <f t="shared" si="22"/>
        <v>3249027.0428367211</v>
      </c>
      <c r="H230" s="7">
        <f t="shared" si="22"/>
        <v>3442803.6887540249</v>
      </c>
      <c r="I230" s="7">
        <f t="shared" si="22"/>
        <v>3646084.114905308</v>
      </c>
      <c r="J230" s="7">
        <f t="shared" si="22"/>
        <v>3859214.407443224</v>
      </c>
      <c r="K230" s="7">
        <f t="shared" si="22"/>
        <v>4082547.2530404553</v>
      </c>
      <c r="L230" s="7">
        <f t="shared" si="22"/>
        <v>4316441.8054168886</v>
      </c>
      <c r="M230" s="7">
        <f t="shared" si="22"/>
        <v>4561263.5404141191</v>
      </c>
      <c r="N230" s="7">
        <f t="shared" si="22"/>
        <v>4817384.099671741</v>
      </c>
      <c r="O230" s="7">
        <f t="shared" si="22"/>
        <v>5085181.1229847455</v>
      </c>
      <c r="P230" s="7">
        <f t="shared" si="22"/>
        <v>5365038.0694460487</v>
      </c>
      <c r="Q230" s="7">
        <f t="shared" si="22"/>
        <v>5657344.0275028031</v>
      </c>
      <c r="R230" s="7">
        <f t="shared" si="22"/>
        <v>5962493.5140794637</v>
      </c>
      <c r="S230" s="7">
        <f t="shared" si="22"/>
        <v>6280886.2629446471</v>
      </c>
      <c r="T230" s="7">
        <f t="shared" si="22"/>
        <v>6612927.0025224546</v>
      </c>
      <c r="U230" s="7">
        <f t="shared" si="22"/>
        <v>6959025.2233721912</v>
      </c>
      <c r="V230" s="7">
        <f t="shared" si="22"/>
        <v>7319594.9355830569</v>
      </c>
      <c r="W230" s="7">
        <f t="shared" si="22"/>
        <v>7695054.4163525393</v>
      </c>
      <c r="X230" s="7">
        <f t="shared" si="22"/>
        <v>8085825.9480387028</v>
      </c>
      <c r="Y230" s="7">
        <f t="shared" si="22"/>
        <v>8492335.5469973162</v>
      </c>
      <c r="Z230" s="7">
        <f t="shared" si="22"/>
        <v>8915012.6835348066</v>
      </c>
      <c r="AA230" s="7">
        <f t="shared" si="22"/>
        <v>9354289.9933271855</v>
      </c>
      <c r="AB230" s="7">
        <f t="shared" si="22"/>
        <v>9810602.9806734584</v>
      </c>
      <c r="AC230" s="7">
        <f t="shared" si="22"/>
        <v>10284389.713969417</v>
      </c>
      <c r="AD230" s="7">
        <f t="shared" si="22"/>
        <v>10776090.513804223</v>
      </c>
      <c r="AE230" s="7">
        <f t="shared" si="22"/>
        <v>11286147.634097643</v>
      </c>
      <c r="AF230" s="7">
        <f t="shared" si="22"/>
        <v>11815004.93671024</v>
      </c>
      <c r="AG230" s="7">
        <f t="shared" si="22"/>
        <v>12363107.559972255</v>
      </c>
      <c r="AH230" s="7">
        <f t="shared" si="22"/>
        <v>12930901.58158916</v>
      </c>
      <c r="AI230" s="7">
        <f t="shared" si="22"/>
        <v>13518833.676393148</v>
      </c>
      <c r="AJ230" s="7">
        <f t="shared" si="22"/>
        <v>14127350.769419758</v>
      </c>
      <c r="AK230" s="7">
        <f t="shared" si="22"/>
        <v>14756899.6847979</v>
      </c>
      <c r="AL230" s="7">
        <f t="shared" si="22"/>
        <v>15407926.790949183</v>
      </c>
      <c r="AM230" s="7">
        <f t="shared" si="22"/>
        <v>16080877.642599121</v>
      </c>
      <c r="AN230" s="7">
        <f t="shared" si="22"/>
        <v>16776196.620108157</v>
      </c>
      <c r="AO230" s="7">
        <f t="shared" si="22"/>
        <v>17494326.566634748</v>
      </c>
      <c r="AP230" s="7">
        <f t="shared" si="22"/>
        <v>18235708.423645776</v>
      </c>
      <c r="AQ230" s="7">
        <f t="shared" si="22"/>
        <v>19000780.865291554</v>
      </c>
      <c r="AR230" s="7">
        <f t="shared" si="22"/>
        <v>19789979.932163335</v>
      </c>
      <c r="AS230" s="7">
        <f t="shared" si="22"/>
        <v>20603738.664951</v>
      </c>
      <c r="AT230" s="7">
        <f t="shared" si="22"/>
        <v>21442486.738517012</v>
      </c>
      <c r="AU230" s="7">
        <f t="shared" si="22"/>
        <v>22306650.09690012</v>
      </c>
      <c r="AV230" s="7">
        <f t="shared" si="22"/>
        <v>23196650.589758709</v>
      </c>
      <c r="AW230" s="7">
        <f t="shared" si="22"/>
        <v>24112905.61075886</v>
      </c>
      <c r="AX230" s="7">
        <f t="shared" si="22"/>
        <v>25055827.738406442</v>
      </c>
      <c r="AY230" s="7">
        <f t="shared" si="22"/>
        <v>26025824.379815876</v>
      </c>
      <c r="AZ230" s="7">
        <f t="shared" si="22"/>
        <v>27023297.417900369</v>
      </c>
      <c r="BA230" s="7">
        <f t="shared" si="22"/>
        <v>28048642.862459835</v>
      </c>
      <c r="BB230" s="7">
        <f t="shared" si="22"/>
        <v>29102250.505633231</v>
      </c>
      <c r="BC230" s="7">
        <f t="shared" si="22"/>
        <v>30184503.582171455</v>
      </c>
      <c r="BD230" s="7">
        <f t="shared" si="22"/>
        <v>31295778.434975993</v>
      </c>
      <c r="BE230" s="7">
        <f t="shared" si="22"/>
        <v>32436444.186336253</v>
      </c>
      <c r="BF230" s="7">
        <f t="shared" si="22"/>
        <v>33606862.415286042</v>
      </c>
      <c r="BG230" s="7">
        <f t="shared" si="22"/>
        <v>34807386.841486111</v>
      </c>
      <c r="BH230" s="7">
        <f t="shared" si="22"/>
        <v>36038363.016025633</v>
      </c>
      <c r="BI230" s="7">
        <f t="shared" si="22"/>
        <v>37300128.019521005</v>
      </c>
      <c r="BJ230" s="7">
        <f t="shared" si="22"/>
        <v>38593010.167874977</v>
      </c>
      <c r="BK230" s="7">
        <f t="shared" si="22"/>
        <v>39917328.726043567</v>
      </c>
      <c r="BL230" s="7">
        <f t="shared" si="22"/>
        <v>41273393.630142055</v>
      </c>
      <c r="BM230" s="7">
        <f t="shared" si="22"/>
        <v>42661505.218204752</v>
      </c>
      <c r="BN230" s="7">
        <f t="shared" si="22"/>
        <v>44081953.969896354</v>
      </c>
      <c r="BO230" s="7">
        <f t="shared" si="22"/>
        <v>45535020.255455509</v>
      </c>
      <c r="BP230" s="7">
        <f t="shared" si="21"/>
        <v>47020974.094133653</v>
      </c>
      <c r="BQ230" s="7">
        <f t="shared" si="21"/>
        <v>48540074.922374547</v>
      </c>
      <c r="BR230" s="7">
        <f t="shared" si="21"/>
        <v>50092571.371961862</v>
      </c>
      <c r="BS230" s="7">
        <f t="shared" si="21"/>
        <v>51678701.058344446</v>
      </c>
      <c r="BT230" s="7">
        <f t="shared" si="15"/>
        <v>53298690.379330456</v>
      </c>
      <c r="BU230" s="7">
        <f t="shared" si="15"/>
        <v>54952754.324323557</v>
      </c>
      <c r="BV230" s="7"/>
      <c r="BW230" s="7"/>
      <c r="BX230" s="7"/>
      <c r="BY230" s="7"/>
      <c r="BZ230" s="7"/>
      <c r="CA230" s="7"/>
      <c r="CB230" s="7"/>
      <c r="CC230" s="7"/>
      <c r="CD230" s="7"/>
      <c r="CE230" s="7"/>
      <c r="CF230" s="7"/>
      <c r="CG230" s="7"/>
      <c r="CH230" s="7"/>
      <c r="CI230" s="7"/>
      <c r="CJ230" s="7"/>
      <c r="CK230" s="7"/>
      <c r="CL230" s="7"/>
      <c r="CM230" s="7"/>
      <c r="CN230" s="7"/>
      <c r="CO230" s="7"/>
      <c r="CP230" s="7"/>
      <c r="CQ230" s="7"/>
      <c r="CR230" s="7"/>
      <c r="CS230" s="7"/>
      <c r="CT230" s="7"/>
      <c r="CU230" s="7"/>
      <c r="CV230" s="7"/>
      <c r="CW230" s="7"/>
      <c r="CX230" s="7"/>
      <c r="CY230" s="7"/>
      <c r="CZ230" s="7"/>
      <c r="DA230" s="7"/>
      <c r="DB230" s="7"/>
      <c r="DC230" s="7"/>
      <c r="DD230" s="7"/>
      <c r="DE230" s="7"/>
      <c r="DF230" s="7"/>
      <c r="DG230" s="7"/>
      <c r="DH230" s="7"/>
      <c r="DI230" s="7"/>
      <c r="DJ230" s="7"/>
      <c r="DK230" s="7"/>
      <c r="DL230" s="7"/>
      <c r="DM230" s="7"/>
      <c r="DN230" s="7"/>
      <c r="DO230" s="7"/>
      <c r="DP230" s="7"/>
      <c r="DQ230" s="7"/>
      <c r="DR230" s="7"/>
      <c r="DS230" s="7"/>
      <c r="DT230" s="7"/>
      <c r="DU230" s="7"/>
    </row>
    <row r="231" spans="1:125" x14ac:dyDescent="0.25">
      <c r="A231" t="str">
        <f>'storage capacity'!Q34</f>
        <v>Saudi Arabia</v>
      </c>
      <c r="C231" s="7">
        <f t="shared" si="9"/>
        <v>1471716.8666666597</v>
      </c>
      <c r="D231" s="7">
        <f t="shared" si="22"/>
        <v>1589227.0193569618</v>
      </c>
      <c r="E231" s="7">
        <f t="shared" si="22"/>
        <v>1714850.9153621055</v>
      </c>
      <c r="F231" s="7">
        <f t="shared" si="22"/>
        <v>1849049.4835512568</v>
      </c>
      <c r="G231" s="7">
        <f t="shared" si="22"/>
        <v>1992302.9833574255</v>
      </c>
      <c r="H231" s="7">
        <f t="shared" si="22"/>
        <v>2145111.4040099424</v>
      </c>
      <c r="I231" s="7">
        <f t="shared" si="22"/>
        <v>2307994.849762701</v>
      </c>
      <c r="J231" s="7">
        <f t="shared" si="22"/>
        <v>2481493.9098460879</v>
      </c>
      <c r="K231" s="7">
        <f t="shared" si="22"/>
        <v>2666170.0118725537</v>
      </c>
      <c r="L231" s="7">
        <f t="shared" si="22"/>
        <v>2862605.7574317232</v>
      </c>
      <c r="M231" s="7">
        <f t="shared" si="22"/>
        <v>3071405.2386208666</v>
      </c>
      <c r="N231" s="7">
        <f t="shared" si="22"/>
        <v>3293194.3342704936</v>
      </c>
      <c r="O231" s="7">
        <f t="shared" si="22"/>
        <v>3528620.9846427673</v>
      </c>
      <c r="P231" s="7">
        <f t="shared" si="22"/>
        <v>3778355.4434023858</v>
      </c>
      <c r="Q231" s="7">
        <f t="shared" si="22"/>
        <v>4043090.5056855138</v>
      </c>
      <c r="R231" s="7">
        <f t="shared" si="22"/>
        <v>4323541.7111222334</v>
      </c>
      <c r="S231" s="7">
        <f t="shared" si="22"/>
        <v>4620447.520701739</v>
      </c>
      <c r="T231" s="7">
        <f t="shared" si="22"/>
        <v>4934569.4664071063</v>
      </c>
      <c r="U231" s="7">
        <f t="shared" si="22"/>
        <v>5266692.2725877883</v>
      </c>
      <c r="V231" s="7">
        <f t="shared" si="22"/>
        <v>5617623.9480829164</v>
      </c>
      <c r="W231" s="7">
        <f t="shared" si="22"/>
        <v>5988195.8481569858</v>
      </c>
      <c r="X231" s="7">
        <f t="shared" si="22"/>
        <v>6379262.7053613067</v>
      </c>
      <c r="Y231" s="7">
        <f t="shared" si="22"/>
        <v>6791702.6284897141</v>
      </c>
      <c r="Z231" s="7">
        <f t="shared" si="22"/>
        <v>7226417.0688551525</v>
      </c>
      <c r="AA231" s="7">
        <f t="shared" si="22"/>
        <v>7684330.7531748163</v>
      </c>
      <c r="AB231" s="7">
        <f t="shared" si="22"/>
        <v>8166391.5824153144</v>
      </c>
      <c r="AC231" s="7">
        <f t="shared" si="22"/>
        <v>8673570.4960156083</v>
      </c>
      <c r="AD231" s="7">
        <f t="shared" si="22"/>
        <v>9206861.300974125</v>
      </c>
      <c r="AE231" s="7">
        <f t="shared" si="22"/>
        <v>9767280.4653571714</v>
      </c>
      <c r="AF231" s="7">
        <f t="shared" si="22"/>
        <v>10355866.875858443</v>
      </c>
      <c r="AG231" s="7">
        <f t="shared" si="22"/>
        <v>10973681.55911367</v>
      </c>
      <c r="AH231" s="7">
        <f t="shared" si="22"/>
        <v>11621807.36655027</v>
      </c>
      <c r="AI231" s="7">
        <f t="shared" si="22"/>
        <v>12301348.622628704</v>
      </c>
      <c r="AJ231" s="7">
        <f t="shared" si="22"/>
        <v>13013430.736410243</v>
      </c>
      <c r="AK231" s="7">
        <f t="shared" si="22"/>
        <v>13759199.776464403</v>
      </c>
      <c r="AL231" s="7">
        <f t="shared" si="22"/>
        <v>14539822.009208344</v>
      </c>
      <c r="AM231" s="7">
        <f t="shared" si="22"/>
        <v>15356483.400849959</v>
      </c>
      <c r="AN231" s="7">
        <f t="shared" si="22"/>
        <v>16210389.083185537</v>
      </c>
      <c r="AO231" s="7">
        <f t="shared" si="22"/>
        <v>17102762.783581961</v>
      </c>
      <c r="AP231" s="7">
        <f t="shared" si="22"/>
        <v>18034846.219551913</v>
      </c>
      <c r="AQ231" s="7">
        <f t="shared" si="22"/>
        <v>19007898.458408326</v>
      </c>
      <c r="AR231" s="7">
        <f t="shared" si="22"/>
        <v>20023195.24256108</v>
      </c>
      <c r="AS231" s="7">
        <f t="shared" si="22"/>
        <v>21082028.281094573</v>
      </c>
      <c r="AT231" s="7">
        <f t="shared" si="22"/>
        <v>22185704.508338939</v>
      </c>
      <c r="AU231" s="7">
        <f t="shared" si="22"/>
        <v>23335545.310220178</v>
      </c>
      <c r="AV231" s="7">
        <f t="shared" si="22"/>
        <v>24532885.719245121</v>
      </c>
      <c r="AW231" s="7">
        <f t="shared" si="22"/>
        <v>25779073.579045869</v>
      </c>
      <c r="AX231" s="7">
        <f t="shared" si="22"/>
        <v>27075468.679474551</v>
      </c>
      <c r="AY231" s="7">
        <f t="shared" si="22"/>
        <v>28423441.8633033</v>
      </c>
      <c r="AZ231" s="7">
        <f t="shared" si="22"/>
        <v>29824374.105645783</v>
      </c>
      <c r="BA231" s="7">
        <f t="shared" si="22"/>
        <v>31279655.56727498</v>
      </c>
      <c r="BB231" s="7">
        <f t="shared" si="22"/>
        <v>32790684.623067938</v>
      </c>
      <c r="BC231" s="7">
        <f t="shared" si="22"/>
        <v>34358866.866860606</v>
      </c>
      <c r="BD231" s="7">
        <f t="shared" si="22"/>
        <v>35985614.094045572</v>
      </c>
      <c r="BE231" s="7">
        <f t="shared" si="22"/>
        <v>37672343.26329165</v>
      </c>
      <c r="BF231" s="7">
        <f t="shared" si="22"/>
        <v>39420475.438807137</v>
      </c>
      <c r="BG231" s="7">
        <f t="shared" si="22"/>
        <v>41231434.714607932</v>
      </c>
      <c r="BH231" s="7">
        <f t="shared" si="22"/>
        <v>43106647.122287631</v>
      </c>
      <c r="BI231" s="7">
        <f t="shared" si="22"/>
        <v>45047539.523818836</v>
      </c>
      <c r="BJ231" s="7">
        <f t="shared" si="22"/>
        <v>47055538.490943521</v>
      </c>
      <c r="BK231" s="7">
        <f t="shared" si="22"/>
        <v>49132069.172735296</v>
      </c>
      <c r="BL231" s="7">
        <f t="shared" si="22"/>
        <v>51278554.152937353</v>
      </c>
      <c r="BM231" s="7">
        <f t="shared" si="22"/>
        <v>53496412.298697472</v>
      </c>
      <c r="BN231" s="7">
        <f t="shared" si="22"/>
        <v>55787057.602335051</v>
      </c>
      <c r="BO231" s="7">
        <f t="shared" si="22"/>
        <v>58151898.017785169</v>
      </c>
      <c r="BP231" s="7">
        <f t="shared" si="21"/>
        <v>60592334.293370664</v>
      </c>
      <c r="BQ231" s="7">
        <f t="shared" si="21"/>
        <v>63109758.802556112</v>
      </c>
      <c r="BR231" s="7">
        <f t="shared" si="21"/>
        <v>65705554.37433625</v>
      </c>
      <c r="BS231" s="7">
        <f t="shared" si="21"/>
        <v>68381093.124906778</v>
      </c>
      <c r="BT231" s="7">
        <f t="shared" si="15"/>
        <v>71137735.292257339</v>
      </c>
      <c r="BU231" s="7">
        <f t="shared" si="15"/>
        <v>73976828.075314671</v>
      </c>
      <c r="BV231" s="7"/>
      <c r="BW231" s="7"/>
      <c r="BX231" s="7"/>
      <c r="BY231" s="7"/>
      <c r="BZ231" s="7"/>
      <c r="CA231" s="7"/>
      <c r="CB231" s="7"/>
      <c r="CC231" s="7"/>
      <c r="CD231" s="7"/>
      <c r="CE231" s="7"/>
      <c r="CF231" s="7"/>
      <c r="CG231" s="7"/>
      <c r="CH231" s="7"/>
      <c r="CI231" s="7"/>
      <c r="CJ231" s="7"/>
      <c r="CK231" s="7"/>
      <c r="CL231" s="7"/>
      <c r="CM231" s="7"/>
      <c r="CN231" s="7"/>
      <c r="CO231" s="7"/>
      <c r="CP231" s="7"/>
      <c r="CQ231" s="7"/>
      <c r="CR231" s="7"/>
      <c r="CS231" s="7"/>
      <c r="CT231" s="7"/>
      <c r="CU231" s="7"/>
      <c r="CV231" s="7"/>
      <c r="CW231" s="7"/>
      <c r="CX231" s="7"/>
      <c r="CY231" s="7"/>
      <c r="CZ231" s="7"/>
      <c r="DA231" s="7"/>
      <c r="DB231" s="7"/>
      <c r="DC231" s="7"/>
      <c r="DD231" s="7"/>
      <c r="DE231" s="7"/>
      <c r="DF231" s="7"/>
      <c r="DG231" s="7"/>
      <c r="DH231" s="7"/>
      <c r="DI231" s="7"/>
      <c r="DJ231" s="7"/>
      <c r="DK231" s="7"/>
      <c r="DL231" s="7"/>
      <c r="DM231" s="7"/>
      <c r="DN231" s="7"/>
      <c r="DO231" s="7"/>
      <c r="DP231" s="7"/>
      <c r="DQ231" s="7"/>
      <c r="DR231" s="7"/>
      <c r="DS231" s="7"/>
      <c r="DT231" s="7"/>
      <c r="DU231" s="7"/>
    </row>
    <row r="232" spans="1:125" x14ac:dyDescent="0.25">
      <c r="A232" t="str">
        <f>'storage capacity'!Q35</f>
        <v>South Africa</v>
      </c>
      <c r="C232" s="7">
        <f t="shared" si="9"/>
        <v>481591.39999999851</v>
      </c>
      <c r="D232" s="7">
        <f t="shared" si="22"/>
        <v>501336.42171207903</v>
      </c>
      <c r="E232" s="7">
        <f t="shared" si="22"/>
        <v>521685.43447776418</v>
      </c>
      <c r="F232" s="7">
        <f t="shared" si="22"/>
        <v>542648.6545332924</v>
      </c>
      <c r="G232" s="7">
        <f t="shared" si="22"/>
        <v>564236.19710578781</v>
      </c>
      <c r="H232" s="7">
        <f t="shared" si="22"/>
        <v>586458.06773232727</v>
      </c>
      <c r="I232" s="7">
        <f t="shared" si="22"/>
        <v>609324.15364125511</v>
      </c>
      <c r="J232" s="7">
        <f t="shared" si="22"/>
        <v>632844.21520754241</v>
      </c>
      <c r="K232" s="7">
        <f t="shared" si="22"/>
        <v>657027.87749379152</v>
      </c>
      <c r="L232" s="7">
        <f t="shared" si="22"/>
        <v>681884.62188827491</v>
      </c>
      <c r="M232" s="7">
        <f t="shared" si="22"/>
        <v>707423.77785116062</v>
      </c>
      <c r="N232" s="7">
        <f t="shared" si="22"/>
        <v>733654.51477982139</v>
      </c>
      <c r="O232" s="7">
        <f t="shared" si="22"/>
        <v>760585.83400384826</v>
      </c>
      <c r="P232" s="7">
        <f t="shared" si="22"/>
        <v>788226.56092009705</v>
      </c>
      <c r="Q232" s="7">
        <f t="shared" si="22"/>
        <v>816585.33727778541</v>
      </c>
      <c r="R232" s="7">
        <f t="shared" si="22"/>
        <v>845670.61362333084</v>
      </c>
      <c r="S232" s="7">
        <f t="shared" si="22"/>
        <v>875490.64191427804</v>
      </c>
      <c r="T232" s="7">
        <f t="shared" si="22"/>
        <v>906053.46831130807</v>
      </c>
      <c r="U232" s="7">
        <f t="shared" si="22"/>
        <v>937366.92615695519</v>
      </c>
      <c r="V232" s="7">
        <f t="shared" si="22"/>
        <v>969438.62914927164</v>
      </c>
      <c r="W232" s="7">
        <f t="shared" si="22"/>
        <v>1002275.9647182955</v>
      </c>
      <c r="X232" s="7">
        <f t="shared" si="22"/>
        <v>1035886.0876127718</v>
      </c>
      <c r="Y232" s="7">
        <f t="shared" si="22"/>
        <v>1070275.9137041692</v>
      </c>
      <c r="Z232" s="7">
        <f t="shared" si="22"/>
        <v>1105452.1140146211</v>
      </c>
      <c r="AA232" s="7">
        <f t="shared" si="22"/>
        <v>1141421.1089749893</v>
      </c>
      <c r="AB232" s="7">
        <f t="shared" si="22"/>
        <v>1178189.0629188342</v>
      </c>
      <c r="AC232" s="7">
        <f t="shared" si="22"/>
        <v>1215761.8788176293</v>
      </c>
      <c r="AD232" s="7">
        <f t="shared" si="22"/>
        <v>1254145.1932621361</v>
      </c>
      <c r="AE232" s="7">
        <f t="shared" si="22"/>
        <v>1293344.3716944081</v>
      </c>
      <c r="AF232" s="7">
        <f t="shared" si="22"/>
        <v>1333364.5038944676</v>
      </c>
      <c r="AG232" s="7">
        <f t="shared" si="22"/>
        <v>1374210.3997252481</v>
      </c>
      <c r="AH232" s="7">
        <f t="shared" si="22"/>
        <v>1415886.5851389731</v>
      </c>
      <c r="AI232" s="7">
        <f t="shared" si="22"/>
        <v>1458397.2984476972</v>
      </c>
      <c r="AJ232" s="7">
        <f t="shared" si="22"/>
        <v>1501746.4868603116</v>
      </c>
      <c r="AK232" s="7">
        <f t="shared" si="22"/>
        <v>1545937.8032878849</v>
      </c>
      <c r="AL232" s="7">
        <f t="shared" si="22"/>
        <v>1590974.6034187912</v>
      </c>
      <c r="AM232" s="7">
        <f t="shared" si="22"/>
        <v>1636859.9430646547</v>
      </c>
      <c r="AN232" s="7">
        <f t="shared" si="22"/>
        <v>1683596.5757777384</v>
      </c>
      <c r="AO232" s="7">
        <f t="shared" si="22"/>
        <v>1731186.9507399909</v>
      </c>
      <c r="AP232" s="7">
        <f t="shared" si="22"/>
        <v>1779633.2109235753</v>
      </c>
      <c r="AQ232" s="7">
        <f t="shared" si="22"/>
        <v>1828937.1915223137</v>
      </c>
      <c r="AR232" s="7">
        <f t="shared" si="22"/>
        <v>1879100.4186531038</v>
      </c>
      <c r="AS232" s="7">
        <f t="shared" si="22"/>
        <v>1930124.1083259892</v>
      </c>
      <c r="AT232" s="7">
        <f t="shared" si="22"/>
        <v>1982009.1656812157</v>
      </c>
      <c r="AU232" s="7">
        <f t="shared" si="22"/>
        <v>2034756.1844912414</v>
      </c>
      <c r="AV232" s="7">
        <f t="shared" si="22"/>
        <v>2088365.4469253453</v>
      </c>
      <c r="AW232" s="7">
        <f t="shared" si="22"/>
        <v>2142836.9235741426</v>
      </c>
      <c r="AX232" s="7">
        <f t="shared" si="22"/>
        <v>2198170.2737310007</v>
      </c>
      <c r="AY232" s="7">
        <f t="shared" si="22"/>
        <v>2254364.8459270494</v>
      </c>
      <c r="AZ232" s="7">
        <f t="shared" si="22"/>
        <v>2311419.6787161864</v>
      </c>
      <c r="BA232" s="7">
        <f t="shared" si="22"/>
        <v>2369333.5017061993</v>
      </c>
      <c r="BB232" s="7">
        <f t="shared" si="22"/>
        <v>2428104.736831856</v>
      </c>
      <c r="BC232" s="7">
        <f t="shared" si="22"/>
        <v>2487731.4998655743</v>
      </c>
      <c r="BD232" s="7">
        <f t="shared" si="22"/>
        <v>2548211.6021610261</v>
      </c>
      <c r="BE232" s="7">
        <f t="shared" si="22"/>
        <v>2609542.5526248151</v>
      </c>
      <c r="BF232" s="7">
        <f t="shared" si="22"/>
        <v>2671721.5599111533</v>
      </c>
      <c r="BG232" s="7">
        <f t="shared" si="22"/>
        <v>2734745.5348342471</v>
      </c>
      <c r="BH232" s="7">
        <f t="shared" si="22"/>
        <v>2798611.0929929451</v>
      </c>
      <c r="BI232" s="7">
        <f t="shared" si="22"/>
        <v>2863314.5576019883</v>
      </c>
      <c r="BJ232" s="7">
        <f t="shared" si="22"/>
        <v>2928851.9625240797</v>
      </c>
      <c r="BK232" s="7">
        <f t="shared" si="22"/>
        <v>2995219.0554968137</v>
      </c>
      <c r="BL232" s="7">
        <f t="shared" si="22"/>
        <v>3062411.3015483911</v>
      </c>
      <c r="BM232" s="7">
        <f t="shared" si="22"/>
        <v>3130423.886595909</v>
      </c>
      <c r="BN232" s="7">
        <f t="shared" si="22"/>
        <v>3199251.7212199173</v>
      </c>
      <c r="BO232" s="7">
        <f t="shared" si="22"/>
        <v>3268889.4446088304</v>
      </c>
      <c r="BP232" s="7">
        <f t="shared" si="21"/>
        <v>3339331.4286666987</v>
      </c>
      <c r="BQ232" s="7">
        <f t="shared" si="21"/>
        <v>3410571.7822777778</v>
      </c>
      <c r="BR232" s="7">
        <f t="shared" si="21"/>
        <v>3482604.3557212665</v>
      </c>
      <c r="BS232" s="7">
        <f t="shared" si="21"/>
        <v>3555422.7452295376</v>
      </c>
      <c r="BT232" s="7">
        <f t="shared" si="15"/>
        <v>3629020.2976831594</v>
      </c>
      <c r="BU232" s="7">
        <f t="shared" si="15"/>
        <v>3703390.1154359514</v>
      </c>
      <c r="BV232" s="7"/>
      <c r="BW232" s="7"/>
      <c r="BX232" s="7"/>
      <c r="BY232" s="7"/>
      <c r="BZ232" s="7"/>
      <c r="CA232" s="7"/>
      <c r="CB232" s="7"/>
      <c r="CC232" s="7"/>
      <c r="CD232" s="7"/>
      <c r="CE232" s="7"/>
      <c r="CF232" s="7"/>
      <c r="CG232" s="7"/>
      <c r="CH232" s="7"/>
      <c r="CI232" s="7"/>
      <c r="CJ232" s="7"/>
      <c r="CK232" s="7"/>
      <c r="CL232" s="7"/>
      <c r="CM232" s="7"/>
      <c r="CN232" s="7"/>
      <c r="CO232" s="7"/>
      <c r="CP232" s="7"/>
      <c r="CQ232" s="7"/>
      <c r="CR232" s="7"/>
      <c r="CS232" s="7"/>
      <c r="CT232" s="7"/>
      <c r="CU232" s="7"/>
      <c r="CV232" s="7"/>
      <c r="CW232" s="7"/>
      <c r="CX232" s="7"/>
      <c r="CY232" s="7"/>
      <c r="CZ232" s="7"/>
      <c r="DA232" s="7"/>
      <c r="DB232" s="7"/>
      <c r="DC232" s="7"/>
      <c r="DD232" s="7"/>
      <c r="DE232" s="7"/>
      <c r="DF232" s="7"/>
      <c r="DG232" s="7"/>
      <c r="DH232" s="7"/>
      <c r="DI232" s="7"/>
      <c r="DJ232" s="7"/>
      <c r="DK232" s="7"/>
      <c r="DL232" s="7"/>
      <c r="DM232" s="7"/>
      <c r="DN232" s="7"/>
      <c r="DO232" s="7"/>
      <c r="DP232" s="7"/>
      <c r="DQ232" s="7"/>
      <c r="DR232" s="7"/>
      <c r="DS232" s="7"/>
      <c r="DT232" s="7"/>
      <c r="DU232" s="7"/>
    </row>
    <row r="233" spans="1:125" x14ac:dyDescent="0.25">
      <c r="A233" t="str">
        <f>'storage capacity'!Q36</f>
        <v>South Korea</v>
      </c>
      <c r="C233" s="7">
        <f t="shared" si="9"/>
        <v>2270140.3333333284</v>
      </c>
      <c r="D233" s="7">
        <f t="shared" si="22"/>
        <v>2375389.8855828159</v>
      </c>
      <c r="E233" s="7">
        <f t="shared" si="22"/>
        <v>2484417.7862031143</v>
      </c>
      <c r="F233" s="7">
        <f t="shared" si="22"/>
        <v>2597309.6312707821</v>
      </c>
      <c r="G233" s="7">
        <f t="shared" si="22"/>
        <v>2714151.0608134978</v>
      </c>
      <c r="H233" s="7">
        <f t="shared" si="22"/>
        <v>2835027.6914858739</v>
      </c>
      <c r="I233" s="7">
        <f t="shared" si="22"/>
        <v>2960025.0485437801</v>
      </c>
      <c r="J233" s="7">
        <f t="shared" si="22"/>
        <v>3089228.4972135397</v>
      </c>
      <c r="K233" s="7">
        <f t="shared" si="22"/>
        <v>3222723.1735533895</v>
      </c>
      <c r="L233" s="7">
        <f t="shared" si="22"/>
        <v>3360593.9149053968</v>
      </c>
      <c r="M233" s="7">
        <f t="shared" si="22"/>
        <v>3502925.1900366028</v>
      </c>
      <c r="N233" s="7">
        <f t="shared" si="22"/>
        <v>3649801.0290685124</v>
      </c>
      <c r="O233" s="7">
        <f t="shared" si="22"/>
        <v>3801304.9532941906</v>
      </c>
      <c r="P233" s="7">
        <f t="shared" si="22"/>
        <v>3957519.9049821366</v>
      </c>
      <c r="Q233" s="7">
        <f t="shared" si="22"/>
        <v>4118528.1772658085</v>
      </c>
      <c r="R233" s="7">
        <f t="shared" si="22"/>
        <v>4284411.3442171616</v>
      </c>
      <c r="S233" s="7">
        <f t="shared" si="22"/>
        <v>4455250.1912018489</v>
      </c>
      <c r="T233" s="7">
        <f t="shared" si="22"/>
        <v>4631124.6456128042</v>
      </c>
      <c r="U233" s="7">
        <f t="shared" si="22"/>
        <v>4812113.7080778228</v>
      </c>
      <c r="V233" s="7">
        <f t="shared" si="22"/>
        <v>4998295.3842354454</v>
      </c>
      <c r="W233" s="7">
        <f t="shared" si="22"/>
        <v>5189746.6171719562</v>
      </c>
      <c r="X233" s="7">
        <f t="shared" si="22"/>
        <v>5386543.2206106428</v>
      </c>
      <c r="Y233" s="7">
        <f t="shared" si="22"/>
        <v>5588759.8129426241</v>
      </c>
      <c r="Z233" s="7">
        <f t="shared" si="22"/>
        <v>5796469.7521865508</v>
      </c>
      <c r="AA233" s="7">
        <f t="shared" si="22"/>
        <v>6009745.0719623314</v>
      </c>
      <c r="AB233" s="7">
        <f t="shared" si="22"/>
        <v>6228656.4185617147</v>
      </c>
      <c r="AC233" s="7">
        <f t="shared" si="22"/>
        <v>6453272.9891961394</v>
      </c>
      <c r="AD233" s="7">
        <f t="shared" si="22"/>
        <v>6683662.4714996703</v>
      </c>
      <c r="AE233" s="7">
        <f t="shared" si="22"/>
        <v>6919890.9843621384</v>
      </c>
      <c r="AF233" s="7">
        <f t="shared" si="22"/>
        <v>7162023.0201648213</v>
      </c>
      <c r="AG233" s="7">
        <f t="shared" si="22"/>
        <v>7410121.3884880412</v>
      </c>
      <c r="AH233" s="7">
        <f t="shared" si="22"/>
        <v>7664247.1613570852</v>
      </c>
      <c r="AI233" s="7">
        <f t="shared" si="22"/>
        <v>7924459.6200897312</v>
      </c>
      <c r="AJ233" s="7">
        <f t="shared" si="22"/>
        <v>8190816.2038055081</v>
      </c>
      <c r="AK233" s="7">
        <f t="shared" si="22"/>
        <v>8463372.4596535396</v>
      </c>
      <c r="AL233" s="7">
        <f t="shared" si="22"/>
        <v>8742181.9948125631</v>
      </c>
      <c r="AM233" s="7">
        <f t="shared" si="22"/>
        <v>9027296.4303133208</v>
      </c>
      <c r="AN233" s="7">
        <f t="shared" si="22"/>
        <v>9318765.3567301463</v>
      </c>
      <c r="AO233" s="7">
        <f t="shared" si="22"/>
        <v>9616636.2917851228</v>
      </c>
      <c r="AP233" s="7">
        <f t="shared" si="22"/>
        <v>9920954.6399047449</v>
      </c>
      <c r="AQ233" s="7">
        <f t="shared" si="22"/>
        <v>10231763.653765539</v>
      </c>
      <c r="AR233" s="7">
        <f t="shared" si="22"/>
        <v>10549104.397861611</v>
      </c>
      <c r="AS233" s="7">
        <f t="shared" si="22"/>
        <v>10873015.714123612</v>
      </c>
      <c r="AT233" s="7">
        <f t="shared" si="22"/>
        <v>11203534.189615142</v>
      </c>
      <c r="AU233" s="7">
        <f t="shared" si="22"/>
        <v>11540694.126329131</v>
      </c>
      <c r="AV233" s="7">
        <f t="shared" si="22"/>
        <v>11884527.513103336</v>
      </c>
      <c r="AW233" s="7">
        <f t="shared" si="22"/>
        <v>12235063.999670621</v>
      </c>
      <c r="AX233" s="7">
        <f t="shared" si="22"/>
        <v>12592330.872856393</v>
      </c>
      <c r="AY233" s="7">
        <f t="shared" si="22"/>
        <v>12956353.034932153</v>
      </c>
      <c r="AZ233" s="7">
        <f t="shared" si="22"/>
        <v>13327152.984130897</v>
      </c>
      <c r="BA233" s="7">
        <f t="shared" si="22"/>
        <v>13704750.797326827</v>
      </c>
      <c r="BB233" s="7">
        <f t="shared" si="22"/>
        <v>14089164.114878703</v>
      </c>
      <c r="BC233" s="7">
        <f t="shared" si="22"/>
        <v>14480408.127633013</v>
      </c>
      <c r="BD233" s="7">
        <f t="shared" si="22"/>
        <v>14878495.566080159</v>
      </c>
      <c r="BE233" s="7">
        <f t="shared" si="22"/>
        <v>15283436.691653814</v>
      </c>
      <c r="BF233" s="7">
        <f t="shared" si="22"/>
        <v>15695239.290160801</v>
      </c>
      <c r="BG233" s="7">
        <f t="shared" si="22"/>
        <v>16113908.667325996</v>
      </c>
      <c r="BH233" s="7">
        <f t="shared" si="22"/>
        <v>16539447.646434058</v>
      </c>
      <c r="BI233" s="7">
        <f t="shared" si="22"/>
        <v>16971856.568047132</v>
      </c>
      <c r="BJ233" s="7">
        <f t="shared" si="22"/>
        <v>17411133.291775201</v>
      </c>
      <c r="BK233" s="7">
        <f t="shared" si="22"/>
        <v>17857273.200073216</v>
      </c>
      <c r="BL233" s="7">
        <f t="shared" si="22"/>
        <v>18310269.20403694</v>
      </c>
      <c r="BM233" s="7">
        <f t="shared" si="22"/>
        <v>18770111.751167025</v>
      </c>
      <c r="BN233" s="7">
        <f t="shared" si="22"/>
        <v>19236788.835068848</v>
      </c>
      <c r="BO233" s="7">
        <f t="shared" ref="BO233:BU238" si="23">VLOOKUP($A233,$A$2:$BU$196,BO$198,FALSE)</f>
        <v>19710286.007053483</v>
      </c>
      <c r="BP233" s="7">
        <f t="shared" si="23"/>
        <v>20190586.389603358</v>
      </c>
      <c r="BQ233" s="7">
        <f t="shared" si="23"/>
        <v>20677670.691664159</v>
      </c>
      <c r="BR233" s="7">
        <f t="shared" si="23"/>
        <v>21171517.22572301</v>
      </c>
      <c r="BS233" s="7">
        <f t="shared" si="23"/>
        <v>21672101.926631149</v>
      </c>
      <c r="BT233" s="7">
        <f t="shared" si="23"/>
        <v>22179398.372127943</v>
      </c>
      <c r="BU233" s="7">
        <f t="shared" si="23"/>
        <v>22693377.805021603</v>
      </c>
      <c r="BV233" s="7"/>
      <c r="BW233" s="7"/>
      <c r="BX233" s="7"/>
      <c r="BY233" s="7"/>
      <c r="BZ233" s="7"/>
      <c r="CA233" s="7"/>
      <c r="CB233" s="7"/>
      <c r="CC233" s="7"/>
      <c r="CD233" s="7"/>
      <c r="CE233" s="7"/>
      <c r="CF233" s="7"/>
      <c r="CG233" s="7"/>
      <c r="CH233" s="7"/>
      <c r="CI233" s="7"/>
      <c r="CJ233" s="7"/>
      <c r="CK233" s="7"/>
      <c r="CL233" s="7"/>
      <c r="CM233" s="7"/>
      <c r="CN233" s="7"/>
      <c r="CO233" s="7"/>
      <c r="CP233" s="7"/>
      <c r="CQ233" s="7"/>
      <c r="CR233" s="7"/>
      <c r="CS233" s="7"/>
      <c r="CT233" s="7"/>
      <c r="CU233" s="7"/>
      <c r="CV233" s="7"/>
      <c r="CW233" s="7"/>
      <c r="CX233" s="7"/>
      <c r="CY233" s="7"/>
      <c r="CZ233" s="7"/>
      <c r="DA233" s="7"/>
      <c r="DB233" s="7"/>
      <c r="DC233" s="7"/>
      <c r="DD233" s="7"/>
      <c r="DE233" s="7"/>
      <c r="DF233" s="7"/>
      <c r="DG233" s="7"/>
      <c r="DH233" s="7"/>
      <c r="DI233" s="7"/>
      <c r="DJ233" s="7"/>
      <c r="DK233" s="7"/>
      <c r="DL233" s="7"/>
      <c r="DM233" s="7"/>
      <c r="DN233" s="7"/>
      <c r="DO233" s="7"/>
      <c r="DP233" s="7"/>
      <c r="DQ233" s="7"/>
      <c r="DR233" s="7"/>
      <c r="DS233" s="7"/>
      <c r="DT233" s="7"/>
      <c r="DU233" s="7"/>
    </row>
    <row r="234" spans="1:125" x14ac:dyDescent="0.25">
      <c r="A234" t="str">
        <f>'storage capacity'!Q37</f>
        <v>Spain</v>
      </c>
      <c r="C234" s="7">
        <f t="shared" si="9"/>
        <v>2268578.2666666508</v>
      </c>
      <c r="D234" s="7">
        <f t="shared" ref="D234:BO237" si="24">VLOOKUP($A234,$A$2:$BU$196,D$198,FALSE)</f>
        <v>2394643.0434024013</v>
      </c>
      <c r="E234" s="7">
        <f t="shared" si="24"/>
        <v>2526382.5313510327</v>
      </c>
      <c r="F234" s="7">
        <f t="shared" si="24"/>
        <v>2663979.6978848665</v>
      </c>
      <c r="G234" s="7">
        <f t="shared" si="24"/>
        <v>2807620.0583797703</v>
      </c>
      <c r="H234" s="7">
        <f t="shared" si="24"/>
        <v>2957491.5765682184</v>
      </c>
      <c r="I234" s="7">
        <f t="shared" si="24"/>
        <v>3113784.5599346925</v>
      </c>
      <c r="J234" s="7">
        <f t="shared" si="24"/>
        <v>3276691.5502590374</v>
      </c>
      <c r="K234" s="7">
        <f t="shared" si="24"/>
        <v>3446407.2094240556</v>
      </c>
      <c r="L234" s="7">
        <f t="shared" si="24"/>
        <v>3623128.2006139988</v>
      </c>
      <c r="M234" s="7">
        <f t="shared" si="24"/>
        <v>3807053.0650407029</v>
      </c>
      <c r="N234" s="7">
        <f t="shared" si="24"/>
        <v>3998382.0943438546</v>
      </c>
      <c r="O234" s="7">
        <f t="shared" si="24"/>
        <v>4197317.1988212802</v>
      </c>
      <c r="P234" s="7">
        <f t="shared" si="24"/>
        <v>4404061.7716541411</v>
      </c>
      <c r="Q234" s="7">
        <f t="shared" si="24"/>
        <v>4618820.5493005402</v>
      </c>
      <c r="R234" s="7">
        <f t="shared" si="24"/>
        <v>4841799.4682391938</v>
      </c>
      <c r="S234" s="7">
        <f t="shared" si="24"/>
        <v>5073205.5182525739</v>
      </c>
      <c r="T234" s="7">
        <f t="shared" si="24"/>
        <v>5313246.5924461586</v>
      </c>
      <c r="U234" s="7">
        <f t="shared" si="24"/>
        <v>5562131.3342072265</v>
      </c>
      <c r="V234" s="7">
        <f t="shared" si="24"/>
        <v>5820068.9813128915</v>
      </c>
      <c r="W234" s="7">
        <f t="shared" si="24"/>
        <v>6087269.2074028458</v>
      </c>
      <c r="X234" s="7">
        <f t="shared" si="24"/>
        <v>6363941.9610375166</v>
      </c>
      <c r="Y234" s="7">
        <f t="shared" si="24"/>
        <v>6650297.3025670676</v>
      </c>
      <c r="Z234" s="7">
        <f t="shared" si="24"/>
        <v>6946545.2390408292</v>
      </c>
      <c r="AA234" s="7">
        <f t="shared" si="24"/>
        <v>7252895.5573903844</v>
      </c>
      <c r="AB234" s="7">
        <f t="shared" si="24"/>
        <v>7569557.6561226062</v>
      </c>
      <c r="AC234" s="7">
        <f t="shared" si="24"/>
        <v>7896740.3757614838</v>
      </c>
      <c r="AD234" s="7">
        <f t="shared" si="24"/>
        <v>8234651.8282795362</v>
      </c>
      <c r="AE234" s="7">
        <f t="shared" si="24"/>
        <v>8583499.2257610559</v>
      </c>
      <c r="AF234" s="7">
        <f t="shared" si="24"/>
        <v>8943488.7085402943</v>
      </c>
      <c r="AG234" s="7">
        <f t="shared" si="24"/>
        <v>9314825.1730580609</v>
      </c>
      <c r="AH234" s="7">
        <f t="shared" si="24"/>
        <v>9697712.0996799804</v>
      </c>
      <c r="AI234" s="7">
        <f t="shared" si="24"/>
        <v>10092351.380718974</v>
      </c>
      <c r="AJ234" s="7">
        <f t="shared" si="24"/>
        <v>10498943.148903262</v>
      </c>
      <c r="AK234" s="7">
        <f t="shared" si="24"/>
        <v>10917685.606529428</v>
      </c>
      <c r="AL234" s="7">
        <f t="shared" si="24"/>
        <v>11348774.855537891</v>
      </c>
      <c r="AM234" s="7">
        <f t="shared" si="24"/>
        <v>11792404.728745351</v>
      </c>
      <c r="AN234" s="7">
        <f t="shared" si="24"/>
        <v>12248766.622465609</v>
      </c>
      <c r="AO234" s="7">
        <f t="shared" si="24"/>
        <v>12718049.330746518</v>
      </c>
      <c r="AP234" s="7">
        <f t="shared" si="24"/>
        <v>13200438.881446745</v>
      </c>
      <c r="AQ234" s="7">
        <f t="shared" si="24"/>
        <v>13696118.374371482</v>
      </c>
      <c r="AR234" s="7">
        <f t="shared" si="24"/>
        <v>14205267.821681416</v>
      </c>
      <c r="AS234" s="7">
        <f t="shared" si="24"/>
        <v>14728063.990783909</v>
      </c>
      <c r="AT234" s="7">
        <f t="shared" si="24"/>
        <v>15264680.249909757</v>
      </c>
      <c r="AU234" s="7">
        <f t="shared" si="24"/>
        <v>15815286.416572845</v>
      </c>
      <c r="AV234" s="7">
        <f t="shared" si="24"/>
        <v>16380048.609103791</v>
      </c>
      <c r="AW234" s="7">
        <f t="shared" si="24"/>
        <v>16959129.101441983</v>
      </c>
      <c r="AX234" s="7">
        <f t="shared" si="24"/>
        <v>17552686.18136356</v>
      </c>
      <c r="AY234" s="7">
        <f t="shared" si="24"/>
        <v>18160874.012315743</v>
      </c>
      <c r="AZ234" s="7">
        <f t="shared" si="24"/>
        <v>18783842.499020565</v>
      </c>
      <c r="BA234" s="7">
        <f t="shared" si="24"/>
        <v>19421737.157003392</v>
      </c>
      <c r="BB234" s="7">
        <f t="shared" si="24"/>
        <v>20074698.98619391</v>
      </c>
      <c r="BC234" s="7">
        <f t="shared" si="24"/>
        <v>20742864.348739251</v>
      </c>
      <c r="BD234" s="7">
        <f t="shared" si="24"/>
        <v>21426364.851160862</v>
      </c>
      <c r="BE234" s="7">
        <f t="shared" si="24"/>
        <v>22125327.230978481</v>
      </c>
      <c r="BF234" s="7">
        <f t="shared" si="24"/>
        <v>22839873.24791624</v>
      </c>
      <c r="BG234" s="7">
        <f t="shared" si="24"/>
        <v>23570119.579797532</v>
      </c>
      <c r="BH234" s="7">
        <f t="shared" si="24"/>
        <v>24316177.723226748</v>
      </c>
      <c r="BI234" s="7">
        <f t="shared" si="24"/>
        <v>25078153.899147566</v>
      </c>
      <c r="BJ234" s="7">
        <f t="shared" si="24"/>
        <v>25856148.963358819</v>
      </c>
      <c r="BK234" s="7">
        <f t="shared" si="24"/>
        <v>26650258.322060496</v>
      </c>
      <c r="BL234" s="7">
        <f t="shared" si="24"/>
        <v>27460571.852493919</v>
      </c>
      <c r="BM234" s="7">
        <f t="shared" si="24"/>
        <v>28287173.828731604</v>
      </c>
      <c r="BN234" s="7">
        <f t="shared" si="24"/>
        <v>29130142.852663852</v>
      </c>
      <c r="BO234" s="7">
        <f t="shared" si="24"/>
        <v>29989551.790220909</v>
      </c>
      <c r="BP234" s="7">
        <f t="shared" si="23"/>
        <v>30865467.712860961</v>
      </c>
      <c r="BQ234" s="7">
        <f t="shared" si="23"/>
        <v>31757951.844346408</v>
      </c>
      <c r="BR234" s="7">
        <f t="shared" si="23"/>
        <v>32667059.512822475</v>
      </c>
      <c r="BS234" s="7">
        <f t="shared" si="23"/>
        <v>33592840.108204558</v>
      </c>
      <c r="BT234" s="7">
        <f t="shared" si="23"/>
        <v>34535337.044872642</v>
      </c>
      <c r="BU234" s="7">
        <f t="shared" si="23"/>
        <v>35494587.729663834</v>
      </c>
      <c r="BV234" s="7"/>
      <c r="BW234" s="7"/>
      <c r="BX234" s="7"/>
      <c r="BY234" s="7"/>
      <c r="BZ234" s="7"/>
      <c r="CA234" s="7"/>
      <c r="CB234" s="7"/>
      <c r="CC234" s="7"/>
      <c r="CD234" s="7"/>
      <c r="CE234" s="7"/>
      <c r="CF234" s="7"/>
      <c r="CG234" s="7"/>
      <c r="CH234" s="7"/>
      <c r="CI234" s="7"/>
      <c r="CJ234" s="7"/>
      <c r="CK234" s="7"/>
      <c r="CL234" s="7"/>
      <c r="CM234" s="7"/>
      <c r="CN234" s="7"/>
      <c r="CO234" s="7"/>
      <c r="CP234" s="7"/>
      <c r="CQ234" s="7"/>
      <c r="CR234" s="7"/>
      <c r="CS234" s="7"/>
      <c r="CT234" s="7"/>
      <c r="CU234" s="7"/>
      <c r="CV234" s="7"/>
      <c r="CW234" s="7"/>
      <c r="CX234" s="7"/>
      <c r="CY234" s="7"/>
      <c r="CZ234" s="7"/>
      <c r="DA234" s="7"/>
      <c r="DB234" s="7"/>
      <c r="DC234" s="7"/>
      <c r="DD234" s="7"/>
      <c r="DE234" s="7"/>
      <c r="DF234" s="7"/>
      <c r="DG234" s="7"/>
      <c r="DH234" s="7"/>
      <c r="DI234" s="7"/>
      <c r="DJ234" s="7"/>
      <c r="DK234" s="7"/>
      <c r="DL234" s="7"/>
      <c r="DM234" s="7"/>
      <c r="DN234" s="7"/>
      <c r="DO234" s="7"/>
      <c r="DP234" s="7"/>
      <c r="DQ234" s="7"/>
      <c r="DR234" s="7"/>
      <c r="DS234" s="7"/>
      <c r="DT234" s="7"/>
      <c r="DU234" s="7"/>
    </row>
    <row r="235" spans="1:125" x14ac:dyDescent="0.25">
      <c r="A235" t="str">
        <f>'storage capacity'!Q38</f>
        <v>Sweden</v>
      </c>
      <c r="C235" s="7">
        <f t="shared" si="9"/>
        <v>760128.26666666567</v>
      </c>
      <c r="D235" s="7">
        <f t="shared" si="24"/>
        <v>794880.17905938113</v>
      </c>
      <c r="E235" s="7">
        <f t="shared" si="24"/>
        <v>830857.48904924397</v>
      </c>
      <c r="F235" s="7">
        <f t="shared" si="24"/>
        <v>868087.12195005862</v>
      </c>
      <c r="G235" s="7">
        <f t="shared" si="24"/>
        <v>906595.98736809392</v>
      </c>
      <c r="H235" s="7">
        <f t="shared" si="24"/>
        <v>946410.95773625968</v>
      </c>
      <c r="I235" s="7">
        <f t="shared" si="24"/>
        <v>987558.84666999546</v>
      </c>
      <c r="J235" s="7">
        <f t="shared" si="24"/>
        <v>1030066.3871756</v>
      </c>
      <c r="K235" s="7">
        <f t="shared" si="24"/>
        <v>1073960.2097419533</v>
      </c>
      <c r="L235" s="7">
        <f t="shared" si="24"/>
        <v>1119266.8203467352</v>
      </c>
      <c r="M235" s="7">
        <f t="shared" si="24"/>
        <v>1166012.5784083318</v>
      </c>
      <c r="N235" s="7">
        <f t="shared" si="24"/>
        <v>1214223.674714633</v>
      </c>
      <c r="O235" s="7">
        <f t="shared" si="24"/>
        <v>1263926.1093598728</v>
      </c>
      <c r="P235" s="7">
        <f t="shared" si="24"/>
        <v>1315145.6697205442</v>
      </c>
      <c r="Q235" s="7">
        <f t="shared" si="24"/>
        <v>1367907.9085012341</v>
      </c>
      <c r="R235" s="7">
        <f t="shared" si="24"/>
        <v>1422238.12188097</v>
      </c>
      <c r="S235" s="7">
        <f t="shared" si="24"/>
        <v>1478161.327790363</v>
      </c>
      <c r="T235" s="7">
        <f t="shared" si="24"/>
        <v>1535702.2443494527</v>
      </c>
      <c r="U235" s="7">
        <f t="shared" si="24"/>
        <v>1594885.2684957238</v>
      </c>
      <c r="V235" s="7">
        <f t="shared" si="24"/>
        <v>1655734.4548312826</v>
      </c>
      <c r="W235" s="7">
        <f t="shared" si="24"/>
        <v>1718273.4947176231</v>
      </c>
      <c r="X235" s="7">
        <f t="shared" si="24"/>
        <v>1782525.6956458266</v>
      </c>
      <c r="Y235" s="7">
        <f t="shared" si="24"/>
        <v>1848513.9609093794</v>
      </c>
      <c r="Z235" s="7">
        <f t="shared" si="24"/>
        <v>1916260.7696061018</v>
      </c>
      <c r="AA235" s="7">
        <f t="shared" si="24"/>
        <v>1985788.1569949407</v>
      </c>
      <c r="AB235" s="7">
        <f t="shared" si="24"/>
        <v>2057117.6952325874</v>
      </c>
      <c r="AC235" s="7">
        <f t="shared" si="24"/>
        <v>2130270.4745140625</v>
      </c>
      <c r="AD235" s="7">
        <f t="shared" si="24"/>
        <v>2205267.0846405467</v>
      </c>
      <c r="AE235" s="7">
        <f t="shared" si="24"/>
        <v>2282127.5970368371</v>
      </c>
      <c r="AF235" s="7">
        <f t="shared" si="24"/>
        <v>2360871.547239881</v>
      </c>
      <c r="AG235" s="7">
        <f t="shared" si="24"/>
        <v>2441517.9178788816</v>
      </c>
      <c r="AH235" s="7">
        <f t="shared" si="24"/>
        <v>2524085.1221664869</v>
      </c>
      <c r="AI235" s="7">
        <f t="shared" si="24"/>
        <v>2608590.9879195672</v>
      </c>
      <c r="AJ235" s="7">
        <f t="shared" si="24"/>
        <v>2695052.7421270525</v>
      </c>
      <c r="AK235" s="7">
        <f t="shared" si="24"/>
        <v>2783486.996081261</v>
      </c>
      <c r="AL235" s="7">
        <f t="shared" si="24"/>
        <v>2873909.7310880926</v>
      </c>
      <c r="AM235" s="7">
        <f t="shared" si="24"/>
        <v>2966336.2847703807</v>
      </c>
      <c r="AN235" s="7">
        <f t="shared" si="24"/>
        <v>3060781.337977617</v>
      </c>
      <c r="AO235" s="7">
        <f t="shared" si="24"/>
        <v>3157258.9023141749</v>
      </c>
      <c r="AP235" s="7">
        <f t="shared" si="24"/>
        <v>3255782.3082970693</v>
      </c>
      <c r="AQ235" s="7">
        <f t="shared" si="24"/>
        <v>3356364.1941531803</v>
      </c>
      <c r="AR235" s="7">
        <f t="shared" si="24"/>
        <v>3459016.4952647937</v>
      </c>
      <c r="AS235" s="7">
        <f t="shared" si="24"/>
        <v>3563750.4342712043</v>
      </c>
      <c r="AT235" s="7">
        <f t="shared" si="24"/>
        <v>3670576.5118330498</v>
      </c>
      <c r="AU235" s="7">
        <f t="shared" si="24"/>
        <v>3779504.4980649627</v>
      </c>
      <c r="AV235" s="7">
        <f t="shared" si="24"/>
        <v>3890543.4246410625</v>
      </c>
      <c r="AW235" s="7">
        <f t="shared" si="24"/>
        <v>4003701.5775767486</v>
      </c>
      <c r="AX235" s="7">
        <f t="shared" si="24"/>
        <v>4118986.490689218</v>
      </c>
      <c r="AY235" s="7">
        <f t="shared" si="24"/>
        <v>4236404.9397381032</v>
      </c>
      <c r="AZ235" s="7">
        <f t="shared" si="24"/>
        <v>4355962.9372466141</v>
      </c>
      <c r="BA235" s="7">
        <f t="shared" si="24"/>
        <v>4477665.7280025864</v>
      </c>
      <c r="BB235" s="7">
        <f t="shared" si="24"/>
        <v>4601517.7852378571</v>
      </c>
      <c r="BC235" s="7">
        <f t="shared" si="24"/>
        <v>4727522.807483458</v>
      </c>
      <c r="BD235" s="7">
        <f t="shared" si="24"/>
        <v>4855683.7160971835</v>
      </c>
      <c r="BE235" s="7">
        <f t="shared" si="24"/>
        <v>4986002.6534591969</v>
      </c>
      <c r="BF235" s="7">
        <f t="shared" si="24"/>
        <v>5118480.9818304665</v>
      </c>
      <c r="BG235" s="7">
        <f t="shared" si="24"/>
        <v>5253119.2828679858</v>
      </c>
      <c r="BH235" s="7">
        <f t="shared" si="24"/>
        <v>5389917.357789902</v>
      </c>
      <c r="BI235" s="7">
        <f t="shared" si="24"/>
        <v>5528874.2281829184</v>
      </c>
      <c r="BJ235" s="7">
        <f t="shared" si="24"/>
        <v>5669988.1374435471</v>
      </c>
      <c r="BK235" s="7">
        <f t="shared" si="24"/>
        <v>5813256.5528440941</v>
      </c>
      <c r="BL235" s="7">
        <f t="shared" si="24"/>
        <v>5958676.1682135453</v>
      </c>
      <c r="BM235" s="7">
        <f t="shared" si="24"/>
        <v>6106242.9072228717</v>
      </c>
      <c r="BN235" s="7">
        <f t="shared" si="24"/>
        <v>6255951.9272636399</v>
      </c>
      <c r="BO235" s="7">
        <f t="shared" si="24"/>
        <v>6407797.623908218</v>
      </c>
      <c r="BP235" s="7">
        <f t="shared" si="23"/>
        <v>6561773.6359393001</v>
      </c>
      <c r="BQ235" s="7">
        <f t="shared" si="23"/>
        <v>6717872.8509359546</v>
      </c>
      <c r="BR235" s="7">
        <f t="shared" si="23"/>
        <v>6876087.4114028886</v>
      </c>
      <c r="BS235" s="7">
        <f t="shared" si="23"/>
        <v>7036408.721429172</v>
      </c>
      <c r="BT235" s="7">
        <f t="shared" si="23"/>
        <v>7198827.4538622191</v>
      </c>
      <c r="BU235" s="7">
        <f t="shared" si="23"/>
        <v>7363333.5579824476</v>
      </c>
      <c r="BV235" s="7"/>
      <c r="BW235" s="7"/>
      <c r="BX235" s="7"/>
      <c r="BY235" s="7"/>
      <c r="BZ235" s="7"/>
      <c r="CA235" s="7"/>
      <c r="CB235" s="7"/>
      <c r="CC235" s="7"/>
      <c r="CD235" s="7"/>
      <c r="CE235" s="7"/>
      <c r="CF235" s="7"/>
      <c r="CG235" s="7"/>
      <c r="CH235" s="7"/>
      <c r="CI235" s="7"/>
      <c r="CJ235" s="7"/>
      <c r="CK235" s="7"/>
      <c r="CL235" s="7"/>
      <c r="CM235" s="7"/>
      <c r="CN235" s="7"/>
      <c r="CO235" s="7"/>
      <c r="CP235" s="7"/>
      <c r="CQ235" s="7"/>
      <c r="CR235" s="7"/>
      <c r="CS235" s="7"/>
      <c r="CT235" s="7"/>
      <c r="CU235" s="7"/>
      <c r="CV235" s="7"/>
      <c r="CW235" s="7"/>
      <c r="CX235" s="7"/>
      <c r="CY235" s="7"/>
      <c r="CZ235" s="7"/>
      <c r="DA235" s="7"/>
      <c r="DB235" s="7"/>
      <c r="DC235" s="7"/>
      <c r="DD235" s="7"/>
      <c r="DE235" s="7"/>
      <c r="DF235" s="7"/>
      <c r="DG235" s="7"/>
      <c r="DH235" s="7"/>
      <c r="DI235" s="7"/>
      <c r="DJ235" s="7"/>
      <c r="DK235" s="7"/>
      <c r="DL235" s="7"/>
      <c r="DM235" s="7"/>
      <c r="DN235" s="7"/>
      <c r="DO235" s="7"/>
      <c r="DP235" s="7"/>
      <c r="DQ235" s="7"/>
      <c r="DR235" s="7"/>
      <c r="DS235" s="7"/>
      <c r="DT235" s="7"/>
      <c r="DU235" s="7"/>
    </row>
    <row r="236" spans="1:125" x14ac:dyDescent="0.25">
      <c r="A236" t="str">
        <f>'storage capacity'!Q39</f>
        <v>Switzerland</v>
      </c>
      <c r="C236" s="7">
        <f t="shared" si="9"/>
        <v>1231651.9333333224</v>
      </c>
      <c r="D236" s="7">
        <f t="shared" si="24"/>
        <v>1231651.9333333224</v>
      </c>
      <c r="E236" s="7">
        <f t="shared" si="24"/>
        <v>1231651.9333333224</v>
      </c>
      <c r="F236" s="7">
        <f t="shared" si="24"/>
        <v>1231651.9333333224</v>
      </c>
      <c r="G236" s="7">
        <f t="shared" si="24"/>
        <v>1231651.9333333224</v>
      </c>
      <c r="H236" s="7">
        <f t="shared" si="24"/>
        <v>1231651.9333333224</v>
      </c>
      <c r="I236" s="7">
        <f t="shared" si="24"/>
        <v>1231651.9333333224</v>
      </c>
      <c r="J236" s="7">
        <f t="shared" si="24"/>
        <v>1231651.9333333224</v>
      </c>
      <c r="K236" s="7">
        <f t="shared" si="24"/>
        <v>1231651.9333333224</v>
      </c>
      <c r="L236" s="7">
        <f t="shared" si="24"/>
        <v>1231651.9333333224</v>
      </c>
      <c r="M236" s="7">
        <f t="shared" si="24"/>
        <v>1231651.9333333224</v>
      </c>
      <c r="N236" s="7">
        <f t="shared" si="24"/>
        <v>1231651.9333333224</v>
      </c>
      <c r="O236" s="7">
        <f t="shared" si="24"/>
        <v>1231651.9333333224</v>
      </c>
      <c r="P236" s="7">
        <f t="shared" si="24"/>
        <v>1231651.9333333224</v>
      </c>
      <c r="Q236" s="7">
        <f t="shared" si="24"/>
        <v>1231651.9333333224</v>
      </c>
      <c r="R236" s="7">
        <f t="shared" si="24"/>
        <v>1231651.9333333224</v>
      </c>
      <c r="S236" s="7">
        <f t="shared" si="24"/>
        <v>1231651.9333333224</v>
      </c>
      <c r="T236" s="7">
        <f t="shared" si="24"/>
        <v>1231651.9333333224</v>
      </c>
      <c r="U236" s="7">
        <f t="shared" si="24"/>
        <v>1231651.9333333224</v>
      </c>
      <c r="V236" s="7">
        <f t="shared" si="24"/>
        <v>1231651.9333333224</v>
      </c>
      <c r="W236" s="7">
        <f t="shared" si="24"/>
        <v>1231651.9333333224</v>
      </c>
      <c r="X236" s="7">
        <f t="shared" si="24"/>
        <v>1231651.9333333224</v>
      </c>
      <c r="Y236" s="7">
        <f t="shared" si="24"/>
        <v>1231651.9333333224</v>
      </c>
      <c r="Z236" s="7">
        <f t="shared" si="24"/>
        <v>1231651.9333333224</v>
      </c>
      <c r="AA236" s="7">
        <f t="shared" si="24"/>
        <v>1231651.9333333224</v>
      </c>
      <c r="AB236" s="7">
        <f t="shared" si="24"/>
        <v>1231651.9333333224</v>
      </c>
      <c r="AC236" s="7">
        <f t="shared" si="24"/>
        <v>1231651.9333333224</v>
      </c>
      <c r="AD236" s="7">
        <f t="shared" si="24"/>
        <v>1231651.9333333224</v>
      </c>
      <c r="AE236" s="7">
        <f t="shared" si="24"/>
        <v>1231651.9333333224</v>
      </c>
      <c r="AF236" s="7">
        <f t="shared" si="24"/>
        <v>1231651.9333333224</v>
      </c>
      <c r="AG236" s="7">
        <f t="shared" si="24"/>
        <v>1231651.9333333224</v>
      </c>
      <c r="AH236" s="7">
        <f t="shared" si="24"/>
        <v>1231651.9333333224</v>
      </c>
      <c r="AI236" s="7">
        <f t="shared" si="24"/>
        <v>1231651.9333333224</v>
      </c>
      <c r="AJ236" s="7">
        <f t="shared" si="24"/>
        <v>1231651.9333333224</v>
      </c>
      <c r="AK236" s="7">
        <f t="shared" si="24"/>
        <v>1231651.9333333224</v>
      </c>
      <c r="AL236" s="7">
        <f t="shared" si="24"/>
        <v>1231651.9333333224</v>
      </c>
      <c r="AM236" s="7">
        <f t="shared" si="24"/>
        <v>1231651.9333333224</v>
      </c>
      <c r="AN236" s="7">
        <f t="shared" si="24"/>
        <v>1231651.9333333224</v>
      </c>
      <c r="AO236" s="7">
        <f t="shared" si="24"/>
        <v>1231651.9333333224</v>
      </c>
      <c r="AP236" s="7">
        <f t="shared" si="24"/>
        <v>1231651.9333333224</v>
      </c>
      <c r="AQ236" s="7">
        <f t="shared" si="24"/>
        <v>1231651.9333333224</v>
      </c>
      <c r="AR236" s="7">
        <f t="shared" si="24"/>
        <v>1231651.9333333224</v>
      </c>
      <c r="AS236" s="7">
        <f t="shared" si="24"/>
        <v>1231651.9333333224</v>
      </c>
      <c r="AT236" s="7">
        <f t="shared" si="24"/>
        <v>1231651.9333333224</v>
      </c>
      <c r="AU236" s="7">
        <f t="shared" si="24"/>
        <v>1231651.9333333224</v>
      </c>
      <c r="AV236" s="7">
        <f t="shared" si="24"/>
        <v>1231651.9333333224</v>
      </c>
      <c r="AW236" s="7">
        <f t="shared" si="24"/>
        <v>1231651.9333333224</v>
      </c>
      <c r="AX236" s="7">
        <f t="shared" si="24"/>
        <v>1231651.9333333224</v>
      </c>
      <c r="AY236" s="7">
        <f t="shared" si="24"/>
        <v>1231651.9333333224</v>
      </c>
      <c r="AZ236" s="7">
        <f t="shared" si="24"/>
        <v>1231651.9333333224</v>
      </c>
      <c r="BA236" s="7">
        <f t="shared" si="24"/>
        <v>1231651.9333333224</v>
      </c>
      <c r="BB236" s="7">
        <f t="shared" si="24"/>
        <v>1231651.9333333224</v>
      </c>
      <c r="BC236" s="7">
        <f t="shared" si="24"/>
        <v>1231651.9333333224</v>
      </c>
      <c r="BD236" s="7">
        <f t="shared" si="24"/>
        <v>1231651.9333333224</v>
      </c>
      <c r="BE236" s="7">
        <f t="shared" si="24"/>
        <v>1231651.9333333224</v>
      </c>
      <c r="BF236" s="7">
        <f t="shared" si="24"/>
        <v>1231651.9333333224</v>
      </c>
      <c r="BG236" s="7">
        <f t="shared" si="24"/>
        <v>1231651.9333333224</v>
      </c>
      <c r="BH236" s="7">
        <f t="shared" si="24"/>
        <v>1231651.9333333224</v>
      </c>
      <c r="BI236" s="7">
        <f t="shared" si="24"/>
        <v>1231651.9333333224</v>
      </c>
      <c r="BJ236" s="7">
        <f t="shared" si="24"/>
        <v>1231651.9333333224</v>
      </c>
      <c r="BK236" s="7">
        <f t="shared" si="24"/>
        <v>1231651.9333333224</v>
      </c>
      <c r="BL236" s="7">
        <f t="shared" si="24"/>
        <v>1231651.9333333224</v>
      </c>
      <c r="BM236" s="7">
        <f t="shared" si="24"/>
        <v>1231651.9333333224</v>
      </c>
      <c r="BN236" s="7">
        <f t="shared" si="24"/>
        <v>1231651.9333333224</v>
      </c>
      <c r="BO236" s="7">
        <f t="shared" si="24"/>
        <v>1231651.9333333224</v>
      </c>
      <c r="BP236" s="7">
        <f t="shared" si="23"/>
        <v>1231651.9333333224</v>
      </c>
      <c r="BQ236" s="7">
        <f t="shared" si="23"/>
        <v>1231651.9333333224</v>
      </c>
      <c r="BR236" s="7">
        <f t="shared" si="23"/>
        <v>1231651.9333333224</v>
      </c>
      <c r="BS236" s="7">
        <f t="shared" si="23"/>
        <v>1231651.9333333224</v>
      </c>
      <c r="BT236" s="7">
        <f t="shared" si="23"/>
        <v>1231651.9333333224</v>
      </c>
      <c r="BU236" s="7">
        <f t="shared" si="23"/>
        <v>1231651.9333333224</v>
      </c>
      <c r="BV236" s="7"/>
      <c r="BW236" s="7"/>
      <c r="BX236" s="7"/>
      <c r="BY236" s="7"/>
      <c r="BZ236" s="7"/>
      <c r="CA236" s="7"/>
      <c r="CB236" s="7"/>
      <c r="CC236" s="7"/>
      <c r="CD236" s="7"/>
      <c r="CE236" s="7"/>
      <c r="CF236" s="7"/>
      <c r="CG236" s="7"/>
      <c r="CH236" s="7"/>
      <c r="CI236" s="7"/>
      <c r="CJ236" s="7"/>
      <c r="CK236" s="7"/>
      <c r="CL236" s="7"/>
      <c r="CM236" s="7"/>
      <c r="CN236" s="7"/>
      <c r="CO236" s="7"/>
      <c r="CP236" s="7"/>
      <c r="CQ236" s="7"/>
      <c r="CR236" s="7"/>
      <c r="CS236" s="7"/>
      <c r="CT236" s="7"/>
      <c r="CU236" s="7"/>
      <c r="CV236" s="7"/>
      <c r="CW236" s="7"/>
      <c r="CX236" s="7"/>
      <c r="CY236" s="7"/>
      <c r="CZ236" s="7"/>
      <c r="DA236" s="7"/>
      <c r="DB236" s="7"/>
      <c r="DC236" s="7"/>
      <c r="DD236" s="7"/>
      <c r="DE236" s="7"/>
      <c r="DF236" s="7"/>
      <c r="DG236" s="7"/>
      <c r="DH236" s="7"/>
      <c r="DI236" s="7"/>
      <c r="DJ236" s="7"/>
      <c r="DK236" s="7"/>
      <c r="DL236" s="7"/>
      <c r="DM236" s="7"/>
      <c r="DN236" s="7"/>
      <c r="DO236" s="7"/>
      <c r="DP236" s="7"/>
      <c r="DQ236" s="7"/>
      <c r="DR236" s="7"/>
      <c r="DS236" s="7"/>
      <c r="DT236" s="7"/>
      <c r="DU236" s="7"/>
    </row>
    <row r="237" spans="1:125" x14ac:dyDescent="0.25">
      <c r="A237" t="str">
        <f>'storage capacity'!Q40</f>
        <v>United Kingdom</v>
      </c>
      <c r="C237" s="7">
        <f t="shared" si="9"/>
        <v>4562190.3333333731</v>
      </c>
      <c r="D237" s="7">
        <f t="shared" si="24"/>
        <v>4749087.2870188169</v>
      </c>
      <c r="E237" s="7">
        <f t="shared" si="24"/>
        <v>4941695.2194065815</v>
      </c>
      <c r="F237" s="7">
        <f t="shared" si="24"/>
        <v>5140110.5242355876</v>
      </c>
      <c r="G237" s="7">
        <f t="shared" si="24"/>
        <v>5344428.6348690921</v>
      </c>
      <c r="H237" s="7">
        <f t="shared" si="24"/>
        <v>5554743.9423676413</v>
      </c>
      <c r="I237" s="7">
        <f t="shared" si="24"/>
        <v>5771149.7141587976</v>
      </c>
      <c r="J237" s="7">
        <f t="shared" si="24"/>
        <v>5993738.0134148914</v>
      </c>
      <c r="K237" s="7">
        <f t="shared" si="24"/>
        <v>6222599.6192481769</v>
      </c>
      <c r="L237" s="7">
        <f t="shared" si="24"/>
        <v>6457823.9478307795</v>
      </c>
      <c r="M237" s="7">
        <f t="shared" si="24"/>
        <v>6699498.9745445363</v>
      </c>
      <c r="N237" s="7">
        <f t="shared" si="24"/>
        <v>6947711.1572634298</v>
      </c>
      <c r="O237" s="7">
        <f t="shared" si="24"/>
        <v>7202545.3608686915</v>
      </c>
      <c r="P237" s="7">
        <f t="shared" si="24"/>
        <v>7464084.783093865</v>
      </c>
      <c r="Q237" s="7">
        <f t="shared" si="24"/>
        <v>7732410.8817941835</v>
      </c>
      <c r="R237" s="7">
        <f t="shared" si="24"/>
        <v>8007603.3037315086</v>
      </c>
      <c r="S237" s="7">
        <f t="shared" si="24"/>
        <v>8289739.8149628295</v>
      </c>
      <c r="T237" s="7">
        <f t="shared" si="24"/>
        <v>8578896.2329169884</v>
      </c>
      <c r="U237" s="7">
        <f t="shared" si="24"/>
        <v>8875146.3602407519</v>
      </c>
      <c r="V237" s="7">
        <f t="shared" si="24"/>
        <v>9178561.9204917848</v>
      </c>
      <c r="W237" s="7">
        <f t="shared" si="24"/>
        <v>9489212.4957523793</v>
      </c>
      <c r="X237" s="7">
        <f t="shared" si="24"/>
        <v>9807165.4662339874</v>
      </c>
      <c r="Y237" s="7">
        <f t="shared" si="24"/>
        <v>10132485.951938743</v>
      </c>
      <c r="Z237" s="7">
        <f t="shared" si="24"/>
        <v>10465236.756440224</v>
      </c>
      <c r="AA237" s="7">
        <f t="shared" si="24"/>
        <v>10805478.312841719</v>
      </c>
      <c r="AB237" s="7">
        <f t="shared" si="24"/>
        <v>11153268.631966203</v>
      </c>
      <c r="AC237" s="7">
        <f t="shared" si="24"/>
        <v>11508663.252828181</v>
      </c>
      <c r="AD237" s="7">
        <f t="shared" si="24"/>
        <v>11871715.195433417</v>
      </c>
      <c r="AE237" s="7">
        <f t="shared" si="24"/>
        <v>12242474.915948486</v>
      </c>
      <c r="AF237" s="7">
        <f t="shared" si="24"/>
        <v>12620990.264277918</v>
      </c>
      <c r="AG237" s="7">
        <f t="shared" si="24"/>
        <v>13007306.444082618</v>
      </c>
      <c r="AH237" s="7">
        <f t="shared" si="24"/>
        <v>13401465.975269089</v>
      </c>
      <c r="AI237" s="7">
        <f t="shared" si="24"/>
        <v>13803508.658974931</v>
      </c>
      <c r="AJ237" s="7">
        <f t="shared" si="24"/>
        <v>14213471.545072</v>
      </c>
      <c r="AK237" s="7">
        <f t="shared" si="24"/>
        <v>14631388.902204584</v>
      </c>
      <c r="AL237" s="7">
        <f t="shared" si="24"/>
        <v>15057292.19037596</v>
      </c>
      <c r="AM237" s="7">
        <f t="shared" si="24"/>
        <v>15491210.036092803</v>
      </c>
      <c r="AN237" s="7">
        <f t="shared" si="24"/>
        <v>15933168.210072972</v>
      </c>
      <c r="AO237" s="7">
        <f t="shared" si="24"/>
        <v>16383189.607518477</v>
      </c>
      <c r="AP237" s="7">
        <f t="shared" si="24"/>
        <v>16841294.230951611</v>
      </c>
      <c r="AQ237" s="7">
        <f t="shared" si="24"/>
        <v>17307499.175608639</v>
      </c>
      <c r="AR237" s="7">
        <f t="shared" si="24"/>
        <v>17781818.617381826</v>
      </c>
      <c r="AS237" s="7">
        <f t="shared" si="24"/>
        <v>18264263.803297136</v>
      </c>
      <c r="AT237" s="7">
        <f t="shared" si="24"/>
        <v>18754843.044511467</v>
      </c>
      <c r="AU237" s="7">
        <f t="shared" si="24"/>
        <v>19253561.711810131</v>
      </c>
      <c r="AV237" s="7">
        <f t="shared" si="24"/>
        <v>19760422.23358196</v>
      </c>
      <c r="AW237" s="7">
        <f t="shared" si="24"/>
        <v>20275424.096246433</v>
      </c>
      <c r="AX237" s="7">
        <f t="shared" si="24"/>
        <v>20798563.847104196</v>
      </c>
      <c r="AY237" s="7">
        <f t="shared" si="24"/>
        <v>21329835.099579539</v>
      </c>
      <c r="AZ237" s="7">
        <f t="shared" si="24"/>
        <v>21869228.54082061</v>
      </c>
      <c r="BA237" s="7">
        <f t="shared" si="24"/>
        <v>22416731.941620544</v>
      </c>
      <c r="BB237" s="7">
        <f t="shared" si="24"/>
        <v>22972330.168620151</v>
      </c>
      <c r="BC237" s="7">
        <f t="shared" si="24"/>
        <v>23536005.198750526</v>
      </c>
      <c r="BD237" s="7">
        <f t="shared" si="24"/>
        <v>24107736.135871556</v>
      </c>
      <c r="BE237" s="7">
        <f t="shared" si="24"/>
        <v>24687499.229560219</v>
      </c>
      <c r="BF237" s="7">
        <f t="shared" si="24"/>
        <v>25275267.896000635</v>
      </c>
      <c r="BG237" s="7">
        <f t="shared" si="24"/>
        <v>25871012.740925819</v>
      </c>
      <c r="BH237" s="7">
        <f t="shared" si="24"/>
        <v>26474701.584559429</v>
      </c>
      <c r="BI237" s="7">
        <f t="shared" si="24"/>
        <v>27086299.488504108</v>
      </c>
      <c r="BJ237" s="7">
        <f t="shared" si="24"/>
        <v>27705768.784521557</v>
      </c>
      <c r="BK237" s="7">
        <f t="shared" si="24"/>
        <v>28333069.105148062</v>
      </c>
      <c r="BL237" s="7">
        <f t="shared" si="24"/>
        <v>28968157.416087925</v>
      </c>
      <c r="BM237" s="7">
        <f t="shared" si="24"/>
        <v>29610988.050326206</v>
      </c>
      <c r="BN237" s="7">
        <f t="shared" si="24"/>
        <v>30261512.743900936</v>
      </c>
      <c r="BO237" s="7">
        <f t="shared" ref="BO237:BS238" si="25">VLOOKUP($A237,$A$2:$BU$196,BO$198,FALSE)</f>
        <v>30919680.673274398</v>
      </c>
      <c r="BP237" s="7">
        <f t="shared" si="25"/>
        <v>31585438.494241957</v>
      </c>
      <c r="BQ237" s="7">
        <f t="shared" si="25"/>
        <v>32258730.38231644</v>
      </c>
      <c r="BR237" s="7">
        <f t="shared" si="25"/>
        <v>32939498.074525476</v>
      </c>
      <c r="BS237" s="7">
        <f t="shared" si="25"/>
        <v>33627680.91255872</v>
      </c>
      <c r="BT237" s="7">
        <f t="shared" si="23"/>
        <v>34323215.887201533</v>
      </c>
      <c r="BU237" s="7">
        <f t="shared" si="23"/>
        <v>35026037.683991581</v>
      </c>
      <c r="BV237" s="7"/>
      <c r="BW237" s="7"/>
      <c r="BX237" s="7"/>
      <c r="BY237" s="7"/>
      <c r="BZ237" s="7"/>
      <c r="CA237" s="7"/>
      <c r="CB237" s="7"/>
      <c r="CC237" s="7"/>
      <c r="CD237" s="7"/>
      <c r="CE237" s="7"/>
      <c r="CF237" s="7"/>
      <c r="CG237" s="7"/>
      <c r="CH237" s="7"/>
      <c r="CI237" s="7"/>
      <c r="CJ237" s="7"/>
      <c r="CK237" s="7"/>
      <c r="CL237" s="7"/>
      <c r="CM237" s="7"/>
      <c r="CN237" s="7"/>
      <c r="CO237" s="7"/>
      <c r="CP237" s="7"/>
      <c r="CQ237" s="7"/>
      <c r="CR237" s="7"/>
      <c r="CS237" s="7"/>
      <c r="CT237" s="7"/>
      <c r="CU237" s="7"/>
      <c r="CV237" s="7"/>
      <c r="CW237" s="7"/>
      <c r="CX237" s="7"/>
      <c r="CY237" s="7"/>
      <c r="CZ237" s="7"/>
      <c r="DA237" s="7"/>
      <c r="DB237" s="7"/>
      <c r="DC237" s="7"/>
      <c r="DD237" s="7"/>
      <c r="DE237" s="7"/>
      <c r="DF237" s="7"/>
      <c r="DG237" s="7"/>
      <c r="DH237" s="7"/>
      <c r="DI237" s="7"/>
      <c r="DJ237" s="7"/>
      <c r="DK237" s="7"/>
      <c r="DL237" s="7"/>
      <c r="DM237" s="7"/>
      <c r="DN237" s="7"/>
      <c r="DO237" s="7"/>
      <c r="DP237" s="7"/>
      <c r="DQ237" s="7"/>
      <c r="DR237" s="7"/>
      <c r="DS237" s="7"/>
      <c r="DT237" s="7"/>
      <c r="DU237" s="7"/>
    </row>
    <row r="238" spans="1:125" x14ac:dyDescent="0.25">
      <c r="A238" t="str">
        <f>'storage capacity'!Q41</f>
        <v>United States</v>
      </c>
      <c r="C238" s="7">
        <f t="shared" si="9"/>
        <v>37424427.266666889</v>
      </c>
      <c r="D238" s="7">
        <f t="shared" ref="D238:BO238" si="26">VLOOKUP($A238,$A$2:$BU$196,D$198,FALSE)</f>
        <v>38909828.473939918</v>
      </c>
      <c r="E238" s="7">
        <f t="shared" si="26"/>
        <v>40438742.696737938</v>
      </c>
      <c r="F238" s="7">
        <f t="shared" si="26"/>
        <v>42011843.827561386</v>
      </c>
      <c r="G238" s="7">
        <f t="shared" si="26"/>
        <v>43629796.955665477</v>
      </c>
      <c r="H238" s="7">
        <f t="shared" si="26"/>
        <v>45293257.790309645</v>
      </c>
      <c r="I238" s="7">
        <f t="shared" si="26"/>
        <v>47002872.090814888</v>
      </c>
      <c r="J238" s="7">
        <f t="shared" si="26"/>
        <v>48759275.104187511</v>
      </c>
      <c r="K238" s="7">
        <f t="shared" si="26"/>
        <v>50563091.011049926</v>
      </c>
      <c r="L238" s="7">
        <f t="shared" si="26"/>
        <v>52414932.380599953</v>
      </c>
      <c r="M238" s="7">
        <f t="shared" si="26"/>
        <v>54315399.635299958</v>
      </c>
      <c r="N238" s="7">
        <f t="shared" si="26"/>
        <v>56265080.525975458</v>
      </c>
      <c r="O238" s="7">
        <f t="shared" si="26"/>
        <v>58264549.617980316</v>
      </c>
      <c r="P238" s="7">
        <f t="shared" si="26"/>
        <v>60314367.789062157</v>
      </c>
      <c r="Q238" s="7">
        <f t="shared" si="26"/>
        <v>62415081.739536911</v>
      </c>
      <c r="R238" s="7">
        <f t="shared" si="26"/>
        <v>64567223.515356109</v>
      </c>
      <c r="S238" s="7">
        <f t="shared" si="26"/>
        <v>66771310.044624411</v>
      </c>
      <c r="T238" s="7">
        <f t="shared" si="26"/>
        <v>69027842.68809782</v>
      </c>
      <c r="U238" s="7">
        <f t="shared" si="26"/>
        <v>71337306.804165602</v>
      </c>
      <c r="V238" s="7">
        <f t="shared" si="26"/>
        <v>73700171.328790978</v>
      </c>
      <c r="W238" s="7">
        <f t="shared" si="26"/>
        <v>76116888.370856673</v>
      </c>
      <c r="X238" s="7">
        <f t="shared" si="26"/>
        <v>78587892.82333304</v>
      </c>
      <c r="Y238" s="7">
        <f t="shared" si="26"/>
        <v>81113601.990656629</v>
      </c>
      <c r="Z238" s="7">
        <f t="shared" si="26"/>
        <v>83694415.232678011</v>
      </c>
      <c r="AA238" s="7">
        <f t="shared" si="26"/>
        <v>86330713.625507429</v>
      </c>
      <c r="AB238" s="7">
        <f t="shared" si="26"/>
        <v>89022859.6395576</v>
      </c>
      <c r="AC238" s="7">
        <f t="shared" si="26"/>
        <v>91771196.835052535</v>
      </c>
      <c r="AD238" s="7">
        <f t="shared" si="26"/>
        <v>94576049.575241745</v>
      </c>
      <c r="AE238" s="7">
        <f t="shared" si="26"/>
        <v>97437722.757529438</v>
      </c>
      <c r="AF238" s="7">
        <f t="shared" si="26"/>
        <v>100356501.56269835</v>
      </c>
      <c r="AG238" s="7">
        <f t="shared" si="26"/>
        <v>103332651.22237906</v>
      </c>
      <c r="AH238" s="7">
        <f t="shared" si="26"/>
        <v>106366416.80488576</v>
      </c>
      <c r="AI238" s="7">
        <f t="shared" si="26"/>
        <v>109458023.01951142</v>
      </c>
      <c r="AJ238" s="7">
        <f t="shared" si="26"/>
        <v>112607674.03934622</v>
      </c>
      <c r="AK238" s="7">
        <f t="shared" si="26"/>
        <v>115815553.34265567</v>
      </c>
      <c r="AL238" s="7">
        <f t="shared" si="26"/>
        <v>119081823.57282692</v>
      </c>
      <c r="AM238" s="7">
        <f t="shared" si="26"/>
        <v>122406626.41686516</v>
      </c>
      <c r="AN238" s="7">
        <f t="shared" si="26"/>
        <v>125790082.50239541</v>
      </c>
      <c r="AO238" s="7">
        <f t="shared" si="26"/>
        <v>129232291.31309921</v>
      </c>
      <c r="AP238" s="7">
        <f t="shared" si="26"/>
        <v>132733331.12249076</v>
      </c>
      <c r="AQ238" s="7">
        <f t="shared" si="26"/>
        <v>136293258.94591266</v>
      </c>
      <c r="AR238" s="7">
        <f t="shared" si="26"/>
        <v>139912110.51060709</v>
      </c>
      <c r="AS238" s="7">
        <f t="shared" si="26"/>
        <v>143589900.24369672</v>
      </c>
      <c r="AT238" s="7">
        <f t="shared" si="26"/>
        <v>147326621.27788538</v>
      </c>
      <c r="AU238" s="7">
        <f t="shared" si="26"/>
        <v>151122245.47466937</v>
      </c>
      <c r="AV238" s="7">
        <f t="shared" si="26"/>
        <v>154976723.46482787</v>
      </c>
      <c r="AW238" s="7">
        <f t="shared" si="26"/>
        <v>158889984.70594248</v>
      </c>
      <c r="AX238" s="7">
        <f t="shared" si="26"/>
        <v>162861937.55667657</v>
      </c>
      <c r="AY238" s="7">
        <f t="shared" si="26"/>
        <v>166892469.36752659</v>
      </c>
      <c r="AZ238" s="7">
        <f t="shared" si="26"/>
        <v>170981446.58774179</v>
      </c>
      <c r="BA238" s="7">
        <f t="shared" si="26"/>
        <v>175128714.88809103</v>
      </c>
      <c r="BB238" s="7">
        <f t="shared" si="26"/>
        <v>179334099.29914129</v>
      </c>
      <c r="BC238" s="7">
        <f t="shared" si="26"/>
        <v>183597404.36469737</v>
      </c>
      <c r="BD238" s="7">
        <f t="shared" si="26"/>
        <v>187918414.31003889</v>
      </c>
      <c r="BE238" s="7">
        <f t="shared" si="26"/>
        <v>192296893.22457847</v>
      </c>
      <c r="BF238" s="7">
        <f t="shared" si="26"/>
        <v>196732585.25855282</v>
      </c>
      <c r="BG238" s="7">
        <f t="shared" si="26"/>
        <v>201225214.83334813</v>
      </c>
      <c r="BH238" s="7">
        <f t="shared" si="26"/>
        <v>205774486.86505079</v>
      </c>
      <c r="BI238" s="7">
        <f t="shared" si="26"/>
        <v>210380087.00080588</v>
      </c>
      <c r="BJ238" s="7">
        <f t="shared" si="26"/>
        <v>215041681.8675575</v>
      </c>
      <c r="BK238" s="7">
        <f t="shared" si="26"/>
        <v>219758919.33273792</v>
      </c>
      <c r="BL238" s="7">
        <f t="shared" si="26"/>
        <v>224531428.77646613</v>
      </c>
      <c r="BM238" s="7">
        <f t="shared" si="26"/>
        <v>229358821.37481034</v>
      </c>
      <c r="BN238" s="7">
        <f t="shared" si="26"/>
        <v>234240690.39366502</v>
      </c>
      <c r="BO238" s="7">
        <f t="shared" si="26"/>
        <v>239176611.49278882</v>
      </c>
      <c r="BP238" s="7">
        <f t="shared" si="25"/>
        <v>244166143.03954592</v>
      </c>
      <c r="BQ238" s="7">
        <f t="shared" si="25"/>
        <v>249208826.43189225</v>
      </c>
      <c r="BR238" s="7">
        <f t="shared" si="25"/>
        <v>254304186.43014544</v>
      </c>
      <c r="BS238" s="7">
        <f t="shared" si="25"/>
        <v>259451731.49707684</v>
      </c>
      <c r="BT238" s="7">
        <f t="shared" si="23"/>
        <v>264650954.14586335</v>
      </c>
      <c r="BU238" s="7">
        <f t="shared" si="23"/>
        <v>269901331.29543847</v>
      </c>
      <c r="BV238" s="7"/>
      <c r="BW238" s="7"/>
      <c r="BX238" s="7"/>
      <c r="BY238" s="7"/>
      <c r="BZ238" s="7"/>
      <c r="CA238" s="7"/>
      <c r="CB238" s="7"/>
      <c r="CC238" s="7"/>
      <c r="CD238" s="7"/>
      <c r="CE238" s="7"/>
      <c r="CF238" s="7"/>
      <c r="CG238" s="7"/>
      <c r="CH238" s="7"/>
      <c r="CI238" s="7"/>
      <c r="CJ238" s="7"/>
      <c r="CK238" s="7"/>
      <c r="CL238" s="7"/>
      <c r="CM238" s="7"/>
      <c r="CN238" s="7"/>
      <c r="CO238" s="7"/>
      <c r="CP238" s="7"/>
      <c r="CQ238" s="7"/>
      <c r="CR238" s="7"/>
      <c r="CS238" s="7"/>
      <c r="CT238" s="7"/>
      <c r="CU238" s="7"/>
      <c r="CV238" s="7"/>
      <c r="CW238" s="7"/>
      <c r="CX238" s="7"/>
      <c r="CY238" s="7"/>
      <c r="CZ238" s="7"/>
      <c r="DA238" s="7"/>
      <c r="DB238" s="7"/>
      <c r="DC238" s="7"/>
      <c r="DD238" s="7"/>
      <c r="DE238" s="7"/>
      <c r="DF238" s="7"/>
      <c r="DG238" s="7"/>
      <c r="DH238" s="7"/>
      <c r="DI238" s="7"/>
      <c r="DJ238" s="7"/>
      <c r="DK238" s="7"/>
      <c r="DL238" s="7"/>
      <c r="DM238" s="7"/>
      <c r="DN238" s="7"/>
      <c r="DO238" s="7"/>
      <c r="DP238" s="7"/>
      <c r="DQ238" s="7"/>
      <c r="DR238" s="7"/>
      <c r="DS238" s="7"/>
      <c r="DT238" s="7"/>
      <c r="DU238" s="7"/>
    </row>
    <row r="239" spans="1:125" x14ac:dyDescent="0.25">
      <c r="C239" s="7"/>
    </row>
    <row r="240" spans="1:125" x14ac:dyDescent="0.25">
      <c r="C240" s="7"/>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F444E5-ABDA-42E8-B8E7-4F76CE4092B2}">
  <dimension ref="A1:E195"/>
  <sheetViews>
    <sheetView workbookViewId="0">
      <selection activeCell="C4" sqref="C4"/>
    </sheetView>
  </sheetViews>
  <sheetFormatPr defaultRowHeight="15" x14ac:dyDescent="0.25"/>
  <cols>
    <col min="1" max="1" width="43.140625" style="6" customWidth="1"/>
    <col min="2" max="2" width="18.28515625" bestFit="1" customWidth="1"/>
    <col min="3" max="3" width="31.5703125" bestFit="1" customWidth="1"/>
  </cols>
  <sheetData>
    <row r="1" spans="1:5" x14ac:dyDescent="0.25">
      <c r="A1" s="5" t="s">
        <v>200</v>
      </c>
      <c r="B1" s="1" t="s">
        <v>202</v>
      </c>
      <c r="D1" t="s">
        <v>216</v>
      </c>
      <c r="E1" t="s">
        <v>217</v>
      </c>
    </row>
    <row r="2" spans="1:5" ht="13.5" customHeight="1" x14ac:dyDescent="0.25">
      <c r="A2" t="str">
        <f>'storage capacity'!A2</f>
        <v>Afghanistan</v>
      </c>
      <c r="B2" t="str">
        <f>'storage capacity'!C2</f>
        <v>Middle east</v>
      </c>
      <c r="C2" t="e" vm="47">
        <v>#VALUE!</v>
      </c>
      <c r="D2" vm="48">
        <v>34.532777777778001</v>
      </c>
      <c r="E2" vm="49">
        <v>69.165833333332998</v>
      </c>
    </row>
    <row r="3" spans="1:5" x14ac:dyDescent="0.25">
      <c r="A3" t="str">
        <f>'storage capacity'!A3</f>
        <v>Albania</v>
      </c>
      <c r="B3" t="str">
        <f>'storage capacity'!C3</f>
        <v>Other eurasia</v>
      </c>
      <c r="C3" t="e" vm="50">
        <v>#VALUE!</v>
      </c>
      <c r="D3" vm="51">
        <v>41.328888888888898</v>
      </c>
      <c r="E3" vm="52">
        <v>19.817777777777799</v>
      </c>
    </row>
    <row r="4" spans="1:5" x14ac:dyDescent="0.25">
      <c r="A4" t="str">
        <f>'storage capacity'!A4</f>
        <v>Algeria</v>
      </c>
      <c r="B4" t="str">
        <f>'storage capacity'!C4</f>
        <v>Middle east</v>
      </c>
      <c r="C4" t="e" vm="53">
        <v>#VALUE!</v>
      </c>
      <c r="D4" vm="54">
        <v>36.776388888889002</v>
      </c>
      <c r="E4" vm="55">
        <v>3.0586111111110998</v>
      </c>
    </row>
    <row r="5" spans="1:5" x14ac:dyDescent="0.25">
      <c r="A5" t="str">
        <f>'storage capacity'!A5</f>
        <v>Andorra</v>
      </c>
      <c r="B5" t="str">
        <f>'storage capacity'!C5</f>
        <v>Other eurasia</v>
      </c>
      <c r="C5" t="e" vm="56">
        <v>#VALUE!</v>
      </c>
      <c r="D5" t="e" vm="57">
        <v>#VALUE!</v>
      </c>
      <c r="E5" t="e" vm="58">
        <v>#VALUE!</v>
      </c>
    </row>
    <row r="6" spans="1:5" x14ac:dyDescent="0.25">
      <c r="A6" t="str">
        <f>'storage capacity'!A6</f>
        <v>Angola</v>
      </c>
      <c r="B6" t="str">
        <f>'storage capacity'!C6</f>
        <v>Sub-saharan africa</v>
      </c>
      <c r="C6" t="e" vm="59">
        <v>#VALUE!</v>
      </c>
      <c r="D6" vm="60">
        <v>-8.8383333333333294</v>
      </c>
      <c r="E6" vm="61">
        <v>13.234444444444399</v>
      </c>
    </row>
    <row r="7" spans="1:5" x14ac:dyDescent="0.25">
      <c r="A7" t="str">
        <f>'storage capacity'!A7</f>
        <v>Antigua &amp; Barbuda</v>
      </c>
      <c r="B7" t="str">
        <f>'storage capacity'!C7</f>
        <v>Other latin america</v>
      </c>
      <c r="C7" t="e" vm="62">
        <v>#VALUE!</v>
      </c>
      <c r="D7" vm="63">
        <v>17.121111111110999</v>
      </c>
      <c r="E7" vm="64">
        <v>-61.844722222222003</v>
      </c>
    </row>
    <row r="8" spans="1:5" x14ac:dyDescent="0.25">
      <c r="A8" t="str">
        <f>'storage capacity'!A8</f>
        <v>Argentina</v>
      </c>
      <c r="B8" t="str">
        <f>'storage capacity'!C8</f>
        <v>Country specific</v>
      </c>
      <c r="C8" t="e" vm="65">
        <v>#VALUE!</v>
      </c>
      <c r="D8">
        <v>-34.608400000000003</v>
      </c>
      <c r="E8">
        <v>-58.444099999999999</v>
      </c>
    </row>
    <row r="9" spans="1:5" x14ac:dyDescent="0.25">
      <c r="A9" t="str">
        <f>'storage capacity'!A9</f>
        <v>Armenia</v>
      </c>
      <c r="B9" t="str">
        <f>'storage capacity'!C9</f>
        <v>Other eurasia</v>
      </c>
      <c r="C9" t="e" vm="66">
        <v>#VALUE!</v>
      </c>
      <c r="D9" t="e" vm="57">
        <v>#VALUE!</v>
      </c>
      <c r="E9" t="e" vm="58">
        <v>#VALUE!</v>
      </c>
    </row>
    <row r="10" spans="1:5" x14ac:dyDescent="0.25">
      <c r="A10" t="str">
        <f>'storage capacity'!A10</f>
        <v>Australia</v>
      </c>
      <c r="B10" t="str">
        <f>'storage capacity'!C10</f>
        <v>Country specific</v>
      </c>
      <c r="C10" t="e" vm="67">
        <v>#VALUE!</v>
      </c>
      <c r="D10" vm="1">
        <v>-35.293055555556002</v>
      </c>
      <c r="E10" vm="2">
        <v>149.12694444444</v>
      </c>
    </row>
    <row r="11" spans="1:5" x14ac:dyDescent="0.25">
      <c r="A11" t="str">
        <f>'storage capacity'!A11</f>
        <v>Austria</v>
      </c>
      <c r="B11" t="str">
        <f>'storage capacity'!C11</f>
        <v>Other eurasia</v>
      </c>
      <c r="C11" t="e" vm="68">
        <v>#VALUE!</v>
      </c>
      <c r="D11">
        <v>48.208399999999997</v>
      </c>
      <c r="E11">
        <v>16.372499999999999</v>
      </c>
    </row>
    <row r="12" spans="1:5" x14ac:dyDescent="0.25">
      <c r="A12" t="str">
        <f>'storage capacity'!A12</f>
        <v>Azerbaijan</v>
      </c>
      <c r="B12" t="str">
        <f>'storage capacity'!C12</f>
        <v>Other eurasia</v>
      </c>
      <c r="C12" t="e" vm="69">
        <v>#VALUE!</v>
      </c>
      <c r="D12" t="e" vm="57">
        <v>#VALUE!</v>
      </c>
      <c r="E12" t="e" vm="58">
        <v>#VALUE!</v>
      </c>
    </row>
    <row r="13" spans="1:5" x14ac:dyDescent="0.25">
      <c r="A13" t="str">
        <f>'storage capacity'!A13</f>
        <v>Bahamas</v>
      </c>
      <c r="B13" t="str">
        <f>'storage capacity'!C13</f>
        <v>Other latin america</v>
      </c>
      <c r="C13" t="e" vm="70">
        <v>#VALUE!</v>
      </c>
      <c r="D13" vm="71">
        <v>25.078055555555601</v>
      </c>
      <c r="E13" vm="72">
        <v>-77.338611111111106</v>
      </c>
    </row>
    <row r="14" spans="1:5" x14ac:dyDescent="0.25">
      <c r="A14" t="str">
        <f>'storage capacity'!A14</f>
        <v>Bahrain</v>
      </c>
      <c r="B14" t="str">
        <f>'storage capacity'!C14</f>
        <v>Middle east</v>
      </c>
      <c r="C14" t="e" vm="73">
        <v>#VALUE!</v>
      </c>
      <c r="D14" vm="74">
        <v>26.225000000000001</v>
      </c>
      <c r="E14" vm="75">
        <v>50.577500000000001</v>
      </c>
    </row>
    <row r="15" spans="1:5" x14ac:dyDescent="0.25">
      <c r="A15" t="str">
        <f>'storage capacity'!A15</f>
        <v>Bangladesh</v>
      </c>
      <c r="B15" t="str">
        <f>'storage capacity'!C15</f>
        <v>Other Asia pacific</v>
      </c>
      <c r="C15" t="e" vm="76">
        <v>#VALUE!</v>
      </c>
      <c r="D15" vm="77">
        <v>23.7288888888889</v>
      </c>
      <c r="E15" vm="78">
        <v>90.394444444444403</v>
      </c>
    </row>
    <row r="16" spans="1:5" x14ac:dyDescent="0.25">
      <c r="A16" t="str">
        <f>'storage capacity'!A16</f>
        <v>Barbados</v>
      </c>
      <c r="B16" t="str">
        <f>'storage capacity'!C16</f>
        <v>Other latin america</v>
      </c>
      <c r="C16" t="e" vm="79">
        <v>#VALUE!</v>
      </c>
      <c r="D16" vm="80">
        <v>13.0975</v>
      </c>
      <c r="E16" vm="81">
        <v>-59.616666666667001</v>
      </c>
    </row>
    <row r="17" spans="1:5" x14ac:dyDescent="0.25">
      <c r="A17" t="str">
        <f>'storage capacity'!A17</f>
        <v>Belarus</v>
      </c>
      <c r="B17" t="str">
        <f>'storage capacity'!C17</f>
        <v>Other eurasia</v>
      </c>
      <c r="C17" t="e" vm="82">
        <v>#VALUE!</v>
      </c>
      <c r="D17" t="e" vm="57">
        <v>#VALUE!</v>
      </c>
      <c r="E17" t="e" vm="58">
        <v>#VALUE!</v>
      </c>
    </row>
    <row r="18" spans="1:5" x14ac:dyDescent="0.25">
      <c r="A18" t="str">
        <f>'storage capacity'!A18</f>
        <v>Belgium</v>
      </c>
      <c r="B18" t="str">
        <f>'storage capacity'!C18</f>
        <v>Country specific</v>
      </c>
      <c r="C18" t="e" vm="83">
        <v>#VALUE!</v>
      </c>
      <c r="D18" vm="3">
        <v>50.8466666666667</v>
      </c>
      <c r="E18" vm="4">
        <v>4.3516666666666701</v>
      </c>
    </row>
    <row r="19" spans="1:5" x14ac:dyDescent="0.25">
      <c r="A19" t="str">
        <f>'storage capacity'!A19</f>
        <v>Belize</v>
      </c>
      <c r="B19" t="str">
        <f>'storage capacity'!C19</f>
        <v>Other latin america</v>
      </c>
      <c r="C19" t="e" vm="84">
        <v>#VALUE!</v>
      </c>
      <c r="D19" vm="85">
        <v>17.25</v>
      </c>
      <c r="E19" vm="86">
        <v>-88.767499999999998</v>
      </c>
    </row>
    <row r="20" spans="1:5" x14ac:dyDescent="0.25">
      <c r="A20" t="str">
        <f>'storage capacity'!A20</f>
        <v>Benin</v>
      </c>
      <c r="B20" t="str">
        <f>'storage capacity'!C20</f>
        <v>Sub-saharan africa</v>
      </c>
      <c r="C20" t="e" vm="87">
        <v>#VALUE!</v>
      </c>
      <c r="D20" vm="88">
        <v>6.4833333333332996</v>
      </c>
      <c r="E20" vm="89">
        <v>2.6166666666667</v>
      </c>
    </row>
    <row r="21" spans="1:5" x14ac:dyDescent="0.25">
      <c r="A21" t="str">
        <f>'storage capacity'!A21</f>
        <v>Bhutan</v>
      </c>
      <c r="B21" t="str">
        <f>'storage capacity'!C21</f>
        <v>Other Asia pacific</v>
      </c>
      <c r="C21" t="e" vm="90">
        <v>#VALUE!</v>
      </c>
      <c r="D21" vm="91">
        <v>27.471350000000001</v>
      </c>
      <c r="E21" vm="92">
        <v>89.633669999999995</v>
      </c>
    </row>
    <row r="22" spans="1:5" x14ac:dyDescent="0.25">
      <c r="A22" t="str">
        <f>'storage capacity'!A22</f>
        <v>Bolivia</v>
      </c>
      <c r="B22" t="str">
        <f>'storage capacity'!C22</f>
        <v>Other latin america</v>
      </c>
      <c r="C22" t="e" vm="93">
        <v>#VALUE!</v>
      </c>
      <c r="D22" vm="94">
        <v>-19.047499999999999</v>
      </c>
      <c r="E22" vm="95">
        <v>-65.260000000000005</v>
      </c>
    </row>
    <row r="23" spans="1:5" x14ac:dyDescent="0.25">
      <c r="A23" t="str">
        <f>'storage capacity'!A23</f>
        <v>Bosnia &amp; Herzegovina</v>
      </c>
      <c r="B23" t="str">
        <f>'storage capacity'!C23</f>
        <v>Other eurasia</v>
      </c>
      <c r="C23" t="e" vm="96">
        <v>#VALUE!</v>
      </c>
      <c r="D23" vm="97">
        <v>43.856388888888901</v>
      </c>
      <c r="E23" vm="98">
        <v>18.413055555555601</v>
      </c>
    </row>
    <row r="24" spans="1:5" x14ac:dyDescent="0.25">
      <c r="A24" t="str">
        <f>'storage capacity'!A24</f>
        <v>Botswana</v>
      </c>
      <c r="B24" t="str">
        <f>'storage capacity'!C24</f>
        <v>Sub-saharan africa</v>
      </c>
      <c r="C24" t="e" vm="99">
        <v>#VALUE!</v>
      </c>
      <c r="D24" t="e" vm="57">
        <v>#VALUE!</v>
      </c>
      <c r="E24" t="e" vm="58">
        <v>#VALUE!</v>
      </c>
    </row>
    <row r="25" spans="1:5" x14ac:dyDescent="0.25">
      <c r="A25" t="str">
        <f>'storage capacity'!A25</f>
        <v>Brazil</v>
      </c>
      <c r="B25" t="str">
        <f>'storage capacity'!C25</f>
        <v>Country specific</v>
      </c>
      <c r="C25" t="e" vm="100">
        <v>#VALUE!</v>
      </c>
      <c r="D25" vm="5">
        <v>-15.793888888889001</v>
      </c>
      <c r="E25" vm="6">
        <v>-47.882777777778003</v>
      </c>
    </row>
    <row r="26" spans="1:5" x14ac:dyDescent="0.25">
      <c r="A26" t="str">
        <f>'storage capacity'!A26</f>
        <v>Brunei</v>
      </c>
      <c r="B26" t="str">
        <f>'storage capacity'!C26</f>
        <v>Other Asia pacific</v>
      </c>
      <c r="C26" t="e" vm="101">
        <v>#VALUE!</v>
      </c>
      <c r="D26" vm="102">
        <v>4.9166666666666998</v>
      </c>
      <c r="E26" vm="103">
        <v>114.91666666667</v>
      </c>
    </row>
    <row r="27" spans="1:5" x14ac:dyDescent="0.25">
      <c r="A27" t="str">
        <f>'storage capacity'!A27</f>
        <v>Bulgaria</v>
      </c>
      <c r="B27" t="str">
        <f>'storage capacity'!C27</f>
        <v>Other eurasia</v>
      </c>
      <c r="C27" t="e" vm="104">
        <v>#VALUE!</v>
      </c>
      <c r="D27" vm="105">
        <v>42.697885999999997</v>
      </c>
      <c r="E27" vm="106">
        <v>23.321726000000002</v>
      </c>
    </row>
    <row r="28" spans="1:5" x14ac:dyDescent="0.25">
      <c r="A28" t="str">
        <f>'storage capacity'!A28</f>
        <v>Burkina Faso</v>
      </c>
      <c r="B28" t="str">
        <f>'storage capacity'!C28</f>
        <v>Sub-saharan africa</v>
      </c>
      <c r="C28" t="e" vm="107">
        <v>#VALUE!</v>
      </c>
      <c r="D28" vm="108">
        <v>12.3686111111111</v>
      </c>
      <c r="E28" vm="109">
        <v>-1.5275000000000001</v>
      </c>
    </row>
    <row r="29" spans="1:5" x14ac:dyDescent="0.25">
      <c r="A29" t="str">
        <f>'storage capacity'!A29</f>
        <v>Burundi</v>
      </c>
      <c r="B29" t="str">
        <f>'storage capacity'!C29</f>
        <v>Sub-saharan africa</v>
      </c>
      <c r="C29" t="e" vm="110">
        <v>#VALUE!</v>
      </c>
      <c r="D29" vm="111">
        <v>-3.4283333333333301</v>
      </c>
      <c r="E29" vm="112">
        <v>29.925000000000001</v>
      </c>
    </row>
    <row r="30" spans="1:5" x14ac:dyDescent="0.25">
      <c r="A30" t="str">
        <f>'storage capacity'!A30</f>
        <v>Cabo Verde</v>
      </c>
      <c r="B30" t="str">
        <f>'storage capacity'!C30</f>
        <v>Sub-saharan africa</v>
      </c>
      <c r="C30" t="e" vm="113">
        <v>#VALUE!</v>
      </c>
      <c r="D30" vm="114">
        <v>14.917719444444</v>
      </c>
      <c r="E30" vm="115">
        <v>-23.509155555555999</v>
      </c>
    </row>
    <row r="31" spans="1:5" x14ac:dyDescent="0.25">
      <c r="A31" t="str">
        <f>'storage capacity'!A31</f>
        <v>Cambodia</v>
      </c>
      <c r="B31" t="str">
        <f>'storage capacity'!C31</f>
        <v>Other Asia pacific</v>
      </c>
      <c r="C31" t="e" vm="116">
        <v>#VALUE!</v>
      </c>
      <c r="D31" t="e" vm="57">
        <v>#VALUE!</v>
      </c>
      <c r="E31" t="e" vm="58">
        <v>#VALUE!</v>
      </c>
    </row>
    <row r="32" spans="1:5" x14ac:dyDescent="0.25">
      <c r="A32" t="str">
        <f>'storage capacity'!A32</f>
        <v>Cameroon</v>
      </c>
      <c r="B32" t="str">
        <f>'storage capacity'!C32</f>
        <v>Sub-saharan africa</v>
      </c>
      <c r="C32" t="e" vm="117">
        <v>#VALUE!</v>
      </c>
      <c r="D32" vm="118">
        <v>3.8577777777778</v>
      </c>
      <c r="E32" vm="119">
        <v>11.518055555556</v>
      </c>
    </row>
    <row r="33" spans="1:5" x14ac:dyDescent="0.25">
      <c r="A33" t="str">
        <f>'storage capacity'!A33</f>
        <v>Canada</v>
      </c>
      <c r="B33" t="str">
        <f>'storage capacity'!C33</f>
        <v>Country specific</v>
      </c>
      <c r="C33" t="e" vm="120">
        <v>#VALUE!</v>
      </c>
      <c r="D33" vm="7">
        <v>45.424722222222002</v>
      </c>
      <c r="E33" vm="8">
        <v>-75.694999999999993</v>
      </c>
    </row>
    <row r="34" spans="1:5" x14ac:dyDescent="0.25">
      <c r="A34" t="str">
        <f>'storage capacity'!A34</f>
        <v>Central African Republic</v>
      </c>
      <c r="B34" t="str">
        <f>'storage capacity'!C34</f>
        <v>Sub-saharan africa</v>
      </c>
      <c r="C34" t="e" vm="121">
        <v>#VALUE!</v>
      </c>
      <c r="D34" t="e" vm="57">
        <v>#VALUE!</v>
      </c>
      <c r="E34" t="e" vm="58">
        <v>#VALUE!</v>
      </c>
    </row>
    <row r="35" spans="1:5" x14ac:dyDescent="0.25">
      <c r="A35" t="str">
        <f>'storage capacity'!A35</f>
        <v>Chad</v>
      </c>
      <c r="B35" t="str">
        <f>'storage capacity'!C35</f>
        <v>Sub-saharan africa</v>
      </c>
      <c r="C35" t="e" vm="122">
        <v>#VALUE!</v>
      </c>
      <c r="D35" t="e" vm="57">
        <v>#VALUE!</v>
      </c>
      <c r="E35" t="e" vm="58">
        <v>#VALUE!</v>
      </c>
    </row>
    <row r="36" spans="1:5" x14ac:dyDescent="0.25">
      <c r="A36" t="str">
        <f>'storage capacity'!A36</f>
        <v>Chile</v>
      </c>
      <c r="B36" t="str">
        <f>'storage capacity'!C36</f>
        <v>Other latin america</v>
      </c>
      <c r="C36" t="e" vm="123">
        <v>#VALUE!</v>
      </c>
      <c r="D36" vm="124">
        <v>-33.4375</v>
      </c>
      <c r="E36" vm="125">
        <v>-70.650000000000006</v>
      </c>
    </row>
    <row r="37" spans="1:5" x14ac:dyDescent="0.25">
      <c r="A37" t="str">
        <f>'storage capacity'!A37</f>
        <v>China</v>
      </c>
      <c r="B37" t="str">
        <f>'storage capacity'!C37</f>
        <v>Country specific</v>
      </c>
      <c r="C37" t="e" vm="126">
        <v>#VALUE!</v>
      </c>
      <c r="D37">
        <v>40.190600000000003</v>
      </c>
      <c r="E37">
        <v>116.4121</v>
      </c>
    </row>
    <row r="38" spans="1:5" x14ac:dyDescent="0.25">
      <c r="A38" t="str">
        <f>'storage capacity'!A38</f>
        <v>Colombia</v>
      </c>
      <c r="B38" t="str">
        <f>'storage capacity'!C38</f>
        <v>Other latin america</v>
      </c>
      <c r="C38" t="e" vm="127">
        <v>#VALUE!</v>
      </c>
      <c r="D38" t="e" vm="57">
        <v>#VALUE!</v>
      </c>
      <c r="E38" t="e" vm="58">
        <v>#VALUE!</v>
      </c>
    </row>
    <row r="39" spans="1:5" x14ac:dyDescent="0.25">
      <c r="A39" t="str">
        <f>'storage capacity'!A39</f>
        <v>Comoros</v>
      </c>
      <c r="B39" t="str">
        <f>'storage capacity'!C39</f>
        <v>Sub-saharan africa</v>
      </c>
      <c r="C39" t="e" vm="128">
        <v>#VALUE!</v>
      </c>
      <c r="D39" vm="129">
        <v>-11.703611111111</v>
      </c>
      <c r="E39" vm="130">
        <v>43.253611111110999</v>
      </c>
    </row>
    <row r="40" spans="1:5" x14ac:dyDescent="0.25">
      <c r="A40" t="str">
        <f>'storage capacity'!A40</f>
        <v>Congo</v>
      </c>
      <c r="B40" t="str">
        <f>'storage capacity'!C40</f>
        <v>Sub-saharan africa</v>
      </c>
      <c r="C40" t="e" vm="131">
        <v>#VALUE!</v>
      </c>
      <c r="D40" t="e" vm="57">
        <v>#VALUE!</v>
      </c>
      <c r="E40" t="e" vm="58">
        <v>#VALUE!</v>
      </c>
    </row>
    <row r="41" spans="1:5" x14ac:dyDescent="0.25">
      <c r="A41" t="str">
        <f>'storage capacity'!A41</f>
        <v>Costa Rica</v>
      </c>
      <c r="B41" t="str">
        <f>'storage capacity'!C41</f>
        <v>Other latin america</v>
      </c>
      <c r="C41" t="e" vm="132">
        <v>#VALUE!</v>
      </c>
      <c r="D41" vm="133">
        <v>9.9325111111111095</v>
      </c>
      <c r="E41" vm="134">
        <v>-84.079580555555594</v>
      </c>
    </row>
    <row r="42" spans="1:5" x14ac:dyDescent="0.25">
      <c r="A42" t="str">
        <f>'storage capacity'!A42</f>
        <v>Côte d'Ivoire</v>
      </c>
      <c r="B42" t="str">
        <f>'storage capacity'!C42</f>
        <v>Sub-saharan africa</v>
      </c>
      <c r="C42" t="e" vm="135">
        <v>#VALUE!</v>
      </c>
      <c r="D42" t="e" vm="57">
        <v>#VALUE!</v>
      </c>
      <c r="E42" t="e" vm="58">
        <v>#VALUE!</v>
      </c>
    </row>
    <row r="43" spans="1:5" x14ac:dyDescent="0.25">
      <c r="A43" t="str">
        <f>'storage capacity'!A43</f>
        <v>Croatia</v>
      </c>
      <c r="B43" t="str">
        <f>'storage capacity'!C43</f>
        <v>Other eurasia</v>
      </c>
      <c r="C43" t="e" vm="136">
        <v>#VALUE!</v>
      </c>
      <c r="D43" t="e" vm="57">
        <v>#VALUE!</v>
      </c>
      <c r="E43" t="e" vm="58">
        <v>#VALUE!</v>
      </c>
    </row>
    <row r="44" spans="1:5" x14ac:dyDescent="0.25">
      <c r="A44" t="str">
        <f>'storage capacity'!A44</f>
        <v>Cuba</v>
      </c>
      <c r="B44" t="str">
        <f>'storage capacity'!C44</f>
        <v>Other latin america</v>
      </c>
      <c r="C44" t="e" vm="137">
        <v>#VALUE!</v>
      </c>
      <c r="D44" t="e" vm="57">
        <v>#VALUE!</v>
      </c>
      <c r="E44" t="e" vm="58">
        <v>#VALUE!</v>
      </c>
    </row>
    <row r="45" spans="1:5" x14ac:dyDescent="0.25">
      <c r="A45" t="str">
        <f>'storage capacity'!A45</f>
        <v>Cyprus</v>
      </c>
      <c r="B45" t="str">
        <f>'storage capacity'!C45</f>
        <v>Other eurasia</v>
      </c>
      <c r="C45" t="e" vm="138">
        <v>#VALUE!</v>
      </c>
      <c r="D45" vm="139">
        <v>35.172499999999999</v>
      </c>
      <c r="E45" vm="140">
        <v>33.365000000000002</v>
      </c>
    </row>
    <row r="46" spans="1:5" x14ac:dyDescent="0.25">
      <c r="A46" t="str">
        <f>'storage capacity'!A46</f>
        <v>Czech Republic</v>
      </c>
      <c r="B46" t="str">
        <f>'storage capacity'!C46</f>
        <v>Other eurasia</v>
      </c>
      <c r="C46" t="e" vm="141">
        <v>#VALUE!</v>
      </c>
      <c r="D46" t="e" vm="57">
        <v>#VALUE!</v>
      </c>
      <c r="E46" t="e" vm="58">
        <v>#VALUE!</v>
      </c>
    </row>
    <row r="47" spans="1:5" x14ac:dyDescent="0.25">
      <c r="A47" t="str">
        <f>'storage capacity'!A47</f>
        <v>Denmark</v>
      </c>
      <c r="B47" t="str">
        <f>'storage capacity'!C47</f>
        <v>Country specific</v>
      </c>
      <c r="C47" t="e" vm="142">
        <v>#VALUE!</v>
      </c>
      <c r="D47" vm="9">
        <v>55.676111111110998</v>
      </c>
      <c r="E47" vm="10">
        <v>12.568888888888999</v>
      </c>
    </row>
    <row r="48" spans="1:5" x14ac:dyDescent="0.25">
      <c r="A48" t="str">
        <f>'storage capacity'!A48</f>
        <v>Djibouti</v>
      </c>
      <c r="B48" t="str">
        <f>'storage capacity'!C48</f>
        <v>Sub-saharan africa</v>
      </c>
      <c r="C48" t="e" vm="143">
        <v>#VALUE!</v>
      </c>
      <c r="D48" t="e" vm="57">
        <v>#VALUE!</v>
      </c>
      <c r="E48" t="e" vm="58">
        <v>#VALUE!</v>
      </c>
    </row>
    <row r="49" spans="1:5" x14ac:dyDescent="0.25">
      <c r="A49" t="str">
        <f>'storage capacity'!A49</f>
        <v>Dominica</v>
      </c>
      <c r="B49" t="str">
        <f>'storage capacity'!C49</f>
        <v>Sub-saharan africa</v>
      </c>
      <c r="C49" t="e" vm="144">
        <v>#VALUE!</v>
      </c>
      <c r="D49" vm="145">
        <v>15.3</v>
      </c>
      <c r="E49" vm="146">
        <v>-61.383333333332999</v>
      </c>
    </row>
    <row r="50" spans="1:5" x14ac:dyDescent="0.25">
      <c r="A50" t="str">
        <f>'storage capacity'!A50</f>
        <v>Dominican Republic</v>
      </c>
      <c r="B50" t="str">
        <f>'storage capacity'!C50</f>
        <v>Sub-saharan africa</v>
      </c>
      <c r="C50" t="e" vm="147">
        <v>#VALUE!</v>
      </c>
      <c r="D50" vm="148">
        <v>18.476388888889002</v>
      </c>
      <c r="E50" vm="149">
        <v>-69.893333333333004</v>
      </c>
    </row>
    <row r="51" spans="1:5" x14ac:dyDescent="0.25">
      <c r="A51" t="str">
        <f>'storage capacity'!A51</f>
        <v>DR Congo</v>
      </c>
      <c r="B51" t="str">
        <f>'storage capacity'!C51</f>
        <v>Sub-saharan africa</v>
      </c>
      <c r="C51" t="e" vm="150">
        <v>#VALUE!</v>
      </c>
      <c r="D51" t="e" vm="57">
        <v>#VALUE!</v>
      </c>
      <c r="E51" t="e" vm="58">
        <v>#VALUE!</v>
      </c>
    </row>
    <row r="52" spans="1:5" x14ac:dyDescent="0.25">
      <c r="A52" t="str">
        <f>'storage capacity'!A52</f>
        <v>Ecuador</v>
      </c>
      <c r="B52" t="str">
        <f>'storage capacity'!C52</f>
        <v>Other latin america</v>
      </c>
      <c r="C52" t="e" vm="151">
        <v>#VALUE!</v>
      </c>
      <c r="D52" vm="152">
        <v>-0.22</v>
      </c>
      <c r="E52" vm="153">
        <v>-78.512500000000003</v>
      </c>
    </row>
    <row r="53" spans="1:5" x14ac:dyDescent="0.25">
      <c r="A53" t="str">
        <f>'storage capacity'!A53</f>
        <v>Egypt</v>
      </c>
      <c r="B53" t="str">
        <f>'storage capacity'!C53</f>
        <v>Country specific</v>
      </c>
      <c r="C53" t="e" vm="154">
        <v>#VALUE!</v>
      </c>
      <c r="D53" vm="11">
        <v>30.044444444444402</v>
      </c>
      <c r="E53" vm="12">
        <v>31.2358333333333</v>
      </c>
    </row>
    <row r="54" spans="1:5" x14ac:dyDescent="0.25">
      <c r="A54" t="str">
        <f>'storage capacity'!A54</f>
        <v>El Salvador</v>
      </c>
      <c r="B54" t="str">
        <f>'storage capacity'!C54</f>
        <v>Other latin america</v>
      </c>
      <c r="C54" t="e" vm="155">
        <v>#VALUE!</v>
      </c>
      <c r="D54" vm="156">
        <v>13.698963888888899</v>
      </c>
      <c r="E54" vm="157">
        <v>-89.191427777777804</v>
      </c>
    </row>
    <row r="55" spans="1:5" x14ac:dyDescent="0.25">
      <c r="A55" t="str">
        <f>'storage capacity'!A55</f>
        <v>Equatorial Guinea</v>
      </c>
      <c r="B55" t="str">
        <f>'storage capacity'!C55</f>
        <v>Sub-saharan africa</v>
      </c>
      <c r="C55" t="e" vm="158">
        <v>#VALUE!</v>
      </c>
      <c r="D55" vm="159">
        <v>1.5916666666666699</v>
      </c>
      <c r="E55" vm="160">
        <v>10.8222222222222</v>
      </c>
    </row>
    <row r="56" spans="1:5" x14ac:dyDescent="0.25">
      <c r="A56" t="str">
        <f>'storage capacity'!A56</f>
        <v>Eritrea</v>
      </c>
      <c r="B56" t="str">
        <f>'storage capacity'!C56</f>
        <v>Sub-saharan africa</v>
      </c>
      <c r="C56" t="e" vm="161">
        <v>#VALUE!</v>
      </c>
      <c r="D56" vm="162">
        <v>15.333333333333</v>
      </c>
      <c r="E56" vm="163">
        <v>38.916666666666998</v>
      </c>
    </row>
    <row r="57" spans="1:5" x14ac:dyDescent="0.25">
      <c r="A57" t="str">
        <f>'storage capacity'!A57</f>
        <v>Estonia</v>
      </c>
      <c r="B57" t="str">
        <f>'storage capacity'!C57</f>
        <v>Other eurasia</v>
      </c>
      <c r="C57" t="e" vm="164">
        <v>#VALUE!</v>
      </c>
      <c r="D57" vm="165">
        <v>59.437222222221997</v>
      </c>
      <c r="E57" vm="166">
        <v>24.745000000000001</v>
      </c>
    </row>
    <row r="58" spans="1:5" x14ac:dyDescent="0.25">
      <c r="A58" t="str">
        <f>'storage capacity'!A58</f>
        <v>Eswatini</v>
      </c>
      <c r="B58" t="str">
        <f>'storage capacity'!C58</f>
        <v>Sub-saharan africa</v>
      </c>
      <c r="C58" t="e" vm="167">
        <v>#VALUE!</v>
      </c>
      <c r="D58" vm="168">
        <v>-26.446480000000001</v>
      </c>
      <c r="E58" vm="169">
        <v>31.206410999999999</v>
      </c>
    </row>
    <row r="59" spans="1:5" x14ac:dyDescent="0.25">
      <c r="A59" t="str">
        <f>'storage capacity'!A59</f>
        <v>Ethiopia</v>
      </c>
      <c r="B59" t="str">
        <f>'storage capacity'!C59</f>
        <v>Sub-saharan africa</v>
      </c>
      <c r="C59" t="e" vm="170">
        <v>#VALUE!</v>
      </c>
      <c r="D59" t="e" vm="57">
        <v>#VALUE!</v>
      </c>
      <c r="E59" t="e" vm="58">
        <v>#VALUE!</v>
      </c>
    </row>
    <row r="60" spans="1:5" x14ac:dyDescent="0.25">
      <c r="A60" t="str">
        <f>'storage capacity'!A60</f>
        <v>Fiji</v>
      </c>
      <c r="B60" t="str">
        <f>'storage capacity'!C60</f>
        <v>Other Asia pacific</v>
      </c>
      <c r="C60" t="e" vm="171">
        <v>#VALUE!</v>
      </c>
      <c r="D60" vm="172">
        <v>-18.133333333332999</v>
      </c>
      <c r="E60" vm="173">
        <v>178.43333333333001</v>
      </c>
    </row>
    <row r="61" spans="1:5" x14ac:dyDescent="0.25">
      <c r="A61" t="str">
        <f>'storage capacity'!A61</f>
        <v>Finland</v>
      </c>
      <c r="B61" t="str">
        <f>'storage capacity'!C61</f>
        <v>Country specific</v>
      </c>
      <c r="C61" t="e" vm="174">
        <v>#VALUE!</v>
      </c>
      <c r="D61" vm="13">
        <v>60.170833333333299</v>
      </c>
      <c r="E61" vm="14">
        <v>24.9375</v>
      </c>
    </row>
    <row r="62" spans="1:5" x14ac:dyDescent="0.25">
      <c r="A62" t="str">
        <f>'storage capacity'!A62</f>
        <v>France</v>
      </c>
      <c r="B62" t="str">
        <f>'storage capacity'!C62</f>
        <v>Country specific</v>
      </c>
      <c r="C62" t="e" vm="175">
        <v>#VALUE!</v>
      </c>
      <c r="D62" vm="15">
        <v>48.856666666666698</v>
      </c>
      <c r="E62" vm="16">
        <v>2.35222222222222</v>
      </c>
    </row>
    <row r="63" spans="1:5" x14ac:dyDescent="0.25">
      <c r="A63" t="str">
        <f>'storage capacity'!A63</f>
        <v>Gabon</v>
      </c>
      <c r="B63" t="str">
        <f>'storage capacity'!C63</f>
        <v>Sub-saharan africa</v>
      </c>
      <c r="C63" t="e" vm="176">
        <v>#VALUE!</v>
      </c>
      <c r="D63" vm="177">
        <v>0.3901</v>
      </c>
      <c r="E63" vm="178">
        <v>9.4543999999999997</v>
      </c>
    </row>
    <row r="64" spans="1:5" x14ac:dyDescent="0.25">
      <c r="A64" t="str">
        <f>'storage capacity'!A64</f>
        <v>Gambia</v>
      </c>
      <c r="B64" t="str">
        <f>'storage capacity'!C64</f>
        <v>Sub-saharan africa</v>
      </c>
      <c r="C64" t="e" vm="179">
        <v>#VALUE!</v>
      </c>
      <c r="D64" t="e" vm="57">
        <v>#VALUE!</v>
      </c>
      <c r="E64" t="e" vm="58">
        <v>#VALUE!</v>
      </c>
    </row>
    <row r="65" spans="1:5" x14ac:dyDescent="0.25">
      <c r="A65" t="str">
        <f>'storage capacity'!A65</f>
        <v>Georgia</v>
      </c>
      <c r="B65" t="str">
        <f>'storage capacity'!C65</f>
        <v>Other eurasia</v>
      </c>
      <c r="C65" t="e" vm="180">
        <v>#VALUE!</v>
      </c>
      <c r="D65" t="e" vm="57">
        <v>#VALUE!</v>
      </c>
      <c r="E65" t="e" vm="58">
        <v>#VALUE!</v>
      </c>
    </row>
    <row r="66" spans="1:5" x14ac:dyDescent="0.25">
      <c r="A66" t="str">
        <f>'storage capacity'!A66</f>
        <v>Germany</v>
      </c>
      <c r="B66" t="str">
        <f>'storage capacity'!C66</f>
        <v>Country specific</v>
      </c>
      <c r="C66" t="e" vm="181">
        <v>#VALUE!</v>
      </c>
      <c r="D66">
        <v>52.510899999999999</v>
      </c>
      <c r="E66">
        <v>13.398899999999999</v>
      </c>
    </row>
    <row r="67" spans="1:5" x14ac:dyDescent="0.25">
      <c r="A67" t="str">
        <f>'storage capacity'!A67</f>
        <v>Ghana</v>
      </c>
      <c r="B67" t="str">
        <f>'storage capacity'!C67</f>
        <v>Sub-saharan africa</v>
      </c>
      <c r="C67" t="e" vm="182">
        <v>#VALUE!</v>
      </c>
      <c r="D67" vm="183">
        <v>5.5461111111111103</v>
      </c>
      <c r="E67" vm="184">
        <v>-0.206666666666667</v>
      </c>
    </row>
    <row r="68" spans="1:5" x14ac:dyDescent="0.25">
      <c r="A68" t="str">
        <f>'storage capacity'!A68</f>
        <v>Greece</v>
      </c>
      <c r="B68" t="str">
        <f>'storage capacity'!C68</f>
        <v>Other eurasia</v>
      </c>
      <c r="C68" t="e" vm="185">
        <v>#VALUE!</v>
      </c>
      <c r="D68" vm="186">
        <v>37.984166666666702</v>
      </c>
      <c r="E68" vm="187">
        <v>23.728055555555599</v>
      </c>
    </row>
    <row r="69" spans="1:5" x14ac:dyDescent="0.25">
      <c r="A69" t="str">
        <f>'storage capacity'!A69</f>
        <v>Grenada</v>
      </c>
      <c r="B69" t="str">
        <f>'storage capacity'!C69</f>
        <v>Other latin america</v>
      </c>
      <c r="C69" t="e" vm="188">
        <v>#VALUE!</v>
      </c>
      <c r="D69" vm="189">
        <v>12.044444444444</v>
      </c>
      <c r="E69" vm="190">
        <v>-61.741666666667001</v>
      </c>
    </row>
    <row r="70" spans="1:5" x14ac:dyDescent="0.25">
      <c r="A70" t="str">
        <f>'storage capacity'!A70</f>
        <v>Guatemala</v>
      </c>
      <c r="B70" t="str">
        <f>'storage capacity'!C70</f>
        <v>Other latin america</v>
      </c>
      <c r="C70" t="e" vm="191">
        <v>#VALUE!</v>
      </c>
      <c r="D70" vm="192">
        <v>14.609861111111</v>
      </c>
      <c r="E70" vm="193">
        <v>-90.52525</v>
      </c>
    </row>
    <row r="71" spans="1:5" x14ac:dyDescent="0.25">
      <c r="A71" t="str">
        <f>'storage capacity'!A71</f>
        <v>Guinea</v>
      </c>
      <c r="B71" t="str">
        <f>'storage capacity'!C71</f>
        <v>Sub-saharan africa</v>
      </c>
      <c r="C71" t="e" vm="194">
        <v>#VALUE!</v>
      </c>
      <c r="D71" t="e" vm="57">
        <v>#VALUE!</v>
      </c>
      <c r="E71" t="e" vm="58">
        <v>#VALUE!</v>
      </c>
    </row>
    <row r="72" spans="1:5" x14ac:dyDescent="0.25">
      <c r="A72" t="str">
        <f>'storage capacity'!A72</f>
        <v>Guinea-Bissau</v>
      </c>
      <c r="B72" t="str">
        <f>'storage capacity'!C72</f>
        <v>Sub-saharan africa</v>
      </c>
      <c r="C72" t="e" vm="195">
        <v>#VALUE!</v>
      </c>
      <c r="D72" t="e" vm="57">
        <v>#VALUE!</v>
      </c>
      <c r="E72" t="e" vm="58">
        <v>#VALUE!</v>
      </c>
    </row>
    <row r="73" spans="1:5" x14ac:dyDescent="0.25">
      <c r="A73" t="str">
        <f>'storage capacity'!A73</f>
        <v>Guyana</v>
      </c>
      <c r="B73" t="str">
        <f>'storage capacity'!C73</f>
        <v>Other latin america</v>
      </c>
      <c r="C73" t="e" vm="196">
        <v>#VALUE!</v>
      </c>
      <c r="D73" vm="197">
        <v>6.8058333333333296</v>
      </c>
      <c r="E73" vm="198">
        <v>-58.150833333333303</v>
      </c>
    </row>
    <row r="74" spans="1:5" x14ac:dyDescent="0.25">
      <c r="A74" t="str">
        <f>'storage capacity'!A74</f>
        <v>Haiti</v>
      </c>
      <c r="B74" t="str">
        <f>'storage capacity'!C74</f>
        <v>Other latin america</v>
      </c>
      <c r="C74" t="e" vm="199">
        <v>#VALUE!</v>
      </c>
      <c r="D74" vm="200">
        <v>18.5425</v>
      </c>
      <c r="E74" vm="201">
        <v>-72.338611111111007</v>
      </c>
    </row>
    <row r="75" spans="1:5" x14ac:dyDescent="0.25">
      <c r="A75" t="str">
        <f>'storage capacity'!A75</f>
        <v>Honduras</v>
      </c>
      <c r="B75" t="str">
        <f>'storage capacity'!C75</f>
        <v>Other latin america</v>
      </c>
      <c r="C75" t="e" vm="202">
        <v>#VALUE!</v>
      </c>
      <c r="D75" vm="203">
        <v>14.1057138888889</v>
      </c>
      <c r="E75" vm="204">
        <v>-87.204008333333306</v>
      </c>
    </row>
    <row r="76" spans="1:5" x14ac:dyDescent="0.25">
      <c r="A76" t="str">
        <f>'storage capacity'!A76</f>
        <v>Hungary</v>
      </c>
      <c r="B76" t="str">
        <f>'storage capacity'!C76</f>
        <v>Other eurasia</v>
      </c>
      <c r="C76" t="e" vm="205">
        <v>#VALUE!</v>
      </c>
      <c r="D76" t="e" vm="57">
        <v>#VALUE!</v>
      </c>
      <c r="E76" t="e" vm="58">
        <v>#VALUE!</v>
      </c>
    </row>
    <row r="77" spans="1:5" x14ac:dyDescent="0.25">
      <c r="A77" t="str">
        <f>'storage capacity'!A77</f>
        <v>Iceland</v>
      </c>
      <c r="B77" t="str">
        <f>'storage capacity'!C77</f>
        <v>Country specific</v>
      </c>
      <c r="C77" t="e" vm="206">
        <v>#VALUE!</v>
      </c>
      <c r="D77" vm="17">
        <v>64.147499999999994</v>
      </c>
      <c r="E77" vm="18">
        <v>-21.934999999999999</v>
      </c>
    </row>
    <row r="78" spans="1:5" x14ac:dyDescent="0.25">
      <c r="A78" t="str">
        <f>'storage capacity'!A78</f>
        <v>India</v>
      </c>
      <c r="B78" t="str">
        <f>'storage capacity'!C78</f>
        <v>Country specific</v>
      </c>
      <c r="C78" t="e" vm="207">
        <v>#VALUE!</v>
      </c>
      <c r="D78" vm="19">
        <v>28.613895400000001</v>
      </c>
      <c r="E78" vm="20">
        <v>77.209005700000006</v>
      </c>
    </row>
    <row r="79" spans="1:5" x14ac:dyDescent="0.25">
      <c r="A79" t="str">
        <f>'storage capacity'!A79</f>
        <v>Indonesia</v>
      </c>
      <c r="B79" t="str">
        <f>'storage capacity'!C79</f>
        <v>Country specific</v>
      </c>
      <c r="C79" t="e" vm="208">
        <v>#VALUE!</v>
      </c>
      <c r="D79">
        <v>-6.1753999999999998</v>
      </c>
      <c r="E79">
        <v>106.8272</v>
      </c>
    </row>
    <row r="80" spans="1:5" x14ac:dyDescent="0.25">
      <c r="A80" t="str">
        <f>'storage capacity'!A80</f>
        <v>Iran</v>
      </c>
      <c r="B80" t="str">
        <f>'storage capacity'!C80</f>
        <v>Country specific</v>
      </c>
      <c r="C80" t="e" vm="209">
        <v>#VALUE!</v>
      </c>
      <c r="D80" vm="21">
        <v>35.688888888888897</v>
      </c>
      <c r="E80" vm="22">
        <v>51.389722222222197</v>
      </c>
    </row>
    <row r="81" spans="1:5" x14ac:dyDescent="0.25">
      <c r="A81" t="str">
        <f>'storage capacity'!A81</f>
        <v>Iraq</v>
      </c>
      <c r="B81" t="str">
        <f>'storage capacity'!C81</f>
        <v>Middle east</v>
      </c>
      <c r="C81" t="e" vm="210">
        <v>#VALUE!</v>
      </c>
      <c r="D81" vm="211">
        <v>33.315277777777801</v>
      </c>
      <c r="E81" vm="212">
        <v>44.366111111111103</v>
      </c>
    </row>
    <row r="82" spans="1:5" x14ac:dyDescent="0.25">
      <c r="A82" t="str">
        <f>'storage capacity'!A82</f>
        <v>Ireland</v>
      </c>
      <c r="B82" t="str">
        <f>'storage capacity'!C82</f>
        <v>Country specific</v>
      </c>
      <c r="C82" t="e" vm="213">
        <v>#VALUE!</v>
      </c>
      <c r="D82" vm="23">
        <v>53.349722222222198</v>
      </c>
      <c r="E82" vm="24">
        <v>-6.2602777777777803</v>
      </c>
    </row>
    <row r="83" spans="1:5" x14ac:dyDescent="0.25">
      <c r="A83" t="str">
        <f>'storage capacity'!A83</f>
        <v>Israel</v>
      </c>
      <c r="B83" t="str">
        <f>'storage capacity'!C83</f>
        <v>Middle east</v>
      </c>
      <c r="C83" t="e" vm="214">
        <v>#VALUE!</v>
      </c>
      <c r="D83" vm="215">
        <v>31.778888888888901</v>
      </c>
      <c r="E83" vm="216">
        <v>35.225555555555601</v>
      </c>
    </row>
    <row r="84" spans="1:5" x14ac:dyDescent="0.25">
      <c r="A84" t="str">
        <f>'storage capacity'!A84</f>
        <v>Italy</v>
      </c>
      <c r="B84" t="str">
        <f>'storage capacity'!C84</f>
        <v>Country specific</v>
      </c>
      <c r="C84" t="e" vm="217">
        <v>#VALUE!</v>
      </c>
      <c r="D84" vm="25">
        <v>41.893055555556003</v>
      </c>
      <c r="E84" vm="26">
        <v>12.482777777778001</v>
      </c>
    </row>
    <row r="85" spans="1:5" x14ac:dyDescent="0.25">
      <c r="A85" t="str">
        <f>'storage capacity'!A85</f>
        <v>Jamaica</v>
      </c>
      <c r="B85" t="str">
        <f>'storage capacity'!C85</f>
        <v>Other latin america</v>
      </c>
      <c r="C85" t="e" vm="218">
        <v>#VALUE!</v>
      </c>
      <c r="D85" vm="219">
        <v>17.971388888888999</v>
      </c>
      <c r="E85" vm="220">
        <v>-76.793055555555995</v>
      </c>
    </row>
    <row r="86" spans="1:5" x14ac:dyDescent="0.25">
      <c r="A86" t="str">
        <f>'storage capacity'!A86</f>
        <v>Japan</v>
      </c>
      <c r="B86" t="str">
        <f>'storage capacity'!C86</f>
        <v>Country specific</v>
      </c>
      <c r="C86" t="e" vm="221">
        <v>#VALUE!</v>
      </c>
      <c r="D86">
        <v>35.676900000000003</v>
      </c>
      <c r="E86">
        <v>139.76390000000001</v>
      </c>
    </row>
    <row r="87" spans="1:5" x14ac:dyDescent="0.25">
      <c r="A87" t="str">
        <f>'storage capacity'!A87</f>
        <v>Jordan</v>
      </c>
      <c r="B87" t="str">
        <f>'storage capacity'!C87</f>
        <v>Middle east</v>
      </c>
      <c r="C87" t="e" vm="222">
        <v>#VALUE!</v>
      </c>
      <c r="D87" vm="223">
        <v>31.95</v>
      </c>
      <c r="E87" vm="224">
        <v>35.933333333333003</v>
      </c>
    </row>
    <row r="88" spans="1:5" x14ac:dyDescent="0.25">
      <c r="A88" t="str">
        <f>'storage capacity'!A88</f>
        <v>Kazakhstan</v>
      </c>
      <c r="B88" t="str">
        <f>'storage capacity'!C88</f>
        <v>Other eurasia</v>
      </c>
      <c r="C88" t="e" vm="225">
        <v>#VALUE!</v>
      </c>
      <c r="D88" t="e" vm="57">
        <v>#VALUE!</v>
      </c>
      <c r="E88" t="e" vm="58">
        <v>#VALUE!</v>
      </c>
    </row>
    <row r="89" spans="1:5" x14ac:dyDescent="0.25">
      <c r="A89" t="str">
        <f>'storage capacity'!A89</f>
        <v>Kenya</v>
      </c>
      <c r="B89" t="str">
        <f>'storage capacity'!C89</f>
        <v>Sub-saharan africa</v>
      </c>
      <c r="C89" t="e" vm="226">
        <v>#VALUE!</v>
      </c>
      <c r="D89" vm="227">
        <v>-1.2863888888888999</v>
      </c>
      <c r="E89" vm="228">
        <v>36.817222222222</v>
      </c>
    </row>
    <row r="90" spans="1:5" x14ac:dyDescent="0.25">
      <c r="A90" t="str">
        <f>'storage capacity'!A90</f>
        <v>Kiribati</v>
      </c>
      <c r="B90" t="str">
        <f>'storage capacity'!C90</f>
        <v>Other Asia pacific</v>
      </c>
      <c r="C90" t="e" vm="229">
        <v>#VALUE!</v>
      </c>
      <c r="D90" t="e" vm="57">
        <v>#VALUE!</v>
      </c>
      <c r="E90" t="e" vm="58">
        <v>#VALUE!</v>
      </c>
    </row>
    <row r="91" spans="1:5" x14ac:dyDescent="0.25">
      <c r="A91" t="str">
        <f>'storage capacity'!A91</f>
        <v>Kuwait</v>
      </c>
      <c r="B91" t="str">
        <f>'storage capacity'!C91</f>
        <v>Middle east</v>
      </c>
      <c r="C91" t="e" vm="230">
        <v>#VALUE!</v>
      </c>
      <c r="D91" vm="231">
        <v>29.375</v>
      </c>
      <c r="E91" vm="232">
        <v>47.98</v>
      </c>
    </row>
    <row r="92" spans="1:5" x14ac:dyDescent="0.25">
      <c r="A92" t="str">
        <f>'storage capacity'!A92</f>
        <v>Kyrgyzstan</v>
      </c>
      <c r="B92" t="str">
        <f>'storage capacity'!C92</f>
        <v>Other eurasia</v>
      </c>
      <c r="C92" t="e" vm="233">
        <v>#VALUE!</v>
      </c>
      <c r="D92" t="e" vm="57">
        <v>#VALUE!</v>
      </c>
      <c r="E92" t="e" vm="58">
        <v>#VALUE!</v>
      </c>
    </row>
    <row r="93" spans="1:5" x14ac:dyDescent="0.25">
      <c r="A93" t="str">
        <f>'storage capacity'!A93</f>
        <v>Laos</v>
      </c>
      <c r="B93" t="str">
        <f>'storage capacity'!C93</f>
        <v>Other Asia pacific</v>
      </c>
      <c r="C93" t="e" vm="234">
        <v>#VALUE!</v>
      </c>
      <c r="D93" vm="235">
        <v>17.98</v>
      </c>
      <c r="E93" vm="236">
        <v>102.63</v>
      </c>
    </row>
    <row r="94" spans="1:5" x14ac:dyDescent="0.25">
      <c r="A94" t="str">
        <f>'storage capacity'!A94</f>
        <v>Latvia</v>
      </c>
      <c r="B94" t="str">
        <f>'storage capacity'!C94</f>
        <v>Other eurasia</v>
      </c>
      <c r="C94" t="e" vm="237">
        <v>#VALUE!</v>
      </c>
      <c r="D94" vm="238">
        <v>56.947499999999998</v>
      </c>
      <c r="E94" vm="239">
        <v>24.106944444444</v>
      </c>
    </row>
    <row r="95" spans="1:5" x14ac:dyDescent="0.25">
      <c r="A95" t="str">
        <f>'storage capacity'!A95</f>
        <v>Lebanon</v>
      </c>
      <c r="B95" t="str">
        <f>'storage capacity'!C95</f>
        <v>Middle east</v>
      </c>
      <c r="C95" t="e" vm="240">
        <v>#VALUE!</v>
      </c>
      <c r="D95" vm="241">
        <v>33.886944444443998</v>
      </c>
      <c r="E95" vm="242">
        <v>35.513055555556001</v>
      </c>
    </row>
    <row r="96" spans="1:5" x14ac:dyDescent="0.25">
      <c r="A96" t="str">
        <f>'storage capacity'!A96</f>
        <v>Lesotho</v>
      </c>
      <c r="B96" t="str">
        <f>'storage capacity'!C96</f>
        <v>Sub-saharan africa</v>
      </c>
      <c r="C96" t="e" vm="243">
        <v>#VALUE!</v>
      </c>
      <c r="D96" vm="244">
        <v>-29.31</v>
      </c>
      <c r="E96" vm="245">
        <v>27.48</v>
      </c>
    </row>
    <row r="97" spans="1:5" x14ac:dyDescent="0.25">
      <c r="A97" t="str">
        <f>'storage capacity'!A97</f>
        <v>Liberia</v>
      </c>
      <c r="B97" t="str">
        <f>'storage capacity'!C97</f>
        <v>Sub-saharan africa</v>
      </c>
      <c r="C97" t="e" vm="246">
        <v>#VALUE!</v>
      </c>
      <c r="D97" vm="247">
        <v>6.3105555555555997</v>
      </c>
      <c r="E97" vm="248">
        <v>-10.804722222222001</v>
      </c>
    </row>
    <row r="98" spans="1:5" x14ac:dyDescent="0.25">
      <c r="A98" t="str">
        <f>'storage capacity'!A98</f>
        <v>Libya</v>
      </c>
      <c r="B98" t="str">
        <f>'storage capacity'!C98</f>
        <v>Middle east</v>
      </c>
      <c r="C98" t="e" vm="249">
        <v>#VALUE!</v>
      </c>
      <c r="D98" vm="250">
        <v>32.871138999999999</v>
      </c>
      <c r="E98" vm="251">
        <v>13.17995</v>
      </c>
    </row>
    <row r="99" spans="1:5" x14ac:dyDescent="0.25">
      <c r="A99" t="str">
        <f>'storage capacity'!A99</f>
        <v>Liechtenstein</v>
      </c>
      <c r="B99" t="str">
        <f>'storage capacity'!C99</f>
        <v>Other eurasia</v>
      </c>
      <c r="C99" t="e" vm="252">
        <v>#VALUE!</v>
      </c>
      <c r="D99" t="e" vm="57">
        <v>#VALUE!</v>
      </c>
      <c r="E99" t="e" vm="58">
        <v>#VALUE!</v>
      </c>
    </row>
    <row r="100" spans="1:5" x14ac:dyDescent="0.25">
      <c r="A100" t="str">
        <f>'storage capacity'!A100</f>
        <v>Lithuania</v>
      </c>
      <c r="B100" t="str">
        <f>'storage capacity'!C100</f>
        <v>Other eurasia</v>
      </c>
      <c r="C100" t="e" vm="253">
        <v>#VALUE!</v>
      </c>
      <c r="D100" vm="254">
        <v>54.687222222222204</v>
      </c>
      <c r="E100" vm="255">
        <v>25.28</v>
      </c>
    </row>
    <row r="101" spans="1:5" x14ac:dyDescent="0.25">
      <c r="A101" t="str">
        <f>'storage capacity'!A101</f>
        <v>Luxembourg</v>
      </c>
      <c r="B101" t="str">
        <f>'storage capacity'!C101</f>
        <v>Other eurasia</v>
      </c>
      <c r="C101" t="e" vm="256">
        <v>#VALUE!</v>
      </c>
      <c r="D101" vm="257">
        <v>49.610555555555997</v>
      </c>
      <c r="E101" vm="258">
        <v>6.1327777777778003</v>
      </c>
    </row>
    <row r="102" spans="1:5" x14ac:dyDescent="0.25">
      <c r="A102" t="str">
        <f>'storage capacity'!A102</f>
        <v>Madagascar</v>
      </c>
      <c r="B102" t="str">
        <f>'storage capacity'!C102</f>
        <v>Sub-saharan africa</v>
      </c>
      <c r="C102" t="e" vm="259">
        <v>#VALUE!</v>
      </c>
      <c r="D102" vm="260">
        <v>-18.938611111111001</v>
      </c>
      <c r="E102" vm="261">
        <v>47.521388888889</v>
      </c>
    </row>
    <row r="103" spans="1:5" x14ac:dyDescent="0.25">
      <c r="A103" t="str">
        <f>'storage capacity'!A103</f>
        <v>Malawi</v>
      </c>
      <c r="B103" t="str">
        <f>'storage capacity'!C103</f>
        <v>Sub-saharan africa</v>
      </c>
      <c r="C103" t="e" vm="262">
        <v>#VALUE!</v>
      </c>
      <c r="D103" vm="263">
        <v>-13.983333333333</v>
      </c>
      <c r="E103" vm="264">
        <v>33.783333333332997</v>
      </c>
    </row>
    <row r="104" spans="1:5" x14ac:dyDescent="0.25">
      <c r="A104" t="str">
        <f>'storage capacity'!A104</f>
        <v>Malaysia</v>
      </c>
      <c r="B104" t="str">
        <f>'storage capacity'!C104</f>
        <v>Country specific</v>
      </c>
      <c r="C104" t="e" vm="265">
        <v>#VALUE!</v>
      </c>
      <c r="D104">
        <v>3.1526999999999998</v>
      </c>
      <c r="E104">
        <v>101.7022</v>
      </c>
    </row>
    <row r="105" spans="1:5" x14ac:dyDescent="0.25">
      <c r="A105" t="str">
        <f>'storage capacity'!A105</f>
        <v>Maldives</v>
      </c>
      <c r="B105" t="str">
        <f>'storage capacity'!C105</f>
        <v>Other Asia pacific</v>
      </c>
      <c r="C105" t="e" vm="266">
        <v>#VALUE!</v>
      </c>
      <c r="D105" t="e" vm="57">
        <v>#VALUE!</v>
      </c>
      <c r="E105" t="e" vm="58">
        <v>#VALUE!</v>
      </c>
    </row>
    <row r="106" spans="1:5" x14ac:dyDescent="0.25">
      <c r="A106" t="str">
        <f>'storage capacity'!A106</f>
        <v>Mali</v>
      </c>
      <c r="B106" t="str">
        <f>'storage capacity'!C106</f>
        <v>Sub-saharan africa</v>
      </c>
      <c r="C106" t="e" vm="267">
        <v>#VALUE!</v>
      </c>
      <c r="D106" t="e" vm="57">
        <v>#VALUE!</v>
      </c>
      <c r="E106" t="e" vm="58">
        <v>#VALUE!</v>
      </c>
    </row>
    <row r="107" spans="1:5" x14ac:dyDescent="0.25">
      <c r="A107" t="str">
        <f>'storage capacity'!A107</f>
        <v>Malta</v>
      </c>
      <c r="B107" t="str">
        <f>'storage capacity'!C107</f>
        <v>Other eurasia</v>
      </c>
      <c r="C107" t="e" vm="268">
        <v>#VALUE!</v>
      </c>
      <c r="D107" vm="269">
        <v>35.897777777778003</v>
      </c>
      <c r="E107" vm="270">
        <v>14.512499999999999</v>
      </c>
    </row>
    <row r="108" spans="1:5" x14ac:dyDescent="0.25">
      <c r="A108" t="str">
        <f>'storage capacity'!A108</f>
        <v>Marshall Islands</v>
      </c>
      <c r="B108" t="str">
        <f>'storage capacity'!C108</f>
        <v>Oceania</v>
      </c>
      <c r="C108" t="e" vm="271">
        <v>#VALUE!</v>
      </c>
      <c r="D108" t="e" vm="57">
        <v>#VALUE!</v>
      </c>
      <c r="E108" t="e" vm="58">
        <v>#VALUE!</v>
      </c>
    </row>
    <row r="109" spans="1:5" x14ac:dyDescent="0.25">
      <c r="A109" t="str">
        <f>'storage capacity'!A109</f>
        <v>Mauritania</v>
      </c>
      <c r="B109" t="str">
        <f>'storage capacity'!C109</f>
        <v>Sub-saharan africa</v>
      </c>
      <c r="C109" t="e" vm="272">
        <v>#VALUE!</v>
      </c>
      <c r="D109" vm="273">
        <v>18.085809999999999</v>
      </c>
      <c r="E109" vm="274">
        <v>-15.9785</v>
      </c>
    </row>
    <row r="110" spans="1:5" x14ac:dyDescent="0.25">
      <c r="A110" t="str">
        <f>'storage capacity'!A110</f>
        <v>Mauritius</v>
      </c>
      <c r="B110" t="str">
        <f>'storage capacity'!C110</f>
        <v>Sub-saharan africa</v>
      </c>
      <c r="C110" t="e" vm="275">
        <v>#VALUE!</v>
      </c>
      <c r="D110" t="e" vm="57">
        <v>#VALUE!</v>
      </c>
      <c r="E110" t="e" vm="58">
        <v>#VALUE!</v>
      </c>
    </row>
    <row r="111" spans="1:5" x14ac:dyDescent="0.25">
      <c r="A111" t="str">
        <f>'storage capacity'!A111</f>
        <v>Mexico</v>
      </c>
      <c r="B111" t="str">
        <f>'storage capacity'!C111</f>
        <v>Country specific</v>
      </c>
      <c r="C111" t="e" vm="276">
        <v>#VALUE!</v>
      </c>
      <c r="D111">
        <v>19.320799999999998</v>
      </c>
      <c r="E111">
        <v>-99.151499999999999</v>
      </c>
    </row>
    <row r="112" spans="1:5" x14ac:dyDescent="0.25">
      <c r="A112" t="str">
        <f>'storage capacity'!A112</f>
        <v>Micronesia</v>
      </c>
      <c r="B112" t="str">
        <f>'storage capacity'!C112</f>
        <v>Oceania</v>
      </c>
      <c r="C112" t="e" vm="277">
        <v>#VALUE!</v>
      </c>
      <c r="D112" vm="278">
        <v>6.9177777777777996</v>
      </c>
      <c r="E112" vm="279">
        <v>158.185</v>
      </c>
    </row>
    <row r="113" spans="1:5" x14ac:dyDescent="0.25">
      <c r="A113" t="str">
        <f>'storage capacity'!A113</f>
        <v>Moldova</v>
      </c>
      <c r="B113" t="str">
        <f>'storage capacity'!C113</f>
        <v>Other eurasia</v>
      </c>
      <c r="C113" t="e" vm="280">
        <v>#VALUE!</v>
      </c>
      <c r="D113" t="e" vm="57">
        <v>#VALUE!</v>
      </c>
      <c r="E113" t="e" vm="58">
        <v>#VALUE!</v>
      </c>
    </row>
    <row r="114" spans="1:5" x14ac:dyDescent="0.25">
      <c r="A114" t="str">
        <f>'storage capacity'!A114</f>
        <v>Monaco</v>
      </c>
      <c r="B114" t="str">
        <f>'storage capacity'!C114</f>
        <v>Other eurasia</v>
      </c>
      <c r="C114" t="e" vm="281">
        <v>#VALUE!</v>
      </c>
      <c r="D114" vm="282">
        <v>43.730969999999999</v>
      </c>
      <c r="E114" vm="283">
        <v>7.4248149999999997</v>
      </c>
    </row>
    <row r="115" spans="1:5" x14ac:dyDescent="0.25">
      <c r="A115" t="str">
        <f>'storage capacity'!A115</f>
        <v>Mongolia</v>
      </c>
      <c r="B115" t="str">
        <f>'storage capacity'!C115</f>
        <v>Other Asia pacific</v>
      </c>
      <c r="C115" t="e" vm="284">
        <v>#VALUE!</v>
      </c>
      <c r="D115" t="e" vm="57">
        <v>#VALUE!</v>
      </c>
      <c r="E115" t="e" vm="58">
        <v>#VALUE!</v>
      </c>
    </row>
    <row r="116" spans="1:5" x14ac:dyDescent="0.25">
      <c r="A116" t="str">
        <f>'storage capacity'!A116</f>
        <v>Montenegro</v>
      </c>
      <c r="B116" t="str">
        <f>'storage capacity'!C116</f>
        <v>Other eurasia</v>
      </c>
      <c r="C116" t="e" vm="285">
        <v>#VALUE!</v>
      </c>
      <c r="D116" vm="286">
        <v>42.441388888888902</v>
      </c>
      <c r="E116" vm="287">
        <v>19.262777777777799</v>
      </c>
    </row>
    <row r="117" spans="1:5" x14ac:dyDescent="0.25">
      <c r="A117" t="str">
        <f>'storage capacity'!A117</f>
        <v>Morocco</v>
      </c>
      <c r="B117" t="str">
        <f>'storage capacity'!C117</f>
        <v>Middle east</v>
      </c>
      <c r="C117" t="e" vm="288">
        <v>#VALUE!</v>
      </c>
      <c r="D117" vm="289">
        <v>34.025277777778001</v>
      </c>
      <c r="E117" vm="290">
        <v>-6.8361111111110997</v>
      </c>
    </row>
    <row r="118" spans="1:5" x14ac:dyDescent="0.25">
      <c r="A118" t="str">
        <f>'storage capacity'!A118</f>
        <v>Mozambique</v>
      </c>
      <c r="B118" t="str">
        <f>'storage capacity'!C118</f>
        <v>Sub-saharan africa</v>
      </c>
      <c r="C118" t="e" vm="291">
        <v>#VALUE!</v>
      </c>
      <c r="D118" t="e" vm="57">
        <v>#VALUE!</v>
      </c>
      <c r="E118" t="e" vm="58">
        <v>#VALUE!</v>
      </c>
    </row>
    <row r="119" spans="1:5" x14ac:dyDescent="0.25">
      <c r="A119" t="str">
        <f>'storage capacity'!A119</f>
        <v>Myanmar</v>
      </c>
      <c r="B119" t="str">
        <f>'storage capacity'!C119</f>
        <v>Other Asia pacific</v>
      </c>
      <c r="C119" t="e" vm="292">
        <v>#VALUE!</v>
      </c>
      <c r="D119" vm="293">
        <v>19.747499999999999</v>
      </c>
      <c r="E119" vm="294">
        <v>96.114999999999995</v>
      </c>
    </row>
    <row r="120" spans="1:5" x14ac:dyDescent="0.25">
      <c r="A120" t="str">
        <f>'storage capacity'!A120</f>
        <v>Namibia</v>
      </c>
      <c r="B120" t="str">
        <f>'storage capacity'!C120</f>
        <v>Sub-saharan africa</v>
      </c>
      <c r="C120" t="e" vm="295">
        <v>#VALUE!</v>
      </c>
      <c r="D120" vm="296">
        <v>-22.57</v>
      </c>
      <c r="E120" vm="297">
        <v>17.083611111111001</v>
      </c>
    </row>
    <row r="121" spans="1:5" x14ac:dyDescent="0.25">
      <c r="A121" t="str">
        <f>'storage capacity'!A121</f>
        <v>Nauru</v>
      </c>
      <c r="B121" t="str">
        <f>'storage capacity'!C121</f>
        <v>Oceania</v>
      </c>
      <c r="C121" t="e" vm="298">
        <v>#VALUE!</v>
      </c>
      <c r="D121" t="e" vm="57">
        <v>#VALUE!</v>
      </c>
      <c r="E121" t="e" vm="58">
        <v>#VALUE!</v>
      </c>
    </row>
    <row r="122" spans="1:5" x14ac:dyDescent="0.25">
      <c r="A122" t="str">
        <f>'storage capacity'!A122</f>
        <v>Nepal</v>
      </c>
      <c r="B122" t="str">
        <f>'storage capacity'!C122</f>
        <v>Other Asia pacific</v>
      </c>
      <c r="C122" t="e" vm="299">
        <v>#VALUE!</v>
      </c>
      <c r="D122" vm="300">
        <v>27.71</v>
      </c>
      <c r="E122" vm="301">
        <v>85.32</v>
      </c>
    </row>
    <row r="123" spans="1:5" x14ac:dyDescent="0.25">
      <c r="A123" t="str">
        <f>'storage capacity'!A123</f>
        <v>Netherlands</v>
      </c>
      <c r="B123" t="str">
        <f>'storage capacity'!C123</f>
        <v>Country specific</v>
      </c>
      <c r="C123" t="e" vm="302">
        <v>#VALUE!</v>
      </c>
      <c r="D123" vm="27">
        <v>52.372777777777799</v>
      </c>
      <c r="E123" vm="28">
        <v>4.8936111111111096</v>
      </c>
    </row>
    <row r="124" spans="1:5" x14ac:dyDescent="0.25">
      <c r="A124" t="str">
        <f>'storage capacity'!A124</f>
        <v>New Zealand</v>
      </c>
      <c r="B124" t="str">
        <f>'storage capacity'!C124</f>
        <v>Country specific</v>
      </c>
      <c r="C124" t="e" vm="303">
        <v>#VALUE!</v>
      </c>
      <c r="D124" vm="29">
        <v>-41.288888888888998</v>
      </c>
      <c r="E124" vm="30">
        <v>174.77722222221999</v>
      </c>
    </row>
    <row r="125" spans="1:5" x14ac:dyDescent="0.25">
      <c r="A125" t="str">
        <f>'storage capacity'!A125</f>
        <v>Nicaragua</v>
      </c>
      <c r="B125" t="str">
        <f>'storage capacity'!C125</f>
        <v>Other latin america</v>
      </c>
      <c r="C125" t="e" vm="304">
        <v>#VALUE!</v>
      </c>
      <c r="D125" vm="305">
        <v>12.1543722222222</v>
      </c>
      <c r="E125" vm="306">
        <v>-86.273766666666702</v>
      </c>
    </row>
    <row r="126" spans="1:5" x14ac:dyDescent="0.25">
      <c r="A126" t="str">
        <f>'storage capacity'!A126</f>
        <v>Niger</v>
      </c>
      <c r="B126" t="str">
        <f>'storage capacity'!C126</f>
        <v>Sub-saharan africa</v>
      </c>
      <c r="C126" t="e" vm="307">
        <v>#VALUE!</v>
      </c>
      <c r="D126" t="e" vm="57">
        <v>#VALUE!</v>
      </c>
      <c r="E126" t="e" vm="58">
        <v>#VALUE!</v>
      </c>
    </row>
    <row r="127" spans="1:5" x14ac:dyDescent="0.25">
      <c r="A127" t="str">
        <f>'storage capacity'!A127</f>
        <v>Nigeria</v>
      </c>
      <c r="B127" t="str">
        <f>'storage capacity'!C127</f>
        <v>Sub-saharan africa</v>
      </c>
      <c r="C127" t="e" vm="308">
        <v>#VALUE!</v>
      </c>
      <c r="D127" vm="309">
        <v>9.0555555555555998</v>
      </c>
      <c r="E127" vm="310">
        <v>7.4913888888889</v>
      </c>
    </row>
    <row r="128" spans="1:5" x14ac:dyDescent="0.25">
      <c r="A128" t="str">
        <f>'storage capacity'!A128</f>
        <v>North Korea</v>
      </c>
      <c r="B128" t="str">
        <f>'storage capacity'!C128</f>
        <v>Other Asia pacific</v>
      </c>
      <c r="C128" t="e" vm="311">
        <v>#VALUE!</v>
      </c>
      <c r="D128" t="e" vm="57">
        <v>#VALUE!</v>
      </c>
      <c r="E128" t="e" vm="58">
        <v>#VALUE!</v>
      </c>
    </row>
    <row r="129" spans="1:5" x14ac:dyDescent="0.25">
      <c r="A129" t="str">
        <f>'storage capacity'!A129</f>
        <v>North Macedonia</v>
      </c>
      <c r="B129" t="str">
        <f>'storage capacity'!C129</f>
        <v>Other eurasia</v>
      </c>
      <c r="C129" t="e" vm="312">
        <v>#VALUE!</v>
      </c>
      <c r="D129" t="e" vm="57">
        <v>#VALUE!</v>
      </c>
      <c r="E129" t="e" vm="58">
        <v>#VALUE!</v>
      </c>
    </row>
    <row r="130" spans="1:5" x14ac:dyDescent="0.25">
      <c r="A130" t="str">
        <f>'storage capacity'!A130</f>
        <v>Norway</v>
      </c>
      <c r="B130" t="str">
        <f>'storage capacity'!C130</f>
        <v>Country specific</v>
      </c>
      <c r="C130" t="e" vm="313">
        <v>#VALUE!</v>
      </c>
      <c r="D130">
        <v>59.9133</v>
      </c>
      <c r="E130">
        <v>10.739000000000001</v>
      </c>
    </row>
    <row r="131" spans="1:5" x14ac:dyDescent="0.25">
      <c r="A131" t="str">
        <f>'storage capacity'!A131</f>
        <v>Oman</v>
      </c>
      <c r="B131" t="str">
        <f>'storage capacity'!C131</f>
        <v>Middle east</v>
      </c>
      <c r="C131" t="e" vm="314">
        <v>#VALUE!</v>
      </c>
      <c r="D131" vm="315">
        <v>23.613888888889001</v>
      </c>
      <c r="E131" vm="316">
        <v>58.592222222221999</v>
      </c>
    </row>
    <row r="132" spans="1:5" x14ac:dyDescent="0.25">
      <c r="A132" t="str">
        <f>'storage capacity'!A132</f>
        <v>Pakistan</v>
      </c>
      <c r="B132" t="str">
        <f>'storage capacity'!C132</f>
        <v>Country specific</v>
      </c>
      <c r="C132" t="e" vm="317">
        <v>#VALUE!</v>
      </c>
      <c r="D132" vm="31">
        <v>33.698888888889002</v>
      </c>
      <c r="E132" vm="32">
        <v>73.036944444444003</v>
      </c>
    </row>
    <row r="133" spans="1:5" x14ac:dyDescent="0.25">
      <c r="A133" t="str">
        <f>'storage capacity'!A133</f>
        <v>Palau</v>
      </c>
      <c r="B133" t="str">
        <f>'storage capacity'!C133</f>
        <v>Oceania</v>
      </c>
      <c r="C133" t="e" vm="318">
        <v>#VALUE!</v>
      </c>
      <c r="D133" vm="319">
        <v>7.5005559999999996</v>
      </c>
      <c r="E133" vm="320">
        <v>134.624167</v>
      </c>
    </row>
    <row r="134" spans="1:5" x14ac:dyDescent="0.25">
      <c r="A134" t="str">
        <f>'storage capacity'!A134</f>
        <v>Panama</v>
      </c>
      <c r="B134" t="str">
        <f>'storage capacity'!C134</f>
        <v>Other latin america</v>
      </c>
      <c r="C134" t="e" vm="321">
        <v>#VALUE!</v>
      </c>
      <c r="D134" vm="322">
        <v>9</v>
      </c>
      <c r="E134" vm="323">
        <v>-79.5</v>
      </c>
    </row>
    <row r="135" spans="1:5" x14ac:dyDescent="0.25">
      <c r="A135" t="str">
        <f>'storage capacity'!A135</f>
        <v>Papua New Guinea</v>
      </c>
      <c r="B135" t="str">
        <f>'storage capacity'!C135</f>
        <v>Other Asia pacific</v>
      </c>
      <c r="C135" t="e" vm="324">
        <v>#VALUE!</v>
      </c>
      <c r="D135" vm="325">
        <v>-9.4788888888888998</v>
      </c>
      <c r="E135" vm="326">
        <v>147.14944444444001</v>
      </c>
    </row>
    <row r="136" spans="1:5" x14ac:dyDescent="0.25">
      <c r="A136" t="str">
        <f>'storage capacity'!A136</f>
        <v>Paraguay</v>
      </c>
      <c r="B136" t="str">
        <f>'storage capacity'!C136</f>
        <v>Other latin america</v>
      </c>
      <c r="C136" t="e" vm="327">
        <v>#VALUE!</v>
      </c>
      <c r="D136" t="e" vm="57">
        <v>#VALUE!</v>
      </c>
      <c r="E136" t="e" vm="58">
        <v>#VALUE!</v>
      </c>
    </row>
    <row r="137" spans="1:5" x14ac:dyDescent="0.25">
      <c r="A137" t="str">
        <f>'storage capacity'!A137</f>
        <v>Peru</v>
      </c>
      <c r="B137" t="str">
        <f>'storage capacity'!C137</f>
        <v>Other latin america</v>
      </c>
      <c r="C137" t="e" vm="328">
        <v>#VALUE!</v>
      </c>
      <c r="D137" vm="329">
        <v>-12.06</v>
      </c>
      <c r="E137" vm="330">
        <v>-77.037499999999994</v>
      </c>
    </row>
    <row r="138" spans="1:5" x14ac:dyDescent="0.25">
      <c r="A138" t="str">
        <f>'storage capacity'!A138</f>
        <v>Philippines</v>
      </c>
      <c r="B138" t="str">
        <f>'storage capacity'!C138</f>
        <v>Other Asia pacific</v>
      </c>
      <c r="C138" t="e" vm="331">
        <v>#VALUE!</v>
      </c>
      <c r="D138" vm="332">
        <v>14.595833333333299</v>
      </c>
      <c r="E138" vm="333">
        <v>120.977222222222</v>
      </c>
    </row>
    <row r="139" spans="1:5" x14ac:dyDescent="0.25">
      <c r="A139" t="str">
        <f>'storage capacity'!A139</f>
        <v>Poland</v>
      </c>
      <c r="B139" t="str">
        <f>'storage capacity'!C139</f>
        <v>Country specific</v>
      </c>
      <c r="C139" t="e" vm="334">
        <v>#VALUE!</v>
      </c>
      <c r="D139" vm="33">
        <v>52.23</v>
      </c>
      <c r="E139" vm="34">
        <v>21.011111111111099</v>
      </c>
    </row>
    <row r="140" spans="1:5" x14ac:dyDescent="0.25">
      <c r="A140" t="str">
        <f>'storage capacity'!A140</f>
        <v>Portugal</v>
      </c>
      <c r="B140" t="str">
        <f>'storage capacity'!C140</f>
        <v>Country specific</v>
      </c>
      <c r="C140" t="e" vm="335">
        <v>#VALUE!</v>
      </c>
      <c r="D140">
        <v>38.707799999999999</v>
      </c>
      <c r="E140">
        <v>-9.1365999999999996</v>
      </c>
    </row>
    <row r="141" spans="1:5" x14ac:dyDescent="0.25">
      <c r="A141" t="str">
        <f>'storage capacity'!A141</f>
        <v>Qatar</v>
      </c>
      <c r="B141" t="str">
        <f>'storage capacity'!C141</f>
        <v>Middle east</v>
      </c>
      <c r="C141" t="e" vm="336">
        <v>#VALUE!</v>
      </c>
      <c r="D141" t="e" vm="57">
        <v>#VALUE!</v>
      </c>
      <c r="E141" t="e" vm="58">
        <v>#VALUE!</v>
      </c>
    </row>
    <row r="142" spans="1:5" x14ac:dyDescent="0.25">
      <c r="A142" t="str">
        <f>'storage capacity'!A142</f>
        <v>Romania</v>
      </c>
      <c r="B142" t="str">
        <f>'storage capacity'!C142</f>
        <v>Other eurasia</v>
      </c>
      <c r="C142" t="e" vm="337">
        <v>#VALUE!</v>
      </c>
      <c r="D142" t="e" vm="57">
        <v>#VALUE!</v>
      </c>
      <c r="E142" t="e" vm="58">
        <v>#VALUE!</v>
      </c>
    </row>
    <row r="143" spans="1:5" x14ac:dyDescent="0.25">
      <c r="A143" t="str">
        <f>'storage capacity'!A143</f>
        <v>Russia</v>
      </c>
      <c r="B143" t="str">
        <f>'storage capacity'!C143</f>
        <v>Country specific</v>
      </c>
      <c r="C143" t="e" vm="338">
        <v>#VALUE!</v>
      </c>
      <c r="D143">
        <v>55.625599999999999</v>
      </c>
      <c r="E143">
        <v>37.606400000000001</v>
      </c>
    </row>
    <row r="144" spans="1:5" x14ac:dyDescent="0.25">
      <c r="A144" t="str">
        <f>'storage capacity'!A144</f>
        <v>Rwanda</v>
      </c>
      <c r="B144" t="str">
        <f>'storage capacity'!C144</f>
        <v>Sub-saharan africa</v>
      </c>
      <c r="C144" t="e" vm="339">
        <v>#VALUE!</v>
      </c>
      <c r="D144" t="e" vm="57">
        <v>#VALUE!</v>
      </c>
      <c r="E144" t="e" vm="58">
        <v>#VALUE!</v>
      </c>
    </row>
    <row r="145" spans="1:5" x14ac:dyDescent="0.25">
      <c r="A145" t="str">
        <f>'storage capacity'!A145</f>
        <v>Saint Kitts &amp; Nevis</v>
      </c>
      <c r="B145" t="str">
        <f>'storage capacity'!C145</f>
        <v>Other latin america</v>
      </c>
      <c r="C145" t="e" vm="340">
        <v>#VALUE!</v>
      </c>
      <c r="D145" vm="341">
        <v>17.298333333333002</v>
      </c>
      <c r="E145" vm="342">
        <v>-62.734166666667001</v>
      </c>
    </row>
    <row r="146" spans="1:5" x14ac:dyDescent="0.25">
      <c r="A146" t="str">
        <f>'storage capacity'!A146</f>
        <v>Saint Lucia</v>
      </c>
      <c r="B146" t="str">
        <f>'storage capacity'!C146</f>
        <v>Other latin america</v>
      </c>
      <c r="C146" t="e" vm="343">
        <v>#VALUE!</v>
      </c>
      <c r="D146" vm="344">
        <v>14.016666666667</v>
      </c>
      <c r="E146" vm="345">
        <v>-60.983333333333</v>
      </c>
    </row>
    <row r="147" spans="1:5" x14ac:dyDescent="0.25">
      <c r="A147" t="str">
        <f>'storage capacity'!A147</f>
        <v>Samoa</v>
      </c>
      <c r="B147" t="str">
        <f>'storage capacity'!C147</f>
        <v>Oceania</v>
      </c>
      <c r="C147" t="e" vm="346">
        <v>#VALUE!</v>
      </c>
      <c r="D147" vm="347">
        <v>-13.833333333333</v>
      </c>
      <c r="E147" vm="348">
        <v>-171.83333333332999</v>
      </c>
    </row>
    <row r="148" spans="1:5" x14ac:dyDescent="0.25">
      <c r="A148" t="str">
        <f>'storage capacity'!A148</f>
        <v>San Marino</v>
      </c>
      <c r="B148" t="str">
        <f>'storage capacity'!C148</f>
        <v>Other eurasia</v>
      </c>
      <c r="C148" t="e" vm="349">
        <v>#VALUE!</v>
      </c>
      <c r="D148" t="e" vm="57">
        <v>#VALUE!</v>
      </c>
      <c r="E148" t="e" vm="58">
        <v>#VALUE!</v>
      </c>
    </row>
    <row r="149" spans="1:5" x14ac:dyDescent="0.25">
      <c r="A149" t="str">
        <f>'storage capacity'!A149</f>
        <v>Sao Tome &amp; Principe</v>
      </c>
      <c r="B149" t="str">
        <f>'storage capacity'!C149</f>
        <v>Sub-saharan africa</v>
      </c>
      <c r="C149" t="e" vm="350">
        <v>#VALUE!</v>
      </c>
      <c r="D149" vm="351">
        <v>0.33333333333332998</v>
      </c>
      <c r="E149" vm="352">
        <v>6.7333333333332996</v>
      </c>
    </row>
    <row r="150" spans="1:5" x14ac:dyDescent="0.25">
      <c r="A150" t="str">
        <f>'storage capacity'!A150</f>
        <v>Saudi Arabia</v>
      </c>
      <c r="B150" t="str">
        <f>'storage capacity'!C150</f>
        <v>Country specific</v>
      </c>
      <c r="C150" t="e" vm="353">
        <v>#VALUE!</v>
      </c>
      <c r="D150" vm="35">
        <v>24.65</v>
      </c>
      <c r="E150" vm="36">
        <v>46.71</v>
      </c>
    </row>
    <row r="151" spans="1:5" x14ac:dyDescent="0.25">
      <c r="A151" t="str">
        <f>'storage capacity'!A151</f>
        <v>Senegal</v>
      </c>
      <c r="B151" t="str">
        <f>'storage capacity'!C151</f>
        <v>Sub-saharan africa</v>
      </c>
      <c r="C151" t="e" vm="354">
        <v>#VALUE!</v>
      </c>
      <c r="D151" vm="355">
        <v>14.731944444444</v>
      </c>
      <c r="E151" vm="356">
        <v>-17.457222222222001</v>
      </c>
    </row>
    <row r="152" spans="1:5" x14ac:dyDescent="0.25">
      <c r="A152" t="str">
        <f>'storage capacity'!A152</f>
        <v>Serbia</v>
      </c>
      <c r="B152" t="str">
        <f>'storage capacity'!C152</f>
        <v>Other eurasia</v>
      </c>
      <c r="C152" t="e" vm="357">
        <v>#VALUE!</v>
      </c>
      <c r="D152" t="e" vm="57">
        <v>#VALUE!</v>
      </c>
      <c r="E152" t="e" vm="58">
        <v>#VALUE!</v>
      </c>
    </row>
    <row r="153" spans="1:5" x14ac:dyDescent="0.25">
      <c r="A153" t="str">
        <f>'storage capacity'!A153</f>
        <v>Seychelles</v>
      </c>
      <c r="B153" t="str">
        <f>'storage capacity'!C153</f>
        <v>Sub-saharan africa</v>
      </c>
      <c r="C153" t="e" vm="358">
        <v>#VALUE!</v>
      </c>
      <c r="D153" vm="359">
        <v>-4.6236111111111002</v>
      </c>
      <c r="E153" vm="360">
        <v>55.454444444444</v>
      </c>
    </row>
    <row r="154" spans="1:5" x14ac:dyDescent="0.25">
      <c r="A154" t="str">
        <f>'storage capacity'!A154</f>
        <v>Sierra Leone</v>
      </c>
      <c r="B154" t="str">
        <f>'storage capacity'!C154</f>
        <v>Sub-saharan africa</v>
      </c>
      <c r="C154" t="e" vm="361">
        <v>#VALUE!</v>
      </c>
      <c r="D154" vm="362">
        <v>8.4833333333333005</v>
      </c>
      <c r="E154" vm="363">
        <v>-13.233055555556</v>
      </c>
    </row>
    <row r="155" spans="1:5" x14ac:dyDescent="0.25">
      <c r="A155" t="str">
        <f>'storage capacity'!A155</f>
        <v>Singapore</v>
      </c>
      <c r="B155" t="str">
        <f>'storage capacity'!C155</f>
        <v>Other Asia pacific</v>
      </c>
      <c r="C155" t="e" vm="229">
        <v>#VALUE!</v>
      </c>
      <c r="D155">
        <v>1.3571</v>
      </c>
      <c r="E155">
        <v>103.81950000000001</v>
      </c>
    </row>
    <row r="156" spans="1:5" x14ac:dyDescent="0.25">
      <c r="A156" t="str">
        <f>'storage capacity'!A156</f>
        <v>Slovakia</v>
      </c>
      <c r="B156" t="str">
        <f>'storage capacity'!C156</f>
        <v>Other eurasia</v>
      </c>
      <c r="C156" t="e" vm="364">
        <v>#VALUE!</v>
      </c>
      <c r="D156" vm="365">
        <v>48.144722222222001</v>
      </c>
      <c r="E156" vm="366">
        <v>17.112777777778</v>
      </c>
    </row>
    <row r="157" spans="1:5" x14ac:dyDescent="0.25">
      <c r="A157" t="str">
        <f>'storage capacity'!A157</f>
        <v>Slovenia</v>
      </c>
      <c r="B157" t="str">
        <f>'storage capacity'!C157</f>
        <v>Other eurasia</v>
      </c>
      <c r="C157" t="e" vm="367">
        <v>#VALUE!</v>
      </c>
      <c r="D157" vm="368">
        <v>46.051388888888901</v>
      </c>
      <c r="E157" vm="369">
        <v>14.5061111111111</v>
      </c>
    </row>
    <row r="158" spans="1:5" x14ac:dyDescent="0.25">
      <c r="A158" t="str">
        <f>'storage capacity'!A158</f>
        <v>Solomon Islands</v>
      </c>
      <c r="B158" t="str">
        <f>'storage capacity'!C158</f>
        <v>Oceania</v>
      </c>
      <c r="C158" t="e" vm="370">
        <v>#VALUE!</v>
      </c>
      <c r="D158" t="e" vm="57">
        <v>#VALUE!</v>
      </c>
      <c r="E158" t="e" vm="58">
        <v>#VALUE!</v>
      </c>
    </row>
    <row r="159" spans="1:5" x14ac:dyDescent="0.25">
      <c r="A159" t="str">
        <f>'storage capacity'!A159</f>
        <v>Somalia</v>
      </c>
      <c r="B159" t="str">
        <f>'storage capacity'!C159</f>
        <v>Sub-saharan africa</v>
      </c>
      <c r="C159" t="e" vm="371">
        <v>#VALUE!</v>
      </c>
      <c r="D159" vm="372">
        <v>2.0391666666666701</v>
      </c>
      <c r="E159" vm="373">
        <v>45.341944444444401</v>
      </c>
    </row>
    <row r="160" spans="1:5" x14ac:dyDescent="0.25">
      <c r="A160" t="str">
        <f>'storage capacity'!A160</f>
        <v>South Africa</v>
      </c>
      <c r="B160" t="str">
        <f>'storage capacity'!C160</f>
        <v>Country specific</v>
      </c>
      <c r="C160" t="e" vm="374">
        <v>#VALUE!</v>
      </c>
      <c r="D160" vm="37">
        <v>-25.746388888889001</v>
      </c>
      <c r="E160" vm="38">
        <v>28.188055555556002</v>
      </c>
    </row>
    <row r="161" spans="1:5" x14ac:dyDescent="0.25">
      <c r="A161" t="str">
        <f>'storage capacity'!A161</f>
        <v>South Korea</v>
      </c>
      <c r="B161" t="str">
        <f>'storage capacity'!C161</f>
        <v>Country specific</v>
      </c>
      <c r="C161" t="e" vm="375">
        <v>#VALUE!</v>
      </c>
      <c r="D161">
        <v>37.566699999999997</v>
      </c>
      <c r="E161">
        <v>126.9783</v>
      </c>
    </row>
    <row r="162" spans="1:5" x14ac:dyDescent="0.25">
      <c r="A162" t="str">
        <f>'storage capacity'!A162</f>
        <v>South Sudan</v>
      </c>
      <c r="B162" t="str">
        <f>'storage capacity'!C162</f>
        <v>Sub-saharan africa</v>
      </c>
      <c r="C162" t="e" vm="376">
        <v>#VALUE!</v>
      </c>
      <c r="D162" vm="377">
        <v>4.8499999999999996</v>
      </c>
      <c r="E162" vm="378">
        <v>31.6</v>
      </c>
    </row>
    <row r="163" spans="1:5" x14ac:dyDescent="0.25">
      <c r="A163" t="str">
        <f>'storage capacity'!A163</f>
        <v>Spain</v>
      </c>
      <c r="B163" t="str">
        <f>'storage capacity'!C163</f>
        <v>Country specific</v>
      </c>
      <c r="C163" t="e" vm="379">
        <v>#VALUE!</v>
      </c>
      <c r="D163" vm="39">
        <v>40.416944444444397</v>
      </c>
      <c r="E163" vm="40">
        <v>-3.70333333333333</v>
      </c>
    </row>
    <row r="164" spans="1:5" x14ac:dyDescent="0.25">
      <c r="A164" t="str">
        <f>'storage capacity'!A164</f>
        <v>Sri Lanka</v>
      </c>
      <c r="B164" t="str">
        <f>'storage capacity'!C164</f>
        <v>Other Asia pacific</v>
      </c>
      <c r="C164" t="e" vm="380">
        <v>#VALUE!</v>
      </c>
      <c r="D164" vm="381">
        <v>6.9166666666666998</v>
      </c>
      <c r="E164" vm="382">
        <v>79.833333333333002</v>
      </c>
    </row>
    <row r="165" spans="1:5" x14ac:dyDescent="0.25">
      <c r="A165" t="str">
        <f>'storage capacity'!A165</f>
        <v>St. Vincent &amp; Grenadines</v>
      </c>
      <c r="B165" t="str">
        <f>'storage capacity'!C165</f>
        <v>Other latin america</v>
      </c>
      <c r="C165" t="e" vm="383">
        <v>#VALUE!</v>
      </c>
      <c r="D165" vm="384">
        <v>13.166666666667</v>
      </c>
      <c r="E165" vm="385">
        <v>-61.233333333333</v>
      </c>
    </row>
    <row r="166" spans="1:5" x14ac:dyDescent="0.25">
      <c r="A166" t="str">
        <f>'storage capacity'!A166</f>
        <v>State of Palestine</v>
      </c>
      <c r="B166" t="str">
        <f>'storage capacity'!C166</f>
        <v>Middle east</v>
      </c>
      <c r="C166" t="e" vm="386">
        <v>#VALUE!</v>
      </c>
      <c r="D166" vm="387">
        <v>31.896944444443999</v>
      </c>
      <c r="E166" vm="388">
        <v>35.201666666667002</v>
      </c>
    </row>
    <row r="167" spans="1:5" x14ac:dyDescent="0.25">
      <c r="A167" t="str">
        <f>'storage capacity'!A167</f>
        <v>Sudan</v>
      </c>
      <c r="B167" t="str">
        <f>'storage capacity'!C167</f>
        <v>Middle east</v>
      </c>
      <c r="C167" t="e" vm="389">
        <v>#VALUE!</v>
      </c>
      <c r="D167" vm="390">
        <v>15.60308</v>
      </c>
      <c r="E167" vm="391">
        <v>32.526539999999997</v>
      </c>
    </row>
    <row r="168" spans="1:5" x14ac:dyDescent="0.25">
      <c r="A168" t="str">
        <f>'storage capacity'!A168</f>
        <v>Suriname</v>
      </c>
      <c r="B168" t="str">
        <f>'storage capacity'!C168</f>
        <v>Other latin america</v>
      </c>
      <c r="C168" t="e" vm="392">
        <v>#VALUE!</v>
      </c>
      <c r="D168" vm="393">
        <v>5.8666666666667</v>
      </c>
      <c r="E168" vm="394">
        <v>-55.166666666666998</v>
      </c>
    </row>
    <row r="169" spans="1:5" x14ac:dyDescent="0.25">
      <c r="A169" t="str">
        <f>'storage capacity'!A169</f>
        <v>Sweden</v>
      </c>
      <c r="B169" t="str">
        <f>'storage capacity'!C169</f>
        <v>Country specific</v>
      </c>
      <c r="C169" t="e" vm="395">
        <v>#VALUE!</v>
      </c>
      <c r="D169" vm="41">
        <v>59.329444444444</v>
      </c>
      <c r="E169" vm="42">
        <v>18.068611111111</v>
      </c>
    </row>
    <row r="170" spans="1:5" x14ac:dyDescent="0.25">
      <c r="A170" t="str">
        <f>'storage capacity'!A170</f>
        <v>Switzerland</v>
      </c>
      <c r="B170" t="str">
        <f>'storage capacity'!C170</f>
        <v>Country specific</v>
      </c>
      <c r="C170" t="e" vm="396">
        <v>#VALUE!</v>
      </c>
      <c r="D170" vm="43">
        <v>46.947980000000001</v>
      </c>
      <c r="E170" vm="44">
        <v>7.4474299999999998</v>
      </c>
    </row>
    <row r="171" spans="1:5" x14ac:dyDescent="0.25">
      <c r="A171" t="str">
        <f>'storage capacity'!A171</f>
        <v>Syria</v>
      </c>
      <c r="B171" t="str">
        <f>'storage capacity'!C171</f>
        <v>Middle east</v>
      </c>
      <c r="C171" t="e" vm="397">
        <v>#VALUE!</v>
      </c>
      <c r="D171" vm="398">
        <v>33.513055555556001</v>
      </c>
      <c r="E171" vm="399">
        <v>36.291944444443999</v>
      </c>
    </row>
    <row r="172" spans="1:5" x14ac:dyDescent="0.25">
      <c r="A172" t="str">
        <f>'storage capacity'!A172</f>
        <v>Tajikistan</v>
      </c>
      <c r="B172" t="str">
        <f>'storage capacity'!C172</f>
        <v>Other eurasia</v>
      </c>
      <c r="C172" t="e" vm="400">
        <v>#VALUE!</v>
      </c>
      <c r="D172" t="e" vm="57">
        <v>#VALUE!</v>
      </c>
      <c r="E172" t="e" vm="58">
        <v>#VALUE!</v>
      </c>
    </row>
    <row r="173" spans="1:5" x14ac:dyDescent="0.25">
      <c r="A173" t="str">
        <f>'storage capacity'!A173</f>
        <v>Tanzania</v>
      </c>
      <c r="B173" t="str">
        <f>'storage capacity'!C173</f>
        <v>Sub-saharan africa</v>
      </c>
      <c r="C173" t="e" vm="401">
        <v>#VALUE!</v>
      </c>
      <c r="D173" vm="402">
        <v>-6.1835000000000004</v>
      </c>
      <c r="E173" vm="403">
        <v>35.746000000000002</v>
      </c>
    </row>
    <row r="174" spans="1:5" x14ac:dyDescent="0.25">
      <c r="A174" t="str">
        <f>'storage capacity'!A174</f>
        <v>Thailand</v>
      </c>
      <c r="B174" t="str">
        <f>'storage capacity'!C174</f>
        <v>Other Asia pacific</v>
      </c>
      <c r="C174" t="e" vm="404">
        <v>#VALUE!</v>
      </c>
      <c r="D174">
        <v>13.7525</v>
      </c>
      <c r="E174">
        <v>100.4935</v>
      </c>
    </row>
    <row r="175" spans="1:5" x14ac:dyDescent="0.25">
      <c r="A175" t="str">
        <f>'storage capacity'!A175</f>
        <v>Timor-Leste</v>
      </c>
      <c r="B175" t="str">
        <f>'storage capacity'!C175</f>
        <v>Other Asia pacific</v>
      </c>
      <c r="C175" t="e" vm="405">
        <v>#VALUE!</v>
      </c>
      <c r="D175" vm="406">
        <v>-8.5536111111111097</v>
      </c>
      <c r="E175" vm="407">
        <v>125.57833333333301</v>
      </c>
    </row>
    <row r="176" spans="1:5" x14ac:dyDescent="0.25">
      <c r="A176" t="str">
        <f>'storage capacity'!A176</f>
        <v>Togo</v>
      </c>
      <c r="B176" t="str">
        <f>'storage capacity'!C176</f>
        <v>Sub-saharan africa</v>
      </c>
      <c r="C176" t="e" vm="408">
        <v>#VALUE!</v>
      </c>
      <c r="D176" vm="409">
        <v>6.1319444444444002</v>
      </c>
      <c r="E176" vm="410">
        <v>1.2227777777777999</v>
      </c>
    </row>
    <row r="177" spans="1:5" x14ac:dyDescent="0.25">
      <c r="A177" t="str">
        <f>'storage capacity'!A177</f>
        <v>Tonga</v>
      </c>
      <c r="B177" t="str">
        <f>'storage capacity'!C177</f>
        <v>Oceania</v>
      </c>
      <c r="C177" t="e" vm="411">
        <v>#VALUE!</v>
      </c>
      <c r="D177" vm="412">
        <v>-21.134722222221999</v>
      </c>
      <c r="E177" vm="413">
        <v>-175.20833333332999</v>
      </c>
    </row>
    <row r="178" spans="1:5" x14ac:dyDescent="0.25">
      <c r="A178" t="str">
        <f>'storage capacity'!A178</f>
        <v>Trinidad &amp; Tobago</v>
      </c>
      <c r="B178" t="str">
        <f>'storage capacity'!C178</f>
        <v>Other latin america</v>
      </c>
      <c r="C178" t="e" vm="414">
        <v>#VALUE!</v>
      </c>
      <c r="D178" t="e" vm="57">
        <v>#VALUE!</v>
      </c>
      <c r="E178" t="e" vm="58">
        <v>#VALUE!</v>
      </c>
    </row>
    <row r="179" spans="1:5" x14ac:dyDescent="0.25">
      <c r="A179" t="str">
        <f>'storage capacity'!A179</f>
        <v>Tunisia</v>
      </c>
      <c r="B179" t="str">
        <f>'storage capacity'!C179</f>
        <v>Middle east</v>
      </c>
      <c r="C179" t="e" vm="415">
        <v>#VALUE!</v>
      </c>
      <c r="D179" vm="416">
        <v>36.800833333333003</v>
      </c>
      <c r="E179" vm="417">
        <v>10.18</v>
      </c>
    </row>
    <row r="180" spans="1:5" x14ac:dyDescent="0.25">
      <c r="A180" t="str">
        <f>'storage capacity'!A180</f>
        <v>Turkey</v>
      </c>
      <c r="B180" t="str">
        <f>'storage capacity'!C180</f>
        <v>Other eurasia</v>
      </c>
      <c r="C180" t="e" vm="418">
        <v>#VALUE!</v>
      </c>
      <c r="D180" vm="419">
        <v>39.935760000000002</v>
      </c>
      <c r="E180" vm="420">
        <v>32.83869</v>
      </c>
    </row>
    <row r="181" spans="1:5" x14ac:dyDescent="0.25">
      <c r="A181" t="str">
        <f>'storage capacity'!A181</f>
        <v>Turkmenistan</v>
      </c>
      <c r="B181" t="str">
        <f>'storage capacity'!C181</f>
        <v>Other eurasia</v>
      </c>
      <c r="C181" t="e" vm="421">
        <v>#VALUE!</v>
      </c>
      <c r="D181" t="e" vm="57">
        <v>#VALUE!</v>
      </c>
      <c r="E181" t="e" vm="58">
        <v>#VALUE!</v>
      </c>
    </row>
    <row r="182" spans="1:5" x14ac:dyDescent="0.25">
      <c r="A182" t="str">
        <f>'storage capacity'!A182</f>
        <v>Tuvalu</v>
      </c>
      <c r="B182" t="str">
        <f>'storage capacity'!C182</f>
        <v>Oceania</v>
      </c>
      <c r="C182" t="e" vm="422">
        <v>#VALUE!</v>
      </c>
      <c r="D182" t="e" vm="57">
        <v>#VALUE!</v>
      </c>
      <c r="E182" t="e" vm="58">
        <v>#VALUE!</v>
      </c>
    </row>
    <row r="183" spans="1:5" x14ac:dyDescent="0.25">
      <c r="A183" t="str">
        <f>'storage capacity'!A183</f>
        <v>Uganda</v>
      </c>
      <c r="B183" t="str">
        <f>'storage capacity'!C183</f>
        <v>Sub-saharan africa</v>
      </c>
      <c r="C183" t="e" vm="423">
        <v>#VALUE!</v>
      </c>
      <c r="D183" t="e" vm="57">
        <v>#VALUE!</v>
      </c>
      <c r="E183" t="e" vm="58">
        <v>#VALUE!</v>
      </c>
    </row>
    <row r="184" spans="1:5" x14ac:dyDescent="0.25">
      <c r="A184" t="str">
        <f>'storage capacity'!A184</f>
        <v>Ukraine</v>
      </c>
      <c r="B184" t="str">
        <f>'storage capacity'!C184</f>
        <v>Other eurasia</v>
      </c>
      <c r="C184" t="e" vm="424">
        <v>#VALUE!</v>
      </c>
      <c r="D184" t="e" vm="57">
        <v>#VALUE!</v>
      </c>
      <c r="E184" t="e" vm="58">
        <v>#VALUE!</v>
      </c>
    </row>
    <row r="185" spans="1:5" x14ac:dyDescent="0.25">
      <c r="A185" t="str">
        <f>'storage capacity'!A185</f>
        <v>United Arab Emirates</v>
      </c>
      <c r="B185" t="str">
        <f>'storage capacity'!C185</f>
        <v>Middle east</v>
      </c>
      <c r="C185" t="e" vm="425">
        <v>#VALUE!</v>
      </c>
      <c r="D185" vm="426">
        <v>24.4511111111111</v>
      </c>
      <c r="E185" vm="427">
        <v>54.396944444444401</v>
      </c>
    </row>
    <row r="186" spans="1:5" x14ac:dyDescent="0.25">
      <c r="A186" t="str">
        <f>'storage capacity'!A186</f>
        <v>United Kingdom</v>
      </c>
      <c r="B186" t="str">
        <f>'storage capacity'!C186</f>
        <v>Country specific</v>
      </c>
      <c r="C186" t="e" vm="428">
        <v>#VALUE!</v>
      </c>
      <c r="D186" vm="45">
        <v>51.507222222221998</v>
      </c>
      <c r="E186" vm="46">
        <v>-0.1275</v>
      </c>
    </row>
    <row r="187" spans="1:5" x14ac:dyDescent="0.25">
      <c r="A187" t="str">
        <f>'storage capacity'!A187</f>
        <v>United States</v>
      </c>
      <c r="B187" t="str">
        <f>'storage capacity'!C187</f>
        <v>Country specific</v>
      </c>
      <c r="C187" t="e" vm="429">
        <v>#VALUE!</v>
      </c>
      <c r="D187">
        <v>38.895000000000003</v>
      </c>
      <c r="E187">
        <v>-77.036500000000004</v>
      </c>
    </row>
    <row r="188" spans="1:5" x14ac:dyDescent="0.25">
      <c r="A188" t="str">
        <f>'storage capacity'!A188</f>
        <v>Uruguay</v>
      </c>
      <c r="B188" t="str">
        <f>'storage capacity'!C188</f>
        <v>Other latin america</v>
      </c>
      <c r="C188" t="e" vm="430">
        <v>#VALUE!</v>
      </c>
      <c r="D188" vm="431">
        <v>-34.866666666666703</v>
      </c>
      <c r="E188" vm="432">
        <v>-56.1666666666667</v>
      </c>
    </row>
    <row r="189" spans="1:5" x14ac:dyDescent="0.25">
      <c r="A189" t="str">
        <f>'storage capacity'!A189</f>
        <v>Uzbekistan</v>
      </c>
      <c r="B189" t="str">
        <f>'storage capacity'!C189</f>
        <v>Other eurasia</v>
      </c>
      <c r="C189" t="e" vm="433">
        <v>#VALUE!</v>
      </c>
      <c r="D189" t="e" vm="57">
        <v>#VALUE!</v>
      </c>
      <c r="E189" t="e" vm="58">
        <v>#VALUE!</v>
      </c>
    </row>
    <row r="190" spans="1:5" x14ac:dyDescent="0.25">
      <c r="A190" t="str">
        <f>'storage capacity'!A190</f>
        <v>Vanuatu</v>
      </c>
      <c r="B190" t="str">
        <f>'storage capacity'!C190</f>
        <v>Oceania</v>
      </c>
      <c r="C190" t="e" vm="434">
        <v>#VALUE!</v>
      </c>
      <c r="D190" vm="435">
        <v>-17.733329999999999</v>
      </c>
      <c r="E190" vm="436">
        <v>168.316667</v>
      </c>
    </row>
    <row r="191" spans="1:5" x14ac:dyDescent="0.25">
      <c r="A191" t="str">
        <f>'storage capacity'!A191</f>
        <v>Venezuela</v>
      </c>
      <c r="B191" t="str">
        <f>'storage capacity'!C191</f>
        <v>Other latin america</v>
      </c>
      <c r="C191" t="e" vm="437">
        <v>#VALUE!</v>
      </c>
      <c r="D191" vm="438">
        <v>10.5</v>
      </c>
      <c r="E191" vm="439">
        <v>-66.933333333332996</v>
      </c>
    </row>
    <row r="192" spans="1:5" x14ac:dyDescent="0.25">
      <c r="A192" t="str">
        <f>'storage capacity'!A192</f>
        <v>Vietnam</v>
      </c>
      <c r="B192" t="str">
        <f>'storage capacity'!C192</f>
        <v>Other Asia pacific</v>
      </c>
      <c r="C192" t="e" vm="440">
        <v>#VALUE!</v>
      </c>
      <c r="D192">
        <v>21.028300000000002</v>
      </c>
      <c r="E192">
        <v>105.854</v>
      </c>
    </row>
    <row r="193" spans="1:5" x14ac:dyDescent="0.25">
      <c r="A193" t="str">
        <f>'storage capacity'!A193</f>
        <v>Yemen</v>
      </c>
      <c r="B193" t="str">
        <f>'storage capacity'!C193</f>
        <v>Middle east</v>
      </c>
      <c r="C193" t="e" vm="441">
        <v>#VALUE!</v>
      </c>
      <c r="D193" t="e" vm="57">
        <v>#VALUE!</v>
      </c>
      <c r="E193" t="e" vm="58">
        <v>#VALUE!</v>
      </c>
    </row>
    <row r="194" spans="1:5" x14ac:dyDescent="0.25">
      <c r="A194" t="str">
        <f>'storage capacity'!A194</f>
        <v>Zambia</v>
      </c>
      <c r="B194" t="str">
        <f>'storage capacity'!C194</f>
        <v>Sub-saharan africa</v>
      </c>
      <c r="C194" t="e" vm="442">
        <v>#VALUE!</v>
      </c>
      <c r="D194" vm="443">
        <v>-15.416666666667</v>
      </c>
      <c r="E194" vm="444">
        <v>28.283333333333001</v>
      </c>
    </row>
    <row r="195" spans="1:5" x14ac:dyDescent="0.25">
      <c r="A195" t="str">
        <f>'storage capacity'!A195</f>
        <v>Zimbabwe</v>
      </c>
      <c r="B195" t="str">
        <f>'storage capacity'!C195</f>
        <v>Sub-saharan africa</v>
      </c>
      <c r="C195" t="e" vm="445">
        <v>#VALUE!</v>
      </c>
      <c r="D195" vm="446">
        <v>-17.829166666667</v>
      </c>
      <c r="E195" vm="447">
        <v>31.052222222221999</v>
      </c>
    </row>
  </sheetData>
  <autoFilter ref="A1:E195" xr:uid="{42F444E5-ABDA-42E8-B8E7-4F76CE4092B2}"/>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6A67D3-CF1F-4F18-AE93-1C4CA5E409E0}">
  <dimension ref="A1:X196"/>
  <sheetViews>
    <sheetView tabSelected="1" workbookViewId="0">
      <selection activeCell="C4" sqref="C4"/>
    </sheetView>
  </sheetViews>
  <sheetFormatPr defaultRowHeight="15" x14ac:dyDescent="0.25"/>
  <cols>
    <col min="1" max="2" width="18.28515625" customWidth="1"/>
    <col min="3" max="4" width="22.42578125" bestFit="1" customWidth="1"/>
    <col min="5" max="5" width="13.28515625" bestFit="1" customWidth="1"/>
    <col min="6" max="6" width="13.28515625" customWidth="1"/>
    <col min="8" max="8" width="18.28515625" bestFit="1" customWidth="1"/>
    <col min="22" max="22" width="21.5703125" customWidth="1"/>
  </cols>
  <sheetData>
    <row r="1" spans="1:24" x14ac:dyDescent="0.25">
      <c r="C1" t="s">
        <v>218</v>
      </c>
      <c r="D1" t="s">
        <v>219</v>
      </c>
      <c r="E1" t="s">
        <v>220</v>
      </c>
      <c r="I1" t="s">
        <v>218</v>
      </c>
      <c r="J1" t="s">
        <v>219</v>
      </c>
      <c r="W1" t="s">
        <v>219</v>
      </c>
      <c r="X1" t="s">
        <v>220</v>
      </c>
    </row>
    <row r="2" spans="1:24" x14ac:dyDescent="0.25">
      <c r="A2" s="3" t="s">
        <v>0</v>
      </c>
      <c r="B2" s="3" t="str">
        <f>VLOOKUP(A2,'storage capacity'!$A$2:$C$195,3,FALSE)</f>
        <v>Middle east</v>
      </c>
      <c r="C2">
        <v>0</v>
      </c>
      <c r="D2">
        <f>VLOOKUP(A2,$V$2:$X$196,2,FALSE)</f>
        <v>0</v>
      </c>
      <c r="E2">
        <f>VLOOKUP(A2,$V$2:$X$196,3,FALSE)</f>
        <v>0</v>
      </c>
      <c r="H2" t="s">
        <v>208</v>
      </c>
      <c r="I2" s="8">
        <f>AVERAGEIF($B$2:$B$196,H2,$C$2:$C$196)</f>
        <v>0</v>
      </c>
      <c r="J2" s="8">
        <f>ROUND(AVERAGEIF($B$2:$B$196,H2,$D$2:$D$196),0)</f>
        <v>2</v>
      </c>
      <c r="K2">
        <f>ROUND(AVERAGEIF($B$2:$B$196,H2,$E$2:$E$196),0)</f>
        <v>0</v>
      </c>
      <c r="V2" s="3" t="s">
        <v>0</v>
      </c>
      <c r="W2">
        <v>0</v>
      </c>
      <c r="X2">
        <v>0</v>
      </c>
    </row>
    <row r="3" spans="1:24" x14ac:dyDescent="0.25">
      <c r="A3" s="3" t="s">
        <v>2</v>
      </c>
      <c r="B3" s="3" t="str">
        <f>VLOOKUP(A3,'storage capacity'!$A$2:$C$195,3,FALSE)</f>
        <v>Other eurasia</v>
      </c>
      <c r="C3">
        <v>0</v>
      </c>
      <c r="D3">
        <f t="shared" ref="D3:D66" si="0">VLOOKUP(A3,$V$2:$W$196,2,FALSE)</f>
        <v>2</v>
      </c>
      <c r="E3">
        <f t="shared" ref="E3:E66" si="1">VLOOKUP(A3,$V$2:$X$196,3,FALSE)</f>
        <v>0</v>
      </c>
      <c r="H3" t="s">
        <v>203</v>
      </c>
      <c r="I3" s="8">
        <f t="shared" ref="I3:I6" si="2">AVERAGEIF($B$2:$B$196,H3,$C$2:$C$196)</f>
        <v>5.6530555555555555</v>
      </c>
      <c r="J3" s="8">
        <f t="shared" ref="J3:J6" si="3">ROUND(AVERAGEIF($B$2:$B$196,H3,$D$2:$D$196),0)</f>
        <v>3</v>
      </c>
      <c r="K3">
        <f t="shared" ref="K3:K6" si="4">ROUND(AVERAGEIF($B$2:$B$196,H3,$E$2:$E$196),0)</f>
        <v>7</v>
      </c>
      <c r="V3" s="3" t="s">
        <v>2</v>
      </c>
      <c r="W3">
        <v>2</v>
      </c>
      <c r="X3">
        <v>0</v>
      </c>
    </row>
    <row r="4" spans="1:24" x14ac:dyDescent="0.25">
      <c r="A4" s="3" t="s">
        <v>4</v>
      </c>
      <c r="B4" s="3" t="str">
        <f>VLOOKUP(A4,'storage capacity'!$A$2:$C$195,3,FALSE)</f>
        <v>Middle east</v>
      </c>
      <c r="C4">
        <v>0</v>
      </c>
      <c r="D4">
        <f t="shared" si="0"/>
        <v>4</v>
      </c>
      <c r="E4">
        <f t="shared" si="1"/>
        <v>0</v>
      </c>
      <c r="H4" t="s">
        <v>210</v>
      </c>
      <c r="I4" s="8">
        <f t="shared" si="2"/>
        <v>6.3871428571428561</v>
      </c>
      <c r="J4" s="8">
        <f t="shared" si="3"/>
        <v>2</v>
      </c>
      <c r="K4">
        <f t="shared" si="4"/>
        <v>0</v>
      </c>
      <c r="V4" s="3" t="s">
        <v>4</v>
      </c>
      <c r="W4">
        <v>4</v>
      </c>
      <c r="X4">
        <v>0</v>
      </c>
    </row>
    <row r="5" spans="1:24" x14ac:dyDescent="0.25">
      <c r="A5" s="3" t="s">
        <v>6</v>
      </c>
      <c r="B5" s="3" t="str">
        <f>VLOOKUP(A5,'storage capacity'!$A$2:$C$195,3,FALSE)</f>
        <v>Other eurasia</v>
      </c>
      <c r="C5">
        <v>0</v>
      </c>
      <c r="D5">
        <f t="shared" si="0"/>
        <v>1</v>
      </c>
      <c r="E5">
        <f t="shared" si="1"/>
        <v>0</v>
      </c>
      <c r="H5" t="s">
        <v>204</v>
      </c>
      <c r="I5" s="8">
        <f t="shared" si="2"/>
        <v>0</v>
      </c>
      <c r="J5" s="8">
        <f t="shared" si="3"/>
        <v>2</v>
      </c>
      <c r="K5">
        <f t="shared" si="4"/>
        <v>0</v>
      </c>
      <c r="V5" s="3" t="s">
        <v>6</v>
      </c>
      <c r="W5">
        <v>1</v>
      </c>
      <c r="X5">
        <v>0</v>
      </c>
    </row>
    <row r="6" spans="1:24" x14ac:dyDescent="0.25">
      <c r="A6" s="3" t="s">
        <v>7</v>
      </c>
      <c r="B6" s="3" t="str">
        <f>VLOOKUP(A6,'storage capacity'!$A$2:$C$195,3,FALSE)</f>
        <v>Sub-saharan africa</v>
      </c>
      <c r="C6">
        <v>0</v>
      </c>
      <c r="D6">
        <f t="shared" si="0"/>
        <v>3</v>
      </c>
      <c r="E6">
        <f t="shared" si="1"/>
        <v>0</v>
      </c>
      <c r="H6" t="s">
        <v>205</v>
      </c>
      <c r="I6" s="8">
        <f t="shared" si="2"/>
        <v>0.97210526315789469</v>
      </c>
      <c r="J6" s="8">
        <f>ROUND(AVERAGEIF($B$2:$B$196,H6,$D$2:$D$196),0)</f>
        <v>2</v>
      </c>
      <c r="K6">
        <f t="shared" si="4"/>
        <v>0</v>
      </c>
      <c r="V6" s="3" t="s">
        <v>7</v>
      </c>
      <c r="W6">
        <v>3</v>
      </c>
      <c r="X6">
        <v>0</v>
      </c>
    </row>
    <row r="7" spans="1:24" x14ac:dyDescent="0.25">
      <c r="A7" s="3" t="s">
        <v>8</v>
      </c>
      <c r="B7" s="3" t="str">
        <f>VLOOKUP(A7,'storage capacity'!$A$2:$C$195,3,FALSE)</f>
        <v>Other latin america</v>
      </c>
      <c r="C7">
        <v>0</v>
      </c>
      <c r="D7">
        <f t="shared" si="0"/>
        <v>1</v>
      </c>
      <c r="E7">
        <f t="shared" si="1"/>
        <v>0</v>
      </c>
      <c r="H7" t="s">
        <v>10</v>
      </c>
      <c r="I7" s="8">
        <f>VLOOKUP(H7,$A$2:$C$196,3,FALSE)</f>
        <v>0.81</v>
      </c>
      <c r="J7" s="8">
        <f>VLOOKUP(H7,$A$2:$D$196,4,FALSE)</f>
        <v>5</v>
      </c>
      <c r="K7">
        <f>VLOOKUP(H7,$A$2:$E$196,5,FALSE)</f>
        <v>0</v>
      </c>
      <c r="V7" s="3" t="s">
        <v>8</v>
      </c>
      <c r="W7">
        <v>1</v>
      </c>
      <c r="X7">
        <v>0</v>
      </c>
    </row>
    <row r="8" spans="1:24" x14ac:dyDescent="0.25">
      <c r="A8" s="3" t="s">
        <v>10</v>
      </c>
      <c r="B8" s="3" t="str">
        <f>VLOOKUP(A8,'storage capacity'!$A$2:$C$195,3,FALSE)</f>
        <v>Country specific</v>
      </c>
      <c r="C8">
        <v>0.81</v>
      </c>
      <c r="D8">
        <f t="shared" si="0"/>
        <v>5</v>
      </c>
      <c r="E8">
        <f t="shared" si="1"/>
        <v>0</v>
      </c>
      <c r="H8" t="s">
        <v>13</v>
      </c>
      <c r="I8" s="8">
        <f t="shared" ref="I8:I44" si="5">VLOOKUP(H8,$A$2:$C$196,3,FALSE)</f>
        <v>0</v>
      </c>
      <c r="J8" s="8">
        <f t="shared" ref="J8:J44" si="6">VLOOKUP(H8,$A$2:$D$196,4,FALSE)</f>
        <v>1</v>
      </c>
      <c r="K8">
        <f t="shared" ref="K8:K44" si="7">VLOOKUP(H8,$A$2:$E$196,5,FALSE)</f>
        <v>62</v>
      </c>
      <c r="V8" s="3" t="s">
        <v>10</v>
      </c>
      <c r="W8">
        <v>5</v>
      </c>
      <c r="X8">
        <v>0</v>
      </c>
    </row>
    <row r="9" spans="1:24" x14ac:dyDescent="0.25">
      <c r="A9" s="3" t="s">
        <v>12</v>
      </c>
      <c r="B9" s="3" t="str">
        <f>VLOOKUP(A9,'storage capacity'!$A$2:$C$195,3,FALSE)</f>
        <v>Other eurasia</v>
      </c>
      <c r="C9">
        <v>0</v>
      </c>
      <c r="D9">
        <f t="shared" si="0"/>
        <v>5</v>
      </c>
      <c r="E9">
        <f t="shared" si="1"/>
        <v>0</v>
      </c>
      <c r="H9" t="s">
        <v>21</v>
      </c>
      <c r="I9" s="8">
        <f t="shared" si="5"/>
        <v>0</v>
      </c>
      <c r="J9" s="8">
        <f t="shared" si="6"/>
        <v>5</v>
      </c>
      <c r="K9">
        <f t="shared" si="7"/>
        <v>0</v>
      </c>
      <c r="V9" s="3" t="s">
        <v>12</v>
      </c>
      <c r="W9">
        <v>5</v>
      </c>
      <c r="X9">
        <v>0</v>
      </c>
    </row>
    <row r="10" spans="1:24" x14ac:dyDescent="0.25">
      <c r="A10" s="3" t="s">
        <v>13</v>
      </c>
      <c r="B10" s="3" t="str">
        <f>VLOOKUP(A10,'storage capacity'!$A$2:$C$195,3,FALSE)</f>
        <v>Country specific</v>
      </c>
      <c r="C10">
        <v>0</v>
      </c>
      <c r="D10">
        <f t="shared" si="0"/>
        <v>1</v>
      </c>
      <c r="E10">
        <f t="shared" si="1"/>
        <v>62</v>
      </c>
      <c r="H10" t="s">
        <v>28</v>
      </c>
      <c r="I10" s="8">
        <f t="shared" si="5"/>
        <v>0</v>
      </c>
      <c r="J10" s="8">
        <f t="shared" si="6"/>
        <v>5</v>
      </c>
      <c r="K10">
        <f t="shared" si="7"/>
        <v>42</v>
      </c>
      <c r="V10" s="3" t="s">
        <v>13</v>
      </c>
      <c r="W10">
        <v>1</v>
      </c>
      <c r="X10">
        <v>62</v>
      </c>
    </row>
    <row r="11" spans="1:24" x14ac:dyDescent="0.25">
      <c r="A11" s="3" t="s">
        <v>14</v>
      </c>
      <c r="B11" s="3" t="str">
        <f>VLOOKUP(A11,'storage capacity'!$A$2:$C$195,3,FALSE)</f>
        <v>Other eurasia</v>
      </c>
      <c r="C11">
        <v>0</v>
      </c>
      <c r="D11">
        <f t="shared" si="0"/>
        <v>1</v>
      </c>
      <c r="E11">
        <f t="shared" si="1"/>
        <v>0</v>
      </c>
      <c r="H11" t="s">
        <v>36</v>
      </c>
      <c r="I11" s="8">
        <f t="shared" si="5"/>
        <v>58.94</v>
      </c>
      <c r="J11" s="8">
        <f t="shared" si="6"/>
        <v>5</v>
      </c>
      <c r="K11">
        <f t="shared" si="7"/>
        <v>71</v>
      </c>
      <c r="V11" s="3" t="s">
        <v>14</v>
      </c>
      <c r="W11">
        <v>1</v>
      </c>
      <c r="X11">
        <v>0</v>
      </c>
    </row>
    <row r="12" spans="1:24" x14ac:dyDescent="0.25">
      <c r="A12" s="3" t="s">
        <v>15</v>
      </c>
      <c r="B12" s="3" t="str">
        <f>VLOOKUP(A12,'storage capacity'!$A$2:$C$195,3,FALSE)</f>
        <v>Other eurasia</v>
      </c>
      <c r="C12">
        <v>0</v>
      </c>
      <c r="D12">
        <f t="shared" si="0"/>
        <v>3</v>
      </c>
      <c r="E12">
        <f t="shared" si="1"/>
        <v>0</v>
      </c>
      <c r="H12" t="s">
        <v>40</v>
      </c>
      <c r="I12" s="8">
        <f t="shared" si="5"/>
        <v>0</v>
      </c>
      <c r="J12" s="8">
        <f t="shared" si="6"/>
        <v>5</v>
      </c>
      <c r="K12">
        <f t="shared" si="7"/>
        <v>53</v>
      </c>
      <c r="V12" s="3" t="s">
        <v>15</v>
      </c>
      <c r="W12">
        <v>3</v>
      </c>
      <c r="X12">
        <v>0</v>
      </c>
    </row>
    <row r="13" spans="1:24" x14ac:dyDescent="0.25">
      <c r="A13" s="3" t="s">
        <v>16</v>
      </c>
      <c r="B13" s="3" t="str">
        <f>VLOOKUP(A13,'storage capacity'!$A$2:$C$195,3,FALSE)</f>
        <v>Other latin america</v>
      </c>
      <c r="C13">
        <v>0</v>
      </c>
      <c r="D13">
        <f t="shared" si="0"/>
        <v>1</v>
      </c>
      <c r="E13">
        <f t="shared" si="1"/>
        <v>0</v>
      </c>
      <c r="H13" t="s">
        <v>50</v>
      </c>
      <c r="I13" s="8">
        <f t="shared" si="5"/>
        <v>28.2</v>
      </c>
      <c r="J13" s="8">
        <f t="shared" si="6"/>
        <v>1</v>
      </c>
      <c r="K13">
        <f t="shared" si="7"/>
        <v>56</v>
      </c>
      <c r="V13" s="3" t="s">
        <v>16</v>
      </c>
      <c r="W13">
        <v>1</v>
      </c>
      <c r="X13">
        <v>0</v>
      </c>
    </row>
    <row r="14" spans="1:24" x14ac:dyDescent="0.25">
      <c r="A14" s="3" t="s">
        <v>17</v>
      </c>
      <c r="B14" s="3" t="str">
        <f>VLOOKUP(A14,'storage capacity'!$A$2:$C$195,3,FALSE)</f>
        <v>Middle east</v>
      </c>
      <c r="C14">
        <v>0</v>
      </c>
      <c r="D14">
        <f t="shared" si="0"/>
        <v>3</v>
      </c>
      <c r="E14">
        <f t="shared" si="1"/>
        <v>0</v>
      </c>
      <c r="H14" t="s">
        <v>56</v>
      </c>
      <c r="I14" s="8">
        <f t="shared" si="5"/>
        <v>0</v>
      </c>
      <c r="J14" s="8">
        <f t="shared" si="6"/>
        <v>5</v>
      </c>
      <c r="K14">
        <f t="shared" si="7"/>
        <v>0</v>
      </c>
      <c r="V14" s="3" t="s">
        <v>17</v>
      </c>
      <c r="W14">
        <v>3</v>
      </c>
      <c r="X14">
        <v>0</v>
      </c>
    </row>
    <row r="15" spans="1:24" x14ac:dyDescent="0.25">
      <c r="A15" s="3" t="s">
        <v>18</v>
      </c>
      <c r="B15" s="3" t="str">
        <f>VLOOKUP(A15,'storage capacity'!$A$2:$C$195,3,FALSE)</f>
        <v>Other Asia pacific</v>
      </c>
      <c r="C15">
        <v>0</v>
      </c>
      <c r="D15">
        <f t="shared" si="0"/>
        <v>5</v>
      </c>
      <c r="E15">
        <f t="shared" si="1"/>
        <v>0</v>
      </c>
      <c r="H15" t="s">
        <v>64</v>
      </c>
      <c r="I15" s="8">
        <f t="shared" si="5"/>
        <v>99.98</v>
      </c>
      <c r="J15" s="8">
        <f t="shared" si="6"/>
        <v>5</v>
      </c>
      <c r="K15">
        <f t="shared" si="7"/>
        <v>0</v>
      </c>
      <c r="V15" s="3" t="s">
        <v>18</v>
      </c>
      <c r="W15">
        <v>5</v>
      </c>
      <c r="X15">
        <v>0</v>
      </c>
    </row>
    <row r="16" spans="1:24" x14ac:dyDescent="0.25">
      <c r="A16" s="3" t="s">
        <v>19</v>
      </c>
      <c r="B16" s="3" t="str">
        <f>VLOOKUP(A16,'storage capacity'!$A$2:$C$195,3,FALSE)</f>
        <v>Other latin america</v>
      </c>
      <c r="C16">
        <v>0</v>
      </c>
      <c r="D16">
        <f t="shared" si="0"/>
        <v>1</v>
      </c>
      <c r="E16">
        <f t="shared" si="1"/>
        <v>0</v>
      </c>
      <c r="H16" t="s">
        <v>65</v>
      </c>
      <c r="I16" s="8">
        <f t="shared" si="5"/>
        <v>47.94</v>
      </c>
      <c r="J16" s="8">
        <f t="shared" si="6"/>
        <v>5</v>
      </c>
      <c r="K16">
        <f t="shared" si="7"/>
        <v>47</v>
      </c>
      <c r="V16" s="3" t="s">
        <v>19</v>
      </c>
      <c r="W16">
        <v>1</v>
      </c>
      <c r="X16">
        <v>0</v>
      </c>
    </row>
    <row r="17" spans="1:24" x14ac:dyDescent="0.25">
      <c r="A17" s="3" t="s">
        <v>20</v>
      </c>
      <c r="B17" s="3" t="str">
        <f>VLOOKUP(A17,'storage capacity'!$A$2:$C$195,3,FALSE)</f>
        <v>Other eurasia</v>
      </c>
      <c r="C17">
        <v>0</v>
      </c>
      <c r="D17">
        <f t="shared" si="0"/>
        <v>1</v>
      </c>
      <c r="E17">
        <f t="shared" si="1"/>
        <v>0</v>
      </c>
      <c r="H17" t="s">
        <v>69</v>
      </c>
      <c r="I17" s="8">
        <f t="shared" si="5"/>
        <v>0</v>
      </c>
      <c r="J17" s="8">
        <f t="shared" si="6"/>
        <v>1</v>
      </c>
      <c r="K17">
        <f t="shared" si="7"/>
        <v>56</v>
      </c>
      <c r="V17" s="3" t="s">
        <v>20</v>
      </c>
      <c r="W17">
        <v>1</v>
      </c>
      <c r="X17">
        <v>0</v>
      </c>
    </row>
    <row r="18" spans="1:24" x14ac:dyDescent="0.25">
      <c r="A18" s="3" t="s">
        <v>21</v>
      </c>
      <c r="B18" s="3" t="str">
        <f>VLOOKUP(A18,'storage capacity'!$A$2:$C$195,3,FALSE)</f>
        <v>Country specific</v>
      </c>
      <c r="C18">
        <v>0</v>
      </c>
      <c r="D18">
        <f t="shared" si="0"/>
        <v>5</v>
      </c>
      <c r="E18">
        <f t="shared" si="1"/>
        <v>0</v>
      </c>
      <c r="H18" t="s">
        <v>81</v>
      </c>
      <c r="I18" s="8">
        <f t="shared" si="5"/>
        <v>36.5</v>
      </c>
      <c r="J18" s="8">
        <f t="shared" si="6"/>
        <v>3</v>
      </c>
      <c r="K18">
        <f t="shared" si="7"/>
        <v>0</v>
      </c>
      <c r="V18" s="3" t="s">
        <v>21</v>
      </c>
      <c r="W18">
        <v>5</v>
      </c>
      <c r="X18">
        <v>0</v>
      </c>
    </row>
    <row r="19" spans="1:24" x14ac:dyDescent="0.25">
      <c r="A19" s="3" t="s">
        <v>22</v>
      </c>
      <c r="B19" s="3" t="str">
        <f>VLOOKUP(A19,'storage capacity'!$A$2:$C$195,3,FALSE)</f>
        <v>Other latin america</v>
      </c>
      <c r="C19">
        <v>0</v>
      </c>
      <c r="D19">
        <f t="shared" si="0"/>
        <v>1</v>
      </c>
      <c r="E19">
        <f t="shared" si="1"/>
        <v>0</v>
      </c>
      <c r="H19" t="s">
        <v>82</v>
      </c>
      <c r="I19" s="8">
        <f t="shared" si="5"/>
        <v>0</v>
      </c>
      <c r="J19" s="8">
        <f t="shared" si="6"/>
        <v>5</v>
      </c>
      <c r="K19">
        <f t="shared" si="7"/>
        <v>0</v>
      </c>
      <c r="V19" s="3" t="s">
        <v>22</v>
      </c>
      <c r="W19">
        <v>1</v>
      </c>
      <c r="X19">
        <v>0</v>
      </c>
    </row>
    <row r="20" spans="1:24" x14ac:dyDescent="0.25">
      <c r="A20" s="3" t="s">
        <v>23</v>
      </c>
      <c r="B20" s="3" t="str">
        <f>VLOOKUP(A20,'storage capacity'!$A$2:$C$195,3,FALSE)</f>
        <v>Sub-saharan africa</v>
      </c>
      <c r="C20">
        <v>0</v>
      </c>
      <c r="D20">
        <f t="shared" si="0"/>
        <v>2</v>
      </c>
      <c r="E20">
        <f t="shared" si="1"/>
        <v>0</v>
      </c>
      <c r="H20" t="s">
        <v>83</v>
      </c>
      <c r="I20" s="8">
        <f t="shared" si="5"/>
        <v>0</v>
      </c>
      <c r="J20" s="8">
        <f t="shared" si="6"/>
        <v>4</v>
      </c>
      <c r="K20">
        <f t="shared" si="7"/>
        <v>0</v>
      </c>
      <c r="V20" s="3" t="s">
        <v>23</v>
      </c>
      <c r="W20">
        <v>2</v>
      </c>
      <c r="X20">
        <v>0</v>
      </c>
    </row>
    <row r="21" spans="1:24" x14ac:dyDescent="0.25">
      <c r="A21" s="3" t="s">
        <v>24</v>
      </c>
      <c r="B21" s="3" t="str">
        <f>VLOOKUP(A21,'storage capacity'!$A$2:$C$195,3,FALSE)</f>
        <v>Other Asia pacific</v>
      </c>
      <c r="C21">
        <v>0</v>
      </c>
      <c r="D21">
        <f t="shared" si="0"/>
        <v>1</v>
      </c>
      <c r="E21">
        <f t="shared" si="1"/>
        <v>0</v>
      </c>
      <c r="H21" t="s">
        <v>84</v>
      </c>
      <c r="I21" s="8">
        <f t="shared" si="5"/>
        <v>0</v>
      </c>
      <c r="J21" s="8">
        <f t="shared" si="6"/>
        <v>0</v>
      </c>
      <c r="K21">
        <f t="shared" si="7"/>
        <v>0</v>
      </c>
      <c r="V21" s="3" t="s">
        <v>24</v>
      </c>
      <c r="W21">
        <v>1</v>
      </c>
      <c r="X21">
        <v>0</v>
      </c>
    </row>
    <row r="22" spans="1:24" x14ac:dyDescent="0.25">
      <c r="A22" s="3" t="s">
        <v>25</v>
      </c>
      <c r="B22" s="3" t="str">
        <f>VLOOKUP(A22,'storage capacity'!$A$2:$C$195,3,FALSE)</f>
        <v>Other latin america</v>
      </c>
      <c r="C22">
        <v>0</v>
      </c>
      <c r="D22">
        <f t="shared" si="0"/>
        <v>3</v>
      </c>
      <c r="E22">
        <f t="shared" si="1"/>
        <v>0</v>
      </c>
      <c r="H22" t="s">
        <v>86</v>
      </c>
      <c r="I22" s="8">
        <f t="shared" si="5"/>
        <v>60.19</v>
      </c>
      <c r="J22" s="8">
        <f t="shared" si="6"/>
        <v>1</v>
      </c>
      <c r="K22">
        <f t="shared" si="7"/>
        <v>0</v>
      </c>
      <c r="V22" s="3" t="s">
        <v>25</v>
      </c>
      <c r="W22">
        <v>3</v>
      </c>
      <c r="X22">
        <v>0</v>
      </c>
    </row>
    <row r="23" spans="1:24" ht="26.25" x14ac:dyDescent="0.25">
      <c r="A23" s="3" t="s">
        <v>26</v>
      </c>
      <c r="B23" s="3" t="str">
        <f>VLOOKUP(A23,'storage capacity'!$A$2:$C$195,3,FALSE)</f>
        <v>Other eurasia</v>
      </c>
      <c r="C23">
        <v>0</v>
      </c>
      <c r="D23">
        <f t="shared" si="0"/>
        <v>2</v>
      </c>
      <c r="E23">
        <f t="shared" si="1"/>
        <v>0</v>
      </c>
      <c r="H23" t="s">
        <v>88</v>
      </c>
      <c r="I23" s="8">
        <f t="shared" si="5"/>
        <v>0</v>
      </c>
      <c r="J23" s="8">
        <f t="shared" si="6"/>
        <v>1</v>
      </c>
      <c r="K23">
        <f t="shared" si="7"/>
        <v>46</v>
      </c>
      <c r="V23" s="3" t="s">
        <v>26</v>
      </c>
      <c r="W23">
        <v>2</v>
      </c>
      <c r="X23">
        <v>0</v>
      </c>
    </row>
    <row r="24" spans="1:24" x14ac:dyDescent="0.25">
      <c r="A24" s="3" t="s">
        <v>27</v>
      </c>
      <c r="B24" s="3" t="str">
        <f>VLOOKUP(A24,'storage capacity'!$A$2:$C$195,3,FALSE)</f>
        <v>Sub-saharan africa</v>
      </c>
      <c r="C24">
        <v>0</v>
      </c>
      <c r="D24">
        <f t="shared" si="0"/>
        <v>3</v>
      </c>
      <c r="E24">
        <f t="shared" si="1"/>
        <v>0</v>
      </c>
      <c r="H24" t="s">
        <v>90</v>
      </c>
      <c r="I24" s="8">
        <f t="shared" si="5"/>
        <v>1.9</v>
      </c>
      <c r="J24" s="8">
        <f t="shared" si="6"/>
        <v>5</v>
      </c>
      <c r="K24">
        <f t="shared" si="7"/>
        <v>50</v>
      </c>
      <c r="V24" s="3" t="s">
        <v>27</v>
      </c>
      <c r="W24">
        <v>3</v>
      </c>
      <c r="X24">
        <v>0</v>
      </c>
    </row>
    <row r="25" spans="1:24" x14ac:dyDescent="0.25">
      <c r="A25" s="3" t="s">
        <v>28</v>
      </c>
      <c r="B25" s="3" t="str">
        <f>VLOOKUP(A25,'storage capacity'!$A$2:$C$195,3,FALSE)</f>
        <v>Country specific</v>
      </c>
      <c r="C25">
        <v>0</v>
      </c>
      <c r="D25">
        <f t="shared" si="0"/>
        <v>5</v>
      </c>
      <c r="E25">
        <f t="shared" si="1"/>
        <v>42</v>
      </c>
      <c r="H25" t="s">
        <v>108</v>
      </c>
      <c r="I25" s="8">
        <f t="shared" si="5"/>
        <v>0</v>
      </c>
      <c r="J25" s="8">
        <f t="shared" si="6"/>
        <v>3</v>
      </c>
      <c r="K25">
        <f t="shared" si="7"/>
        <v>0</v>
      </c>
      <c r="V25" s="3" t="s">
        <v>28</v>
      </c>
      <c r="W25">
        <v>5</v>
      </c>
      <c r="X25">
        <v>42</v>
      </c>
    </row>
    <row r="26" spans="1:24" x14ac:dyDescent="0.25">
      <c r="A26" s="3" t="s">
        <v>29</v>
      </c>
      <c r="B26" s="3" t="str">
        <f>VLOOKUP(A26,'storage capacity'!$A$2:$C$195,3,FALSE)</f>
        <v>Other Asia pacific</v>
      </c>
      <c r="C26">
        <v>0</v>
      </c>
      <c r="D26">
        <f t="shared" si="0"/>
        <v>1</v>
      </c>
      <c r="E26">
        <f t="shared" si="1"/>
        <v>0</v>
      </c>
      <c r="H26" t="s">
        <v>115</v>
      </c>
      <c r="I26" s="8">
        <f t="shared" si="5"/>
        <v>4.3</v>
      </c>
      <c r="J26" s="8">
        <f t="shared" si="6"/>
        <v>5</v>
      </c>
      <c r="K26">
        <f t="shared" si="7"/>
        <v>0</v>
      </c>
      <c r="V26" s="3" t="s">
        <v>29</v>
      </c>
      <c r="W26">
        <v>1</v>
      </c>
      <c r="X26">
        <v>0</v>
      </c>
    </row>
    <row r="27" spans="1:24" x14ac:dyDescent="0.25">
      <c r="A27" s="3" t="s">
        <v>30</v>
      </c>
      <c r="B27" s="3" t="str">
        <f>VLOOKUP(A27,'storage capacity'!$A$2:$C$195,3,FALSE)</f>
        <v>Other eurasia</v>
      </c>
      <c r="C27">
        <v>0</v>
      </c>
      <c r="D27">
        <f t="shared" si="0"/>
        <v>5</v>
      </c>
      <c r="E27">
        <f t="shared" si="1"/>
        <v>0</v>
      </c>
      <c r="H27" t="s">
        <v>127</v>
      </c>
      <c r="I27" s="8">
        <f t="shared" si="5"/>
        <v>71.48</v>
      </c>
      <c r="J27" s="8">
        <f t="shared" si="6"/>
        <v>5</v>
      </c>
      <c r="K27">
        <f t="shared" si="7"/>
        <v>55</v>
      </c>
      <c r="V27" s="3" t="s">
        <v>30</v>
      </c>
      <c r="W27">
        <v>5</v>
      </c>
      <c r="X27">
        <v>0</v>
      </c>
    </row>
    <row r="28" spans="1:24" x14ac:dyDescent="0.25">
      <c r="A28" s="3" t="s">
        <v>31</v>
      </c>
      <c r="B28" s="3" t="str">
        <f>VLOOKUP(A28,'storage capacity'!$A$2:$C$195,3,FALSE)</f>
        <v>Sub-saharan africa</v>
      </c>
      <c r="C28">
        <v>0</v>
      </c>
      <c r="D28">
        <f t="shared" si="0"/>
        <v>0</v>
      </c>
      <c r="E28">
        <f t="shared" si="1"/>
        <v>0</v>
      </c>
      <c r="H28" t="s">
        <v>128</v>
      </c>
      <c r="I28" s="8">
        <f t="shared" si="5"/>
        <v>0</v>
      </c>
      <c r="J28" s="8">
        <f t="shared" si="6"/>
        <v>2</v>
      </c>
      <c r="K28">
        <f t="shared" si="7"/>
        <v>0</v>
      </c>
      <c r="V28" s="3" t="s">
        <v>31</v>
      </c>
      <c r="W28">
        <v>0</v>
      </c>
      <c r="X28">
        <v>0</v>
      </c>
    </row>
    <row r="29" spans="1:24" x14ac:dyDescent="0.25">
      <c r="A29" s="3" t="s">
        <v>32</v>
      </c>
      <c r="B29" s="3" t="str">
        <f>VLOOKUP(A29,'storage capacity'!$A$2:$C$195,3,FALSE)</f>
        <v>Sub-saharan africa</v>
      </c>
      <c r="C29">
        <v>0</v>
      </c>
      <c r="D29">
        <f t="shared" si="0"/>
        <v>2</v>
      </c>
      <c r="E29">
        <f t="shared" si="1"/>
        <v>0</v>
      </c>
      <c r="H29" t="s">
        <v>134</v>
      </c>
      <c r="I29" s="8">
        <f t="shared" si="5"/>
        <v>107.78</v>
      </c>
      <c r="J29" s="8">
        <f t="shared" si="6"/>
        <v>3</v>
      </c>
      <c r="K29">
        <f t="shared" si="7"/>
        <v>67</v>
      </c>
      <c r="V29" s="3" t="s">
        <v>32</v>
      </c>
      <c r="W29">
        <v>2</v>
      </c>
      <c r="X29">
        <v>0</v>
      </c>
    </row>
    <row r="30" spans="1:24" x14ac:dyDescent="0.25">
      <c r="A30" s="3" t="s">
        <v>33</v>
      </c>
      <c r="B30" s="3" t="str">
        <f>VLOOKUP(A30,'storage capacity'!$A$2:$C$195,3,FALSE)</f>
        <v>Sub-saharan africa</v>
      </c>
      <c r="C30">
        <v>0</v>
      </c>
      <c r="D30">
        <f t="shared" si="0"/>
        <v>1</v>
      </c>
      <c r="E30">
        <f t="shared" si="1"/>
        <v>0</v>
      </c>
      <c r="H30" t="s">
        <v>136</v>
      </c>
      <c r="I30" s="8">
        <f t="shared" si="5"/>
        <v>0</v>
      </c>
      <c r="J30" s="8">
        <f t="shared" si="6"/>
        <v>5</v>
      </c>
      <c r="K30">
        <f t="shared" si="7"/>
        <v>0</v>
      </c>
      <c r="V30" s="3" t="s">
        <v>33</v>
      </c>
      <c r="W30">
        <v>1</v>
      </c>
      <c r="X30">
        <v>0</v>
      </c>
    </row>
    <row r="31" spans="1:24" x14ac:dyDescent="0.25">
      <c r="A31" s="3" t="s">
        <v>34</v>
      </c>
      <c r="B31" s="3" t="str">
        <f>VLOOKUP(A31,'storage capacity'!$A$2:$C$195,3,FALSE)</f>
        <v>Other Asia pacific</v>
      </c>
      <c r="C31">
        <v>0</v>
      </c>
      <c r="D31">
        <f t="shared" si="0"/>
        <v>3</v>
      </c>
      <c r="E31">
        <f t="shared" si="1"/>
        <v>0</v>
      </c>
      <c r="H31" t="s">
        <v>142</v>
      </c>
      <c r="I31" s="8">
        <f t="shared" si="5"/>
        <v>0</v>
      </c>
      <c r="J31" s="8">
        <f t="shared" si="6"/>
        <v>4</v>
      </c>
      <c r="K31">
        <f t="shared" si="7"/>
        <v>0</v>
      </c>
      <c r="V31" s="3" t="s">
        <v>34</v>
      </c>
      <c r="W31">
        <v>3</v>
      </c>
      <c r="X31">
        <v>0</v>
      </c>
    </row>
    <row r="32" spans="1:24" x14ac:dyDescent="0.25">
      <c r="A32" s="3" t="s">
        <v>35</v>
      </c>
      <c r="B32" s="3" t="str">
        <f>VLOOKUP(A32,'storage capacity'!$A$2:$C$195,3,FALSE)</f>
        <v>Sub-saharan africa</v>
      </c>
      <c r="C32">
        <v>0</v>
      </c>
      <c r="D32">
        <f t="shared" si="0"/>
        <v>0</v>
      </c>
      <c r="E32">
        <f t="shared" si="1"/>
        <v>0</v>
      </c>
      <c r="H32" t="s">
        <v>143</v>
      </c>
      <c r="I32" s="8">
        <f t="shared" si="5"/>
        <v>0</v>
      </c>
      <c r="J32" s="8">
        <f t="shared" si="6"/>
        <v>5</v>
      </c>
      <c r="K32">
        <f t="shared" si="7"/>
        <v>47</v>
      </c>
      <c r="V32" s="3" t="s">
        <v>35</v>
      </c>
      <c r="W32">
        <v>0</v>
      </c>
      <c r="X32">
        <v>0</v>
      </c>
    </row>
    <row r="33" spans="1:24" x14ac:dyDescent="0.25">
      <c r="A33" s="3" t="s">
        <v>36</v>
      </c>
      <c r="B33" s="3" t="str">
        <f>VLOOKUP(A33,'storage capacity'!$A$2:$C$195,3,FALSE)</f>
        <v>Country specific</v>
      </c>
      <c r="C33">
        <v>58.94</v>
      </c>
      <c r="D33">
        <f t="shared" si="0"/>
        <v>5</v>
      </c>
      <c r="E33">
        <f t="shared" si="1"/>
        <v>71</v>
      </c>
      <c r="H33" t="s">
        <v>144</v>
      </c>
      <c r="I33" s="8">
        <f t="shared" si="5"/>
        <v>0</v>
      </c>
      <c r="J33" s="8">
        <f t="shared" si="6"/>
        <v>2</v>
      </c>
      <c r="K33">
        <f t="shared" si="7"/>
        <v>40</v>
      </c>
      <c r="V33" s="3" t="s">
        <v>36</v>
      </c>
      <c r="W33">
        <v>5</v>
      </c>
      <c r="X33">
        <v>71</v>
      </c>
    </row>
    <row r="34" spans="1:24" ht="26.25" x14ac:dyDescent="0.25">
      <c r="A34" s="3" t="s">
        <v>37</v>
      </c>
      <c r="B34" s="3" t="str">
        <f>VLOOKUP(A34,'storage capacity'!$A$2:$C$195,3,FALSE)</f>
        <v>Sub-saharan africa</v>
      </c>
      <c r="C34">
        <v>0</v>
      </c>
      <c r="D34">
        <f t="shared" si="0"/>
        <v>0</v>
      </c>
      <c r="E34">
        <f t="shared" si="1"/>
        <v>0</v>
      </c>
      <c r="H34" t="s">
        <v>147</v>
      </c>
      <c r="I34" s="8">
        <f t="shared" si="5"/>
        <v>0</v>
      </c>
      <c r="J34" s="8">
        <f t="shared" si="6"/>
        <v>5</v>
      </c>
      <c r="K34">
        <f t="shared" si="7"/>
        <v>0</v>
      </c>
      <c r="V34" s="3" t="s">
        <v>37</v>
      </c>
      <c r="W34">
        <v>0</v>
      </c>
      <c r="X34">
        <v>0</v>
      </c>
    </row>
    <row r="35" spans="1:24" x14ac:dyDescent="0.25">
      <c r="A35" s="3" t="s">
        <v>38</v>
      </c>
      <c r="B35" s="3" t="str">
        <f>VLOOKUP(A35,'storage capacity'!$A$2:$C$195,3,FALSE)</f>
        <v>Sub-saharan africa</v>
      </c>
      <c r="C35">
        <v>0</v>
      </c>
      <c r="D35">
        <f t="shared" si="0"/>
        <v>3</v>
      </c>
      <c r="E35">
        <f t="shared" si="1"/>
        <v>0</v>
      </c>
      <c r="H35" t="s">
        <v>154</v>
      </c>
      <c r="I35" s="8">
        <f t="shared" si="5"/>
        <v>0</v>
      </c>
      <c r="J35" s="8">
        <f t="shared" si="6"/>
        <v>5</v>
      </c>
      <c r="K35">
        <f t="shared" si="7"/>
        <v>0</v>
      </c>
      <c r="V35" s="3" t="s">
        <v>38</v>
      </c>
      <c r="W35">
        <v>3</v>
      </c>
      <c r="X35">
        <v>0</v>
      </c>
    </row>
    <row r="36" spans="1:24" x14ac:dyDescent="0.25">
      <c r="A36" s="3" t="s">
        <v>39</v>
      </c>
      <c r="B36" s="3" t="str">
        <f>VLOOKUP(A36,'storage capacity'!$A$2:$C$195,3,FALSE)</f>
        <v>Other latin america</v>
      </c>
      <c r="C36">
        <v>5</v>
      </c>
      <c r="D36">
        <f t="shared" si="0"/>
        <v>3</v>
      </c>
      <c r="E36">
        <f t="shared" si="1"/>
        <v>0</v>
      </c>
      <c r="H36" t="s">
        <v>164</v>
      </c>
      <c r="I36" s="8">
        <f t="shared" si="5"/>
        <v>10.08</v>
      </c>
      <c r="J36" s="8">
        <f t="shared" si="6"/>
        <v>5</v>
      </c>
      <c r="K36">
        <f t="shared" si="7"/>
        <v>0</v>
      </c>
      <c r="V36" s="3" t="s">
        <v>39</v>
      </c>
      <c r="W36">
        <v>3</v>
      </c>
      <c r="X36">
        <v>0</v>
      </c>
    </row>
    <row r="37" spans="1:24" x14ac:dyDescent="0.25">
      <c r="A37" s="3" t="s">
        <v>40</v>
      </c>
      <c r="B37" s="3" t="str">
        <f>VLOOKUP(A37,'storage capacity'!$A$2:$C$195,3,FALSE)</f>
        <v>Country specific</v>
      </c>
      <c r="C37">
        <v>0</v>
      </c>
      <c r="D37">
        <f t="shared" si="0"/>
        <v>5</v>
      </c>
      <c r="E37">
        <f t="shared" si="1"/>
        <v>53</v>
      </c>
      <c r="H37" t="s">
        <v>165</v>
      </c>
      <c r="I37" s="8">
        <f t="shared" si="5"/>
        <v>0</v>
      </c>
      <c r="J37" s="8">
        <f t="shared" si="6"/>
        <v>5</v>
      </c>
      <c r="K37">
        <f t="shared" si="7"/>
        <v>0</v>
      </c>
      <c r="V37" s="3" t="s">
        <v>40</v>
      </c>
      <c r="W37">
        <v>5</v>
      </c>
      <c r="X37">
        <v>53</v>
      </c>
    </row>
    <row r="38" spans="1:24" x14ac:dyDescent="0.25">
      <c r="A38" s="3" t="s">
        <v>41</v>
      </c>
      <c r="B38" s="3" t="str">
        <f>VLOOKUP(A38,'storage capacity'!$A$2:$C$195,3,FALSE)</f>
        <v>Other latin america</v>
      </c>
      <c r="C38">
        <v>6.67</v>
      </c>
      <c r="D38">
        <f t="shared" si="0"/>
        <v>3</v>
      </c>
      <c r="E38">
        <f t="shared" si="1"/>
        <v>0</v>
      </c>
      <c r="H38" t="s">
        <v>167</v>
      </c>
      <c r="I38" s="8">
        <f t="shared" si="5"/>
        <v>16.12</v>
      </c>
      <c r="J38" s="8">
        <f t="shared" si="6"/>
        <v>5</v>
      </c>
      <c r="K38">
        <f t="shared" si="7"/>
        <v>44</v>
      </c>
      <c r="V38" s="3" t="s">
        <v>41</v>
      </c>
      <c r="W38">
        <v>3</v>
      </c>
      <c r="X38">
        <v>0</v>
      </c>
    </row>
    <row r="39" spans="1:24" x14ac:dyDescent="0.25">
      <c r="A39" s="3" t="s">
        <v>42</v>
      </c>
      <c r="B39" s="3" t="str">
        <f>VLOOKUP(A39,'storage capacity'!$A$2:$C$195,3,FALSE)</f>
        <v>Sub-saharan africa</v>
      </c>
      <c r="C39">
        <v>0</v>
      </c>
      <c r="D39">
        <f t="shared" si="0"/>
        <v>1</v>
      </c>
      <c r="E39">
        <f t="shared" si="1"/>
        <v>0</v>
      </c>
      <c r="H39" t="s">
        <v>173</v>
      </c>
      <c r="I39" s="8">
        <f t="shared" si="5"/>
        <v>127.25</v>
      </c>
      <c r="J39" s="8">
        <f t="shared" si="6"/>
        <v>5</v>
      </c>
      <c r="K39">
        <f t="shared" si="7"/>
        <v>41</v>
      </c>
      <c r="V39" s="3" t="s">
        <v>42</v>
      </c>
      <c r="W39">
        <v>1</v>
      </c>
      <c r="X39">
        <v>0</v>
      </c>
    </row>
    <row r="40" spans="1:24" x14ac:dyDescent="0.25">
      <c r="A40" s="3" t="s">
        <v>43</v>
      </c>
      <c r="B40" s="3" t="str">
        <f>VLOOKUP(A40,'storage capacity'!$A$2:$C$195,3,FALSE)</f>
        <v>Sub-saharan africa</v>
      </c>
      <c r="C40">
        <v>0</v>
      </c>
      <c r="D40">
        <f t="shared" si="0"/>
        <v>2</v>
      </c>
      <c r="E40">
        <f t="shared" si="1"/>
        <v>0</v>
      </c>
      <c r="H40" t="s">
        <v>174</v>
      </c>
      <c r="I40" s="8">
        <f t="shared" si="5"/>
        <v>132.12</v>
      </c>
      <c r="J40" s="8">
        <f t="shared" si="6"/>
        <v>1</v>
      </c>
      <c r="K40">
        <f t="shared" si="7"/>
        <v>0</v>
      </c>
      <c r="V40" s="3" t="s">
        <v>43</v>
      </c>
      <c r="W40">
        <v>2</v>
      </c>
      <c r="X40">
        <v>0</v>
      </c>
    </row>
    <row r="41" spans="1:24" x14ac:dyDescent="0.25">
      <c r="A41" s="3" t="s">
        <v>44</v>
      </c>
      <c r="B41" s="3" t="str">
        <f>VLOOKUP(A41,'storage capacity'!$A$2:$C$195,3,FALSE)</f>
        <v>Other latin america</v>
      </c>
      <c r="C41">
        <v>0</v>
      </c>
      <c r="D41">
        <f t="shared" si="0"/>
        <v>3</v>
      </c>
      <c r="E41">
        <f t="shared" si="1"/>
        <v>0</v>
      </c>
      <c r="H41" t="s">
        <v>178</v>
      </c>
      <c r="I41" s="8">
        <f t="shared" si="5"/>
        <v>0</v>
      </c>
      <c r="J41" s="8">
        <f t="shared" si="6"/>
        <v>4</v>
      </c>
      <c r="K41">
        <f t="shared" si="7"/>
        <v>0</v>
      </c>
      <c r="V41" s="3" t="s">
        <v>44</v>
      </c>
      <c r="W41">
        <v>3</v>
      </c>
      <c r="X41">
        <v>0</v>
      </c>
    </row>
    <row r="42" spans="1:24" x14ac:dyDescent="0.25">
      <c r="A42" s="3" t="s">
        <v>45</v>
      </c>
      <c r="B42" s="3" t="str">
        <f>VLOOKUP(A42,'storage capacity'!$A$2:$C$195,3,FALSE)</f>
        <v>Sub-saharan africa</v>
      </c>
      <c r="C42">
        <v>0</v>
      </c>
      <c r="D42">
        <f t="shared" si="0"/>
        <v>3</v>
      </c>
      <c r="E42">
        <f t="shared" si="1"/>
        <v>0</v>
      </c>
      <c r="H42" t="s">
        <v>190</v>
      </c>
      <c r="I42" s="8">
        <f t="shared" si="5"/>
        <v>22.61</v>
      </c>
      <c r="J42" s="8">
        <f t="shared" si="6"/>
        <v>5</v>
      </c>
      <c r="K42">
        <f t="shared" si="7"/>
        <v>66</v>
      </c>
      <c r="V42" s="3" t="s">
        <v>45</v>
      </c>
      <c r="W42">
        <v>3</v>
      </c>
      <c r="X42">
        <v>0</v>
      </c>
    </row>
    <row r="43" spans="1:24" x14ac:dyDescent="0.25">
      <c r="A43" s="3" t="s">
        <v>46</v>
      </c>
      <c r="B43" s="3" t="str">
        <f>VLOOKUP(A43,'storage capacity'!$A$2:$C$195,3,FALSE)</f>
        <v>Other eurasia</v>
      </c>
      <c r="C43">
        <v>0</v>
      </c>
      <c r="D43">
        <f t="shared" si="0"/>
        <v>2</v>
      </c>
      <c r="E43">
        <f t="shared" si="1"/>
        <v>47</v>
      </c>
      <c r="H43" t="s">
        <v>191</v>
      </c>
      <c r="I43" s="8">
        <f t="shared" si="5"/>
        <v>0</v>
      </c>
      <c r="J43" s="8">
        <f t="shared" si="6"/>
        <v>5</v>
      </c>
      <c r="K43">
        <f t="shared" si="7"/>
        <v>72</v>
      </c>
      <c r="V43" s="3" t="s">
        <v>46</v>
      </c>
      <c r="W43">
        <v>2</v>
      </c>
      <c r="X43">
        <v>47</v>
      </c>
    </row>
    <row r="44" spans="1:24" x14ac:dyDescent="0.25">
      <c r="A44" s="3" t="s">
        <v>47</v>
      </c>
      <c r="B44" s="3" t="str">
        <f>VLOOKUP(A44,'storage capacity'!$A$2:$C$195,3,FALSE)</f>
        <v>Other latin america</v>
      </c>
      <c r="C44">
        <v>0</v>
      </c>
      <c r="D44">
        <f t="shared" si="0"/>
        <v>1</v>
      </c>
      <c r="E44">
        <f t="shared" si="1"/>
        <v>0</v>
      </c>
      <c r="H44" t="s">
        <v>196</v>
      </c>
      <c r="I44" s="8">
        <f t="shared" si="5"/>
        <v>0</v>
      </c>
      <c r="J44" s="8">
        <f t="shared" si="6"/>
        <v>5</v>
      </c>
      <c r="K44">
        <f t="shared" si="7"/>
        <v>0</v>
      </c>
      <c r="V44" s="3" t="s">
        <v>47</v>
      </c>
      <c r="W44">
        <v>1</v>
      </c>
      <c r="X44">
        <v>0</v>
      </c>
    </row>
    <row r="45" spans="1:24" x14ac:dyDescent="0.25">
      <c r="A45" s="3" t="s">
        <v>48</v>
      </c>
      <c r="B45" s="3" t="str">
        <f>VLOOKUP(A45,'storage capacity'!$A$2:$C$195,3,FALSE)</f>
        <v>Other eurasia</v>
      </c>
      <c r="C45">
        <v>0</v>
      </c>
      <c r="D45">
        <f t="shared" si="0"/>
        <v>3</v>
      </c>
      <c r="E45">
        <f t="shared" si="1"/>
        <v>0</v>
      </c>
      <c r="V45" s="3" t="s">
        <v>48</v>
      </c>
      <c r="W45">
        <v>3</v>
      </c>
      <c r="X45">
        <v>0</v>
      </c>
    </row>
    <row r="46" spans="1:24" x14ac:dyDescent="0.25">
      <c r="A46" s="3" t="s">
        <v>49</v>
      </c>
      <c r="B46" s="3" t="str">
        <f>VLOOKUP(A46,'storage capacity'!$A$2:$C$195,3,FALSE)</f>
        <v>Other eurasia</v>
      </c>
      <c r="C46">
        <v>0</v>
      </c>
      <c r="D46">
        <f t="shared" si="0"/>
        <v>5</v>
      </c>
      <c r="E46">
        <f t="shared" si="1"/>
        <v>41</v>
      </c>
      <c r="V46" s="3" t="s">
        <v>49</v>
      </c>
      <c r="W46">
        <v>5</v>
      </c>
      <c r="X46">
        <v>41</v>
      </c>
    </row>
    <row r="47" spans="1:24" x14ac:dyDescent="0.25">
      <c r="A47" s="3" t="s">
        <v>50</v>
      </c>
      <c r="B47" s="3" t="str">
        <f>VLOOKUP(A47,'storage capacity'!$A$2:$C$195,3,FALSE)</f>
        <v>Country specific</v>
      </c>
      <c r="C47">
        <v>28.2</v>
      </c>
      <c r="D47">
        <f t="shared" si="0"/>
        <v>1</v>
      </c>
      <c r="E47">
        <f t="shared" si="1"/>
        <v>56</v>
      </c>
      <c r="V47" s="3" t="s">
        <v>50</v>
      </c>
      <c r="W47">
        <v>1</v>
      </c>
      <c r="X47">
        <v>56</v>
      </c>
    </row>
    <row r="48" spans="1:24" x14ac:dyDescent="0.25">
      <c r="A48" s="3" t="s">
        <v>51</v>
      </c>
      <c r="B48" s="3" t="str">
        <f>VLOOKUP(A48,'storage capacity'!$A$2:$C$195,3,FALSE)</f>
        <v>Sub-saharan africa</v>
      </c>
      <c r="C48">
        <v>0</v>
      </c>
      <c r="D48">
        <f t="shared" si="0"/>
        <v>1</v>
      </c>
      <c r="E48">
        <f t="shared" si="1"/>
        <v>0</v>
      </c>
      <c r="V48" s="3" t="s">
        <v>51</v>
      </c>
      <c r="W48">
        <v>1</v>
      </c>
      <c r="X48">
        <v>0</v>
      </c>
    </row>
    <row r="49" spans="1:24" x14ac:dyDescent="0.25">
      <c r="A49" s="3" t="s">
        <v>52</v>
      </c>
      <c r="B49" s="3" t="str">
        <f>VLOOKUP(A49,'storage capacity'!$A$2:$C$195,3,FALSE)</f>
        <v>Sub-saharan africa</v>
      </c>
      <c r="C49">
        <v>0</v>
      </c>
      <c r="D49">
        <f t="shared" si="0"/>
        <v>1</v>
      </c>
      <c r="E49">
        <f t="shared" si="1"/>
        <v>0</v>
      </c>
      <c r="V49" s="3" t="s">
        <v>52</v>
      </c>
      <c r="W49">
        <v>1</v>
      </c>
      <c r="X49">
        <v>0</v>
      </c>
    </row>
    <row r="50" spans="1:24" x14ac:dyDescent="0.25">
      <c r="A50" s="3" t="s">
        <v>53</v>
      </c>
      <c r="B50" s="3" t="str">
        <f>VLOOKUP(A50,'storage capacity'!$A$2:$C$195,3,FALSE)</f>
        <v>Sub-saharan africa</v>
      </c>
      <c r="C50">
        <v>0</v>
      </c>
      <c r="D50">
        <f t="shared" si="0"/>
        <v>3</v>
      </c>
      <c r="E50">
        <f t="shared" si="1"/>
        <v>0</v>
      </c>
      <c r="V50" s="3" t="s">
        <v>53</v>
      </c>
      <c r="W50">
        <v>3</v>
      </c>
      <c r="X50">
        <v>0</v>
      </c>
    </row>
    <row r="51" spans="1:24" x14ac:dyDescent="0.25">
      <c r="A51" s="3" t="s">
        <v>54</v>
      </c>
      <c r="B51" s="3" t="str">
        <f>VLOOKUP(A51,'storage capacity'!$A$2:$C$195,3,FALSE)</f>
        <v>Sub-saharan africa</v>
      </c>
      <c r="C51">
        <v>0</v>
      </c>
      <c r="D51">
        <f t="shared" si="0"/>
        <v>0</v>
      </c>
      <c r="E51">
        <f t="shared" si="1"/>
        <v>0</v>
      </c>
      <c r="V51" s="3" t="s">
        <v>54</v>
      </c>
      <c r="W51">
        <v>0</v>
      </c>
      <c r="X51">
        <v>0</v>
      </c>
    </row>
    <row r="52" spans="1:24" x14ac:dyDescent="0.25">
      <c r="A52" s="3" t="s">
        <v>55</v>
      </c>
      <c r="B52" s="3" t="str">
        <f>VLOOKUP(A52,'storage capacity'!$A$2:$C$195,3,FALSE)</f>
        <v>Other latin america</v>
      </c>
      <c r="C52">
        <v>0</v>
      </c>
      <c r="D52">
        <f t="shared" si="0"/>
        <v>3</v>
      </c>
      <c r="E52">
        <f t="shared" si="1"/>
        <v>0</v>
      </c>
      <c r="V52" s="3" t="s">
        <v>55</v>
      </c>
      <c r="W52">
        <v>3</v>
      </c>
      <c r="X52">
        <v>0</v>
      </c>
    </row>
    <row r="53" spans="1:24" x14ac:dyDescent="0.25">
      <c r="A53" s="3" t="s">
        <v>56</v>
      </c>
      <c r="B53" s="3" t="str">
        <f>VLOOKUP(A53,'storage capacity'!$A$2:$C$195,3,FALSE)</f>
        <v>Country specific</v>
      </c>
      <c r="C53">
        <v>0</v>
      </c>
      <c r="D53">
        <f t="shared" si="0"/>
        <v>5</v>
      </c>
      <c r="E53">
        <f t="shared" si="1"/>
        <v>0</v>
      </c>
      <c r="V53" s="3" t="s">
        <v>56</v>
      </c>
      <c r="W53">
        <v>5</v>
      </c>
      <c r="X53">
        <v>0</v>
      </c>
    </row>
    <row r="54" spans="1:24" x14ac:dyDescent="0.25">
      <c r="A54" s="3" t="s">
        <v>57</v>
      </c>
      <c r="B54" s="3" t="str">
        <f>VLOOKUP(A54,'storage capacity'!$A$2:$C$195,3,FALSE)</f>
        <v>Other latin america</v>
      </c>
      <c r="C54">
        <v>0</v>
      </c>
      <c r="D54">
        <f t="shared" si="0"/>
        <v>3</v>
      </c>
      <c r="E54">
        <f t="shared" si="1"/>
        <v>0</v>
      </c>
      <c r="V54" s="3" t="s">
        <v>57</v>
      </c>
      <c r="W54">
        <v>3</v>
      </c>
      <c r="X54">
        <v>0</v>
      </c>
    </row>
    <row r="55" spans="1:24" x14ac:dyDescent="0.25">
      <c r="A55" s="3" t="s">
        <v>58</v>
      </c>
      <c r="B55" s="3" t="str">
        <f>VLOOKUP(A55,'storage capacity'!$A$2:$C$195,3,FALSE)</f>
        <v>Sub-saharan africa</v>
      </c>
      <c r="C55">
        <v>0</v>
      </c>
      <c r="D55">
        <f t="shared" si="0"/>
        <v>2</v>
      </c>
      <c r="E55">
        <f t="shared" si="1"/>
        <v>0</v>
      </c>
      <c r="V55" s="3" t="s">
        <v>58</v>
      </c>
      <c r="W55">
        <v>2</v>
      </c>
      <c r="X55">
        <v>0</v>
      </c>
    </row>
    <row r="56" spans="1:24" x14ac:dyDescent="0.25">
      <c r="A56" s="3" t="s">
        <v>59</v>
      </c>
      <c r="B56" s="3" t="str">
        <f>VLOOKUP(A56,'storage capacity'!$A$2:$C$195,3,FALSE)</f>
        <v>Sub-saharan africa</v>
      </c>
      <c r="C56">
        <v>0</v>
      </c>
      <c r="D56">
        <f t="shared" si="0"/>
        <v>1</v>
      </c>
      <c r="E56">
        <f t="shared" si="1"/>
        <v>0</v>
      </c>
      <c r="V56" s="3" t="s">
        <v>59</v>
      </c>
      <c r="W56">
        <v>1</v>
      </c>
      <c r="X56">
        <v>0</v>
      </c>
    </row>
    <row r="57" spans="1:24" x14ac:dyDescent="0.25">
      <c r="A57" s="3" t="s">
        <v>60</v>
      </c>
      <c r="B57" s="3" t="str">
        <f>VLOOKUP(A57,'storage capacity'!$A$2:$C$195,3,FALSE)</f>
        <v>Other eurasia</v>
      </c>
      <c r="C57">
        <v>2.14</v>
      </c>
      <c r="D57">
        <f t="shared" si="0"/>
        <v>4</v>
      </c>
      <c r="E57">
        <f t="shared" si="1"/>
        <v>0</v>
      </c>
      <c r="V57" s="3" t="s">
        <v>60</v>
      </c>
      <c r="W57">
        <v>4</v>
      </c>
      <c r="X57">
        <v>0</v>
      </c>
    </row>
    <row r="58" spans="1:24" x14ac:dyDescent="0.25">
      <c r="A58" s="3" t="s">
        <v>61</v>
      </c>
      <c r="B58" s="3" t="str">
        <f>VLOOKUP(A58,'storage capacity'!$A$2:$C$195,3,FALSE)</f>
        <v>Sub-saharan africa</v>
      </c>
      <c r="C58">
        <v>0</v>
      </c>
      <c r="D58">
        <f t="shared" si="0"/>
        <v>2</v>
      </c>
      <c r="E58">
        <f t="shared" si="1"/>
        <v>0</v>
      </c>
      <c r="V58" s="3" t="s">
        <v>61</v>
      </c>
      <c r="W58">
        <v>2</v>
      </c>
      <c r="X58">
        <v>0</v>
      </c>
    </row>
    <row r="59" spans="1:24" x14ac:dyDescent="0.25">
      <c r="A59" s="3" t="s">
        <v>62</v>
      </c>
      <c r="B59" s="3" t="str">
        <f>VLOOKUP(A59,'storage capacity'!$A$2:$C$195,3,FALSE)</f>
        <v>Sub-saharan africa</v>
      </c>
      <c r="C59">
        <v>0</v>
      </c>
      <c r="D59">
        <f t="shared" si="0"/>
        <v>0</v>
      </c>
      <c r="E59">
        <f t="shared" si="1"/>
        <v>0</v>
      </c>
      <c r="V59" s="3" t="s">
        <v>62</v>
      </c>
      <c r="W59">
        <v>0</v>
      </c>
      <c r="X59">
        <v>0</v>
      </c>
    </row>
    <row r="60" spans="1:24" x14ac:dyDescent="0.25">
      <c r="A60" s="3" t="s">
        <v>63</v>
      </c>
      <c r="B60" s="3" t="str">
        <f>VLOOKUP(A60,'storage capacity'!$A$2:$C$195,3,FALSE)</f>
        <v>Other Asia pacific</v>
      </c>
      <c r="C60">
        <v>0</v>
      </c>
      <c r="D60">
        <f t="shared" si="0"/>
        <v>1</v>
      </c>
      <c r="E60">
        <f t="shared" si="1"/>
        <v>0</v>
      </c>
      <c r="V60" s="3" t="s">
        <v>63</v>
      </c>
      <c r="W60">
        <v>1</v>
      </c>
      <c r="X60">
        <v>0</v>
      </c>
    </row>
    <row r="61" spans="1:24" x14ac:dyDescent="0.25">
      <c r="A61" s="3" t="s">
        <v>64</v>
      </c>
      <c r="B61" s="3" t="str">
        <f>VLOOKUP(A61,'storage capacity'!$A$2:$C$195,3,FALSE)</f>
        <v>Country specific</v>
      </c>
      <c r="C61">
        <v>99.98</v>
      </c>
      <c r="D61">
        <f t="shared" si="0"/>
        <v>5</v>
      </c>
      <c r="E61">
        <f t="shared" si="1"/>
        <v>0</v>
      </c>
      <c r="V61" s="3" t="s">
        <v>64</v>
      </c>
      <c r="W61">
        <v>5</v>
      </c>
      <c r="X61">
        <v>0</v>
      </c>
    </row>
    <row r="62" spans="1:24" x14ac:dyDescent="0.25">
      <c r="A62" s="3" t="s">
        <v>65</v>
      </c>
      <c r="B62" s="3" t="str">
        <f>VLOOKUP(A62,'storage capacity'!$A$2:$C$195,3,FALSE)</f>
        <v>Country specific</v>
      </c>
      <c r="C62">
        <v>47.94</v>
      </c>
      <c r="D62">
        <f t="shared" si="0"/>
        <v>5</v>
      </c>
      <c r="E62">
        <f t="shared" si="1"/>
        <v>47</v>
      </c>
      <c r="V62" s="3" t="s">
        <v>65</v>
      </c>
      <c r="W62">
        <v>5</v>
      </c>
      <c r="X62">
        <v>47</v>
      </c>
    </row>
    <row r="63" spans="1:24" x14ac:dyDescent="0.25">
      <c r="A63" s="3" t="s">
        <v>66</v>
      </c>
      <c r="B63" s="3" t="str">
        <f>VLOOKUP(A63,'storage capacity'!$A$2:$C$195,3,FALSE)</f>
        <v>Sub-saharan africa</v>
      </c>
      <c r="C63">
        <v>0</v>
      </c>
      <c r="D63">
        <f t="shared" si="0"/>
        <v>2</v>
      </c>
      <c r="E63">
        <f t="shared" si="1"/>
        <v>0</v>
      </c>
      <c r="V63" s="3" t="s">
        <v>66</v>
      </c>
      <c r="W63">
        <v>2</v>
      </c>
      <c r="X63">
        <v>0</v>
      </c>
    </row>
    <row r="64" spans="1:24" x14ac:dyDescent="0.25">
      <c r="A64" s="3" t="s">
        <v>67</v>
      </c>
      <c r="B64" s="3" t="str">
        <f>VLOOKUP(A64,'storage capacity'!$A$2:$C$195,3,FALSE)</f>
        <v>Sub-saharan africa</v>
      </c>
      <c r="C64">
        <v>0</v>
      </c>
      <c r="D64">
        <f t="shared" si="0"/>
        <v>2</v>
      </c>
      <c r="E64">
        <f t="shared" si="1"/>
        <v>0</v>
      </c>
      <c r="V64" s="3" t="s">
        <v>67</v>
      </c>
      <c r="W64">
        <v>2</v>
      </c>
      <c r="X64">
        <v>0</v>
      </c>
    </row>
    <row r="65" spans="1:24" x14ac:dyDescent="0.25">
      <c r="A65" s="3" t="s">
        <v>68</v>
      </c>
      <c r="B65" s="3" t="str">
        <f>VLOOKUP(A65,'storage capacity'!$A$2:$C$195,3,FALSE)</f>
        <v>Other eurasia</v>
      </c>
      <c r="C65">
        <v>0</v>
      </c>
      <c r="D65">
        <f t="shared" si="0"/>
        <v>3</v>
      </c>
      <c r="E65">
        <f t="shared" si="1"/>
        <v>0</v>
      </c>
      <c r="V65" s="3" t="s">
        <v>68</v>
      </c>
      <c r="W65">
        <v>3</v>
      </c>
      <c r="X65">
        <v>0</v>
      </c>
    </row>
    <row r="66" spans="1:24" x14ac:dyDescent="0.25">
      <c r="A66" s="3" t="s">
        <v>69</v>
      </c>
      <c r="B66" s="3" t="str">
        <f>VLOOKUP(A66,'storage capacity'!$A$2:$C$195,3,FALSE)</f>
        <v>Country specific</v>
      </c>
      <c r="C66">
        <v>0</v>
      </c>
      <c r="D66">
        <f t="shared" si="0"/>
        <v>1</v>
      </c>
      <c r="E66">
        <f t="shared" si="1"/>
        <v>56</v>
      </c>
      <c r="V66" s="3" t="s">
        <v>69</v>
      </c>
      <c r="W66">
        <v>1</v>
      </c>
      <c r="X66">
        <v>56</v>
      </c>
    </row>
    <row r="67" spans="1:24" x14ac:dyDescent="0.25">
      <c r="A67" s="3" t="s">
        <v>70</v>
      </c>
      <c r="B67" s="3" t="str">
        <f>VLOOKUP(A67,'storage capacity'!$A$2:$C$195,3,FALSE)</f>
        <v>Sub-saharan africa</v>
      </c>
      <c r="C67">
        <v>0</v>
      </c>
      <c r="D67">
        <f t="shared" ref="D67:D130" si="8">VLOOKUP(A67,$V$2:$W$196,2,FALSE)</f>
        <v>4</v>
      </c>
      <c r="E67">
        <f t="shared" ref="E67:E130" si="9">VLOOKUP(A67,$V$2:$X$196,3,FALSE)</f>
        <v>0</v>
      </c>
      <c r="V67" s="3" t="s">
        <v>70</v>
      </c>
      <c r="W67">
        <v>4</v>
      </c>
      <c r="X67">
        <v>0</v>
      </c>
    </row>
    <row r="68" spans="1:24" x14ac:dyDescent="0.25">
      <c r="A68" s="3" t="s">
        <v>71</v>
      </c>
      <c r="B68" s="3" t="str">
        <f>VLOOKUP(A68,'storage capacity'!$A$2:$C$195,3,FALSE)</f>
        <v>Other eurasia</v>
      </c>
      <c r="C68">
        <v>0</v>
      </c>
      <c r="D68">
        <f t="shared" si="8"/>
        <v>3</v>
      </c>
      <c r="E68">
        <f t="shared" si="9"/>
        <v>41</v>
      </c>
      <c r="V68" s="3" t="s">
        <v>71</v>
      </c>
      <c r="W68">
        <v>3</v>
      </c>
      <c r="X68">
        <v>41</v>
      </c>
    </row>
    <row r="69" spans="1:24" x14ac:dyDescent="0.25">
      <c r="A69" s="3" t="s">
        <v>72</v>
      </c>
      <c r="B69" s="3" t="str">
        <f>VLOOKUP(A69,'storage capacity'!$A$2:$C$195,3,FALSE)</f>
        <v>Other latin america</v>
      </c>
      <c r="C69">
        <v>0</v>
      </c>
      <c r="D69">
        <f t="shared" si="8"/>
        <v>1</v>
      </c>
      <c r="E69">
        <f t="shared" si="9"/>
        <v>0</v>
      </c>
      <c r="V69" s="3" t="s">
        <v>72</v>
      </c>
      <c r="W69">
        <v>1</v>
      </c>
      <c r="X69">
        <v>0</v>
      </c>
    </row>
    <row r="70" spans="1:24" x14ac:dyDescent="0.25">
      <c r="A70" s="3" t="s">
        <v>73</v>
      </c>
      <c r="B70" s="3" t="str">
        <f>VLOOKUP(A70,'storage capacity'!$A$2:$C$195,3,FALSE)</f>
        <v>Other latin america</v>
      </c>
      <c r="C70">
        <v>0</v>
      </c>
      <c r="D70">
        <f t="shared" si="8"/>
        <v>3</v>
      </c>
      <c r="E70">
        <f t="shared" si="9"/>
        <v>0</v>
      </c>
      <c r="V70" s="3" t="s">
        <v>73</v>
      </c>
      <c r="W70">
        <v>3</v>
      </c>
      <c r="X70">
        <v>0</v>
      </c>
    </row>
    <row r="71" spans="1:24" x14ac:dyDescent="0.25">
      <c r="A71" s="3" t="s">
        <v>74</v>
      </c>
      <c r="B71" s="3" t="str">
        <f>VLOOKUP(A71,'storage capacity'!$A$2:$C$195,3,FALSE)</f>
        <v>Sub-saharan africa</v>
      </c>
      <c r="C71">
        <v>0</v>
      </c>
      <c r="D71">
        <f t="shared" si="8"/>
        <v>2</v>
      </c>
      <c r="E71">
        <f t="shared" si="9"/>
        <v>0</v>
      </c>
      <c r="V71" s="3" t="s">
        <v>74</v>
      </c>
      <c r="W71">
        <v>2</v>
      </c>
      <c r="X71">
        <v>0</v>
      </c>
    </row>
    <row r="72" spans="1:24" x14ac:dyDescent="0.25">
      <c r="A72" s="3" t="s">
        <v>75</v>
      </c>
      <c r="B72" s="3" t="str">
        <f>VLOOKUP(A72,'storage capacity'!$A$2:$C$195,3,FALSE)</f>
        <v>Sub-saharan africa</v>
      </c>
      <c r="C72">
        <v>0</v>
      </c>
      <c r="D72">
        <f t="shared" si="8"/>
        <v>2</v>
      </c>
      <c r="E72">
        <f t="shared" si="9"/>
        <v>0</v>
      </c>
      <c r="V72" s="3" t="s">
        <v>75</v>
      </c>
      <c r="W72">
        <v>2</v>
      </c>
      <c r="X72">
        <v>0</v>
      </c>
    </row>
    <row r="73" spans="1:24" x14ac:dyDescent="0.25">
      <c r="A73" s="3" t="s">
        <v>76</v>
      </c>
      <c r="B73" s="3" t="str">
        <f>VLOOKUP(A73,'storage capacity'!$A$2:$C$195,3,FALSE)</f>
        <v>Other latin america</v>
      </c>
      <c r="C73">
        <v>0</v>
      </c>
      <c r="D73">
        <f t="shared" si="8"/>
        <v>1</v>
      </c>
      <c r="E73">
        <f t="shared" si="9"/>
        <v>0</v>
      </c>
      <c r="V73" s="3" t="s">
        <v>76</v>
      </c>
      <c r="W73">
        <v>1</v>
      </c>
      <c r="X73">
        <v>0</v>
      </c>
    </row>
    <row r="74" spans="1:24" x14ac:dyDescent="0.25">
      <c r="A74" s="3" t="s">
        <v>77</v>
      </c>
      <c r="B74" s="3" t="str">
        <f>VLOOKUP(A74,'storage capacity'!$A$2:$C$195,3,FALSE)</f>
        <v>Other latin america</v>
      </c>
      <c r="C74">
        <v>0</v>
      </c>
      <c r="D74">
        <f t="shared" si="8"/>
        <v>2</v>
      </c>
      <c r="E74">
        <f t="shared" si="9"/>
        <v>0</v>
      </c>
      <c r="V74" s="3" t="s">
        <v>77</v>
      </c>
      <c r="W74">
        <v>2</v>
      </c>
      <c r="X74">
        <v>0</v>
      </c>
    </row>
    <row r="75" spans="1:24" x14ac:dyDescent="0.25">
      <c r="A75" s="3" t="s">
        <v>78</v>
      </c>
      <c r="B75" s="3" t="e">
        <f>VLOOKUP(A75,'storage capacity'!$A$2:$C$195,3,FALSE)</f>
        <v>#N/A</v>
      </c>
      <c r="C75">
        <v>0</v>
      </c>
      <c r="D75">
        <f t="shared" si="8"/>
        <v>1</v>
      </c>
      <c r="E75">
        <f t="shared" si="9"/>
        <v>0</v>
      </c>
      <c r="V75" s="3" t="s">
        <v>78</v>
      </c>
      <c r="W75">
        <v>1</v>
      </c>
      <c r="X75">
        <v>0</v>
      </c>
    </row>
    <row r="76" spans="1:24" x14ac:dyDescent="0.25">
      <c r="A76" s="3" t="s">
        <v>79</v>
      </c>
      <c r="B76" s="3" t="str">
        <f>VLOOKUP(A76,'storage capacity'!$A$2:$C$195,3,FALSE)</f>
        <v>Other latin america</v>
      </c>
      <c r="C76">
        <v>0</v>
      </c>
      <c r="D76">
        <f t="shared" si="8"/>
        <v>3</v>
      </c>
      <c r="E76">
        <f t="shared" si="9"/>
        <v>0</v>
      </c>
      <c r="V76" s="3" t="s">
        <v>79</v>
      </c>
      <c r="W76">
        <v>3</v>
      </c>
      <c r="X76">
        <v>0</v>
      </c>
    </row>
    <row r="77" spans="1:24" x14ac:dyDescent="0.25">
      <c r="A77" s="3" t="s">
        <v>80</v>
      </c>
      <c r="B77" s="3" t="str">
        <f>VLOOKUP(A77,'storage capacity'!$A$2:$C$195,3,FALSE)</f>
        <v>Other eurasia</v>
      </c>
      <c r="C77">
        <v>0</v>
      </c>
      <c r="D77">
        <f t="shared" si="8"/>
        <v>5</v>
      </c>
      <c r="E77">
        <f t="shared" si="9"/>
        <v>44</v>
      </c>
      <c r="V77" s="3" t="s">
        <v>80</v>
      </c>
      <c r="W77">
        <v>5</v>
      </c>
      <c r="X77">
        <v>44</v>
      </c>
    </row>
    <row r="78" spans="1:24" x14ac:dyDescent="0.25">
      <c r="A78" s="3" t="s">
        <v>81</v>
      </c>
      <c r="B78" s="3" t="str">
        <f>VLOOKUP(A78,'storage capacity'!$A$2:$C$195,3,FALSE)</f>
        <v>Country specific</v>
      </c>
      <c r="C78">
        <v>36.5</v>
      </c>
      <c r="D78">
        <f t="shared" si="8"/>
        <v>3</v>
      </c>
      <c r="E78">
        <f t="shared" si="9"/>
        <v>0</v>
      </c>
      <c r="V78" s="3" t="s">
        <v>81</v>
      </c>
      <c r="W78">
        <v>3</v>
      </c>
      <c r="X78">
        <v>0</v>
      </c>
    </row>
    <row r="79" spans="1:24" x14ac:dyDescent="0.25">
      <c r="A79" s="3" t="s">
        <v>82</v>
      </c>
      <c r="B79" s="3" t="str">
        <f>VLOOKUP(A79,'storage capacity'!$A$2:$C$195,3,FALSE)</f>
        <v>Country specific</v>
      </c>
      <c r="C79">
        <v>0</v>
      </c>
      <c r="D79">
        <f t="shared" si="8"/>
        <v>5</v>
      </c>
      <c r="E79">
        <f t="shared" si="9"/>
        <v>0</v>
      </c>
      <c r="V79" s="3" t="s">
        <v>82</v>
      </c>
      <c r="W79">
        <v>5</v>
      </c>
      <c r="X79">
        <v>0</v>
      </c>
    </row>
    <row r="80" spans="1:24" x14ac:dyDescent="0.25">
      <c r="A80" s="3" t="s">
        <v>83</v>
      </c>
      <c r="B80" s="3" t="str">
        <f>VLOOKUP(A80,'storage capacity'!$A$2:$C$195,3,FALSE)</f>
        <v>Country specific</v>
      </c>
      <c r="C80">
        <v>0</v>
      </c>
      <c r="D80">
        <f t="shared" si="8"/>
        <v>4</v>
      </c>
      <c r="E80">
        <f t="shared" si="9"/>
        <v>0</v>
      </c>
      <c r="V80" s="3" t="s">
        <v>83</v>
      </c>
      <c r="W80">
        <v>4</v>
      </c>
      <c r="X80">
        <v>0</v>
      </c>
    </row>
    <row r="81" spans="1:24" x14ac:dyDescent="0.25">
      <c r="A81" s="3" t="s">
        <v>84</v>
      </c>
      <c r="B81" s="3" t="str">
        <f>VLOOKUP(A81,'storage capacity'!$A$2:$C$195,3,FALSE)</f>
        <v>Country specific</v>
      </c>
      <c r="C81">
        <v>0</v>
      </c>
      <c r="D81">
        <f t="shared" si="8"/>
        <v>0</v>
      </c>
      <c r="E81">
        <f t="shared" si="9"/>
        <v>0</v>
      </c>
      <c r="V81" s="3" t="s">
        <v>84</v>
      </c>
      <c r="W81">
        <v>0</v>
      </c>
      <c r="X81">
        <v>0</v>
      </c>
    </row>
    <row r="82" spans="1:24" x14ac:dyDescent="0.25">
      <c r="A82" s="3" t="s">
        <v>85</v>
      </c>
      <c r="B82" s="3" t="str">
        <f>VLOOKUP(A82,'storage capacity'!$A$2:$C$195,3,FALSE)</f>
        <v>Middle east</v>
      </c>
      <c r="C82">
        <v>0</v>
      </c>
      <c r="D82">
        <f t="shared" si="8"/>
        <v>0</v>
      </c>
      <c r="E82">
        <f t="shared" si="9"/>
        <v>0</v>
      </c>
      <c r="V82" s="3" t="s">
        <v>85</v>
      </c>
      <c r="W82">
        <v>0</v>
      </c>
      <c r="X82">
        <v>0</v>
      </c>
    </row>
    <row r="83" spans="1:24" x14ac:dyDescent="0.25">
      <c r="A83" s="3" t="s">
        <v>86</v>
      </c>
      <c r="B83" s="3" t="str">
        <f>VLOOKUP(A83,'storage capacity'!$A$2:$C$195,3,FALSE)</f>
        <v>Country specific</v>
      </c>
      <c r="C83">
        <v>60.19</v>
      </c>
      <c r="D83">
        <f t="shared" si="8"/>
        <v>1</v>
      </c>
      <c r="E83">
        <f t="shared" si="9"/>
        <v>0</v>
      </c>
      <c r="V83" s="3" t="s">
        <v>86</v>
      </c>
      <c r="W83">
        <v>1</v>
      </c>
      <c r="X83">
        <v>0</v>
      </c>
    </row>
    <row r="84" spans="1:24" x14ac:dyDescent="0.25">
      <c r="A84" s="3" t="s">
        <v>87</v>
      </c>
      <c r="B84" s="3" t="str">
        <f>VLOOKUP(A84,'storage capacity'!$A$2:$C$195,3,FALSE)</f>
        <v>Middle east</v>
      </c>
      <c r="C84">
        <v>0</v>
      </c>
      <c r="D84">
        <f t="shared" si="8"/>
        <v>3</v>
      </c>
      <c r="E84">
        <f t="shared" si="9"/>
        <v>0</v>
      </c>
      <c r="V84" s="3" t="s">
        <v>87</v>
      </c>
      <c r="W84">
        <v>3</v>
      </c>
      <c r="X84">
        <v>0</v>
      </c>
    </row>
    <row r="85" spans="1:24" x14ac:dyDescent="0.25">
      <c r="A85" s="3" t="s">
        <v>88</v>
      </c>
      <c r="B85" s="3" t="str">
        <f>VLOOKUP(A85,'storage capacity'!$A$2:$C$195,3,FALSE)</f>
        <v>Country specific</v>
      </c>
      <c r="C85">
        <v>0</v>
      </c>
      <c r="D85">
        <f t="shared" si="8"/>
        <v>1</v>
      </c>
      <c r="E85">
        <f t="shared" si="9"/>
        <v>46</v>
      </c>
      <c r="V85" s="3" t="s">
        <v>88</v>
      </c>
      <c r="W85">
        <v>1</v>
      </c>
      <c r="X85">
        <v>46</v>
      </c>
    </row>
    <row r="86" spans="1:24" x14ac:dyDescent="0.25">
      <c r="A86" s="3" t="s">
        <v>89</v>
      </c>
      <c r="B86" s="3" t="str">
        <f>VLOOKUP(A86,'storage capacity'!$A$2:$C$195,3,FALSE)</f>
        <v>Other latin america</v>
      </c>
      <c r="C86">
        <v>0</v>
      </c>
      <c r="D86">
        <f t="shared" si="8"/>
        <v>3</v>
      </c>
      <c r="E86">
        <f t="shared" si="9"/>
        <v>0</v>
      </c>
      <c r="V86" s="3" t="s">
        <v>89</v>
      </c>
      <c r="W86">
        <v>3</v>
      </c>
      <c r="X86">
        <v>0</v>
      </c>
    </row>
    <row r="87" spans="1:24" x14ac:dyDescent="0.25">
      <c r="A87" s="3" t="s">
        <v>90</v>
      </c>
      <c r="B87" s="3" t="str">
        <f>VLOOKUP(A87,'storage capacity'!$A$2:$C$195,3,FALSE)</f>
        <v>Country specific</v>
      </c>
      <c r="C87">
        <v>1.9</v>
      </c>
      <c r="D87">
        <f t="shared" si="8"/>
        <v>5</v>
      </c>
      <c r="E87">
        <f t="shared" si="9"/>
        <v>50</v>
      </c>
      <c r="V87" s="3" t="s">
        <v>90</v>
      </c>
      <c r="W87">
        <v>5</v>
      </c>
      <c r="X87">
        <v>50</v>
      </c>
    </row>
    <row r="88" spans="1:24" x14ac:dyDescent="0.25">
      <c r="A88" s="3" t="s">
        <v>91</v>
      </c>
      <c r="B88" s="3" t="str">
        <f>VLOOKUP(A88,'storage capacity'!$A$2:$C$195,3,FALSE)</f>
        <v>Middle east</v>
      </c>
      <c r="C88">
        <v>0</v>
      </c>
      <c r="D88">
        <f t="shared" si="8"/>
        <v>5</v>
      </c>
      <c r="E88">
        <f t="shared" si="9"/>
        <v>0</v>
      </c>
      <c r="V88" s="3" t="s">
        <v>91</v>
      </c>
      <c r="W88">
        <v>5</v>
      </c>
      <c r="X88">
        <v>0</v>
      </c>
    </row>
    <row r="89" spans="1:24" x14ac:dyDescent="0.25">
      <c r="A89" s="3" t="s">
        <v>92</v>
      </c>
      <c r="B89" s="3" t="str">
        <f>VLOOKUP(A89,'storage capacity'!$A$2:$C$195,3,FALSE)</f>
        <v>Other eurasia</v>
      </c>
      <c r="C89">
        <v>0</v>
      </c>
      <c r="D89">
        <f t="shared" si="8"/>
        <v>5</v>
      </c>
      <c r="E89">
        <f t="shared" si="9"/>
        <v>0</v>
      </c>
      <c r="V89" s="3" t="s">
        <v>92</v>
      </c>
      <c r="W89">
        <v>5</v>
      </c>
      <c r="X89">
        <v>0</v>
      </c>
    </row>
    <row r="90" spans="1:24" x14ac:dyDescent="0.25">
      <c r="A90" s="3" t="s">
        <v>93</v>
      </c>
      <c r="B90" s="3" t="str">
        <f>VLOOKUP(A90,'storage capacity'!$A$2:$C$195,3,FALSE)</f>
        <v>Sub-saharan africa</v>
      </c>
      <c r="C90">
        <v>0</v>
      </c>
      <c r="D90">
        <f t="shared" si="8"/>
        <v>4</v>
      </c>
      <c r="E90">
        <f t="shared" si="9"/>
        <v>0</v>
      </c>
      <c r="V90" s="3" t="s">
        <v>93</v>
      </c>
      <c r="W90">
        <v>4</v>
      </c>
      <c r="X90">
        <v>0</v>
      </c>
    </row>
    <row r="91" spans="1:24" x14ac:dyDescent="0.25">
      <c r="A91" s="3" t="s">
        <v>94</v>
      </c>
      <c r="B91" s="3" t="str">
        <f>VLOOKUP(A91,'storage capacity'!$A$2:$C$195,3,FALSE)</f>
        <v>Other Asia pacific</v>
      </c>
      <c r="C91">
        <v>0</v>
      </c>
      <c r="D91">
        <f t="shared" si="8"/>
        <v>0</v>
      </c>
      <c r="E91">
        <f t="shared" si="9"/>
        <v>0</v>
      </c>
      <c r="V91" s="3" t="s">
        <v>94</v>
      </c>
      <c r="W91">
        <v>0</v>
      </c>
      <c r="X91">
        <v>0</v>
      </c>
    </row>
    <row r="92" spans="1:24" x14ac:dyDescent="0.25">
      <c r="A92" s="3" t="s">
        <v>95</v>
      </c>
      <c r="B92" s="3" t="str">
        <f>VLOOKUP(A92,'storage capacity'!$A$2:$C$195,3,FALSE)</f>
        <v>Middle east</v>
      </c>
      <c r="C92">
        <v>0</v>
      </c>
      <c r="D92">
        <f t="shared" si="8"/>
        <v>3</v>
      </c>
      <c r="E92">
        <f t="shared" si="9"/>
        <v>0</v>
      </c>
      <c r="V92" s="3" t="s">
        <v>95</v>
      </c>
      <c r="W92">
        <v>3</v>
      </c>
      <c r="X92">
        <v>0</v>
      </c>
    </row>
    <row r="93" spans="1:24" x14ac:dyDescent="0.25">
      <c r="A93" s="3" t="s">
        <v>96</v>
      </c>
      <c r="B93" s="3" t="str">
        <f>VLOOKUP(A93,'storage capacity'!$A$2:$C$195,3,FALSE)</f>
        <v>Other eurasia</v>
      </c>
      <c r="C93">
        <v>0</v>
      </c>
      <c r="D93">
        <f t="shared" si="8"/>
        <v>3</v>
      </c>
      <c r="E93">
        <f t="shared" si="9"/>
        <v>0</v>
      </c>
      <c r="V93" s="3" t="s">
        <v>96</v>
      </c>
      <c r="W93">
        <v>3</v>
      </c>
      <c r="X93">
        <v>0</v>
      </c>
    </row>
    <row r="94" spans="1:24" x14ac:dyDescent="0.25">
      <c r="A94" s="3" t="s">
        <v>97</v>
      </c>
      <c r="B94" s="3" t="str">
        <f>VLOOKUP(A94,'storage capacity'!$A$2:$C$195,3,FALSE)</f>
        <v>Other Asia pacific</v>
      </c>
      <c r="C94">
        <v>0</v>
      </c>
      <c r="D94">
        <f t="shared" si="8"/>
        <v>2</v>
      </c>
      <c r="E94">
        <f t="shared" si="9"/>
        <v>0</v>
      </c>
      <c r="V94" s="3" t="s">
        <v>97</v>
      </c>
      <c r="W94">
        <v>2</v>
      </c>
      <c r="X94">
        <v>0</v>
      </c>
    </row>
    <row r="95" spans="1:24" x14ac:dyDescent="0.25">
      <c r="A95" s="3" t="s">
        <v>98</v>
      </c>
      <c r="B95" s="3" t="str">
        <f>VLOOKUP(A95,'storage capacity'!$A$2:$C$195,3,FALSE)</f>
        <v>Other eurasia</v>
      </c>
      <c r="C95">
        <v>0</v>
      </c>
      <c r="D95">
        <f t="shared" si="8"/>
        <v>3</v>
      </c>
      <c r="E95">
        <f t="shared" si="9"/>
        <v>0</v>
      </c>
      <c r="V95" s="3" t="s">
        <v>98</v>
      </c>
      <c r="W95">
        <v>3</v>
      </c>
      <c r="X95">
        <v>0</v>
      </c>
    </row>
    <row r="96" spans="1:24" x14ac:dyDescent="0.25">
      <c r="A96" s="3" t="s">
        <v>99</v>
      </c>
      <c r="B96" s="3" t="str">
        <f>VLOOKUP(A96,'storage capacity'!$A$2:$C$195,3,FALSE)</f>
        <v>Middle east</v>
      </c>
      <c r="C96">
        <v>0</v>
      </c>
      <c r="D96">
        <f t="shared" si="8"/>
        <v>3</v>
      </c>
      <c r="E96">
        <f t="shared" si="9"/>
        <v>0</v>
      </c>
      <c r="V96" s="3" t="s">
        <v>99</v>
      </c>
      <c r="W96">
        <v>3</v>
      </c>
      <c r="X96">
        <v>0</v>
      </c>
    </row>
    <row r="97" spans="1:24" x14ac:dyDescent="0.25">
      <c r="A97" s="3" t="s">
        <v>100</v>
      </c>
      <c r="B97" s="3" t="str">
        <f>VLOOKUP(A97,'storage capacity'!$A$2:$C$195,3,FALSE)</f>
        <v>Sub-saharan africa</v>
      </c>
      <c r="C97">
        <v>0</v>
      </c>
      <c r="D97">
        <f t="shared" si="8"/>
        <v>2</v>
      </c>
      <c r="E97">
        <f t="shared" si="9"/>
        <v>0</v>
      </c>
      <c r="V97" s="3" t="s">
        <v>100</v>
      </c>
      <c r="W97">
        <v>2</v>
      </c>
      <c r="X97">
        <v>0</v>
      </c>
    </row>
    <row r="98" spans="1:24" x14ac:dyDescent="0.25">
      <c r="A98" s="3" t="s">
        <v>101</v>
      </c>
      <c r="B98" s="3" t="str">
        <f>VLOOKUP(A98,'storage capacity'!$A$2:$C$195,3,FALSE)</f>
        <v>Sub-saharan africa</v>
      </c>
      <c r="C98">
        <v>0</v>
      </c>
      <c r="D98">
        <f t="shared" si="8"/>
        <v>2</v>
      </c>
      <c r="E98">
        <f t="shared" si="9"/>
        <v>0</v>
      </c>
      <c r="V98" s="3" t="s">
        <v>101</v>
      </c>
      <c r="W98">
        <v>2</v>
      </c>
      <c r="X98">
        <v>0</v>
      </c>
    </row>
    <row r="99" spans="1:24" x14ac:dyDescent="0.25">
      <c r="A99" s="3" t="s">
        <v>102</v>
      </c>
      <c r="B99" s="3" t="str">
        <f>VLOOKUP(A99,'storage capacity'!$A$2:$C$195,3,FALSE)</f>
        <v>Middle east</v>
      </c>
      <c r="C99">
        <v>0</v>
      </c>
      <c r="D99">
        <f t="shared" si="8"/>
        <v>0</v>
      </c>
      <c r="E99">
        <f t="shared" si="9"/>
        <v>0</v>
      </c>
      <c r="V99" s="3" t="s">
        <v>102</v>
      </c>
      <c r="W99">
        <v>0</v>
      </c>
      <c r="X99">
        <v>0</v>
      </c>
    </row>
    <row r="100" spans="1:24" x14ac:dyDescent="0.25">
      <c r="A100" s="3" t="s">
        <v>103</v>
      </c>
      <c r="B100" s="3" t="str">
        <f>VLOOKUP(A100,'storage capacity'!$A$2:$C$195,3,FALSE)</f>
        <v>Other eurasia</v>
      </c>
      <c r="C100">
        <v>132.12</v>
      </c>
      <c r="D100">
        <f t="shared" si="8"/>
        <v>3</v>
      </c>
      <c r="E100">
        <f t="shared" si="9"/>
        <v>0</v>
      </c>
      <c r="V100" s="3" t="s">
        <v>103</v>
      </c>
      <c r="W100">
        <v>3</v>
      </c>
      <c r="X100">
        <v>0</v>
      </c>
    </row>
    <row r="101" spans="1:24" x14ac:dyDescent="0.25">
      <c r="A101" s="3" t="s">
        <v>104</v>
      </c>
      <c r="B101" s="3" t="str">
        <f>VLOOKUP(A101,'storage capacity'!$A$2:$C$195,3,FALSE)</f>
        <v>Other eurasia</v>
      </c>
      <c r="C101">
        <v>0</v>
      </c>
      <c r="D101">
        <f t="shared" si="8"/>
        <v>3</v>
      </c>
      <c r="E101">
        <f t="shared" si="9"/>
        <v>0</v>
      </c>
      <c r="V101" s="3" t="s">
        <v>104</v>
      </c>
      <c r="W101">
        <v>3</v>
      </c>
      <c r="X101">
        <v>0</v>
      </c>
    </row>
    <row r="102" spans="1:24" x14ac:dyDescent="0.25">
      <c r="A102" s="3" t="s">
        <v>105</v>
      </c>
      <c r="B102" s="3" t="str">
        <f>VLOOKUP(A102,'storage capacity'!$A$2:$C$195,3,FALSE)</f>
        <v>Other eurasia</v>
      </c>
      <c r="C102">
        <v>49.9</v>
      </c>
      <c r="D102">
        <f t="shared" si="8"/>
        <v>3</v>
      </c>
      <c r="E102">
        <f t="shared" si="9"/>
        <v>0</v>
      </c>
      <c r="V102" s="3" t="s">
        <v>105</v>
      </c>
      <c r="W102">
        <v>3</v>
      </c>
      <c r="X102">
        <v>0</v>
      </c>
    </row>
    <row r="103" spans="1:24" x14ac:dyDescent="0.25">
      <c r="A103" s="3" t="s">
        <v>106</v>
      </c>
      <c r="B103" s="3" t="str">
        <f>VLOOKUP(A103,'storage capacity'!$A$2:$C$195,3,FALSE)</f>
        <v>Sub-saharan africa</v>
      </c>
      <c r="C103">
        <v>0</v>
      </c>
      <c r="D103">
        <f t="shared" si="8"/>
        <v>2</v>
      </c>
      <c r="E103">
        <f t="shared" si="9"/>
        <v>0</v>
      </c>
      <c r="V103" s="3" t="s">
        <v>106</v>
      </c>
      <c r="W103">
        <v>2</v>
      </c>
      <c r="X103">
        <v>0</v>
      </c>
    </row>
    <row r="104" spans="1:24" x14ac:dyDescent="0.25">
      <c r="A104" s="3" t="s">
        <v>107</v>
      </c>
      <c r="B104" s="3" t="str">
        <f>VLOOKUP(A104,'storage capacity'!$A$2:$C$195,3,FALSE)</f>
        <v>Sub-saharan africa</v>
      </c>
      <c r="C104">
        <v>0</v>
      </c>
      <c r="D104">
        <f t="shared" si="8"/>
        <v>3</v>
      </c>
      <c r="E104">
        <f t="shared" si="9"/>
        <v>0</v>
      </c>
      <c r="V104" s="3" t="s">
        <v>107</v>
      </c>
      <c r="W104">
        <v>3</v>
      </c>
      <c r="X104">
        <v>0</v>
      </c>
    </row>
    <row r="105" spans="1:24" x14ac:dyDescent="0.25">
      <c r="A105" s="3" t="s">
        <v>108</v>
      </c>
      <c r="B105" s="3" t="str">
        <f>VLOOKUP(A105,'storage capacity'!$A$2:$C$195,3,FALSE)</f>
        <v>Country specific</v>
      </c>
      <c r="C105">
        <v>0</v>
      </c>
      <c r="D105">
        <f t="shared" si="8"/>
        <v>3</v>
      </c>
      <c r="E105">
        <f t="shared" si="9"/>
        <v>0</v>
      </c>
      <c r="V105" s="3" t="s">
        <v>108</v>
      </c>
      <c r="W105">
        <v>3</v>
      </c>
      <c r="X105">
        <v>0</v>
      </c>
    </row>
    <row r="106" spans="1:24" x14ac:dyDescent="0.25">
      <c r="A106" s="3" t="s">
        <v>109</v>
      </c>
      <c r="B106" s="3" t="str">
        <f>VLOOKUP(A106,'storage capacity'!$A$2:$C$195,3,FALSE)</f>
        <v>Other Asia pacific</v>
      </c>
      <c r="C106">
        <v>0</v>
      </c>
      <c r="D106">
        <f t="shared" si="8"/>
        <v>1</v>
      </c>
      <c r="E106">
        <f t="shared" si="9"/>
        <v>0</v>
      </c>
      <c r="V106" s="3" t="s">
        <v>109</v>
      </c>
      <c r="W106">
        <v>1</v>
      </c>
      <c r="X106">
        <v>0</v>
      </c>
    </row>
    <row r="107" spans="1:24" x14ac:dyDescent="0.25">
      <c r="A107" s="3" t="s">
        <v>110</v>
      </c>
      <c r="B107" s="3" t="str">
        <f>VLOOKUP(A107,'storage capacity'!$A$2:$C$195,3,FALSE)</f>
        <v>Sub-saharan africa</v>
      </c>
      <c r="C107">
        <v>0</v>
      </c>
      <c r="D107">
        <f t="shared" si="8"/>
        <v>0</v>
      </c>
      <c r="E107">
        <f t="shared" si="9"/>
        <v>0</v>
      </c>
      <c r="V107" s="3" t="s">
        <v>110</v>
      </c>
      <c r="W107">
        <v>0</v>
      </c>
      <c r="X107">
        <v>0</v>
      </c>
    </row>
    <row r="108" spans="1:24" x14ac:dyDescent="0.25">
      <c r="A108" s="3" t="s">
        <v>111</v>
      </c>
      <c r="B108" s="3" t="str">
        <f>VLOOKUP(A108,'storage capacity'!$A$2:$C$195,3,FALSE)</f>
        <v>Other eurasia</v>
      </c>
      <c r="C108">
        <v>0</v>
      </c>
      <c r="D108">
        <f t="shared" si="8"/>
        <v>1</v>
      </c>
      <c r="E108">
        <f t="shared" si="9"/>
        <v>0</v>
      </c>
      <c r="V108" s="3" t="s">
        <v>111</v>
      </c>
      <c r="W108">
        <v>1</v>
      </c>
      <c r="X108">
        <v>0</v>
      </c>
    </row>
    <row r="109" spans="1:24" x14ac:dyDescent="0.25">
      <c r="A109" s="3" t="s">
        <v>112</v>
      </c>
      <c r="B109" s="3" t="str">
        <f>VLOOKUP(A109,'storage capacity'!$A$2:$C$195,3,FALSE)</f>
        <v>Oceania</v>
      </c>
      <c r="C109">
        <v>0</v>
      </c>
      <c r="D109">
        <f t="shared" si="8"/>
        <v>1</v>
      </c>
      <c r="E109">
        <f t="shared" si="9"/>
        <v>0</v>
      </c>
      <c r="V109" s="3" t="s">
        <v>112</v>
      </c>
      <c r="W109">
        <v>1</v>
      </c>
      <c r="X109">
        <v>0</v>
      </c>
    </row>
    <row r="110" spans="1:24" x14ac:dyDescent="0.25">
      <c r="A110" s="3" t="s">
        <v>113</v>
      </c>
      <c r="B110" s="3" t="str">
        <f>VLOOKUP(A110,'storage capacity'!$A$2:$C$195,3,FALSE)</f>
        <v>Sub-saharan africa</v>
      </c>
      <c r="C110">
        <v>0</v>
      </c>
      <c r="D110">
        <f t="shared" si="8"/>
        <v>3</v>
      </c>
      <c r="E110">
        <f t="shared" si="9"/>
        <v>0</v>
      </c>
      <c r="V110" s="3" t="s">
        <v>113</v>
      </c>
      <c r="W110">
        <v>3</v>
      </c>
      <c r="X110">
        <v>0</v>
      </c>
    </row>
    <row r="111" spans="1:24" x14ac:dyDescent="0.25">
      <c r="A111" s="3" t="s">
        <v>114</v>
      </c>
      <c r="B111" s="3" t="str">
        <f>VLOOKUP(A111,'storage capacity'!$A$2:$C$195,3,FALSE)</f>
        <v>Sub-saharan africa</v>
      </c>
      <c r="C111">
        <v>0</v>
      </c>
      <c r="D111">
        <f t="shared" si="8"/>
        <v>2</v>
      </c>
      <c r="E111">
        <f t="shared" si="9"/>
        <v>0</v>
      </c>
      <c r="V111" s="3" t="s">
        <v>114</v>
      </c>
      <c r="W111">
        <v>2</v>
      </c>
      <c r="X111">
        <v>0</v>
      </c>
    </row>
    <row r="112" spans="1:24" x14ac:dyDescent="0.25">
      <c r="A112" s="3" t="s">
        <v>115</v>
      </c>
      <c r="B112" s="3" t="str">
        <f>VLOOKUP(A112,'storage capacity'!$A$2:$C$195,3,FALSE)</f>
        <v>Country specific</v>
      </c>
      <c r="C112">
        <v>4.3</v>
      </c>
      <c r="D112">
        <f t="shared" si="8"/>
        <v>5</v>
      </c>
      <c r="E112">
        <f t="shared" si="9"/>
        <v>0</v>
      </c>
      <c r="V112" s="3" t="s">
        <v>115</v>
      </c>
      <c r="W112">
        <v>5</v>
      </c>
      <c r="X112">
        <v>0</v>
      </c>
    </row>
    <row r="113" spans="1:24" x14ac:dyDescent="0.25">
      <c r="A113" s="3" t="s">
        <v>116</v>
      </c>
      <c r="B113" s="3" t="str">
        <f>VLOOKUP(A113,'storage capacity'!$A$2:$C$195,3,FALSE)</f>
        <v>Oceania</v>
      </c>
      <c r="C113">
        <v>0</v>
      </c>
      <c r="D113">
        <f t="shared" si="8"/>
        <v>1</v>
      </c>
      <c r="E113">
        <f t="shared" si="9"/>
        <v>0</v>
      </c>
      <c r="V113" s="3" t="s">
        <v>116</v>
      </c>
      <c r="W113">
        <v>1</v>
      </c>
      <c r="X113">
        <v>0</v>
      </c>
    </row>
    <row r="114" spans="1:24" x14ac:dyDescent="0.25">
      <c r="A114" s="3" t="s">
        <v>117</v>
      </c>
      <c r="B114" s="3" t="str">
        <f>VLOOKUP(A114,'storage capacity'!$A$2:$C$195,3,FALSE)</f>
        <v>Other eurasia</v>
      </c>
      <c r="C114">
        <v>0</v>
      </c>
      <c r="D114">
        <f t="shared" si="8"/>
        <v>3</v>
      </c>
      <c r="E114">
        <f t="shared" si="9"/>
        <v>0</v>
      </c>
      <c r="V114" s="3" t="s">
        <v>117</v>
      </c>
      <c r="W114">
        <v>3</v>
      </c>
      <c r="X114">
        <v>0</v>
      </c>
    </row>
    <row r="115" spans="1:24" x14ac:dyDescent="0.25">
      <c r="A115" s="3" t="s">
        <v>118</v>
      </c>
      <c r="B115" s="3" t="str">
        <f>VLOOKUP(A115,'storage capacity'!$A$2:$C$195,3,FALSE)</f>
        <v>Other eurasia</v>
      </c>
      <c r="C115">
        <v>0</v>
      </c>
      <c r="D115">
        <f t="shared" si="8"/>
        <v>1</v>
      </c>
      <c r="E115">
        <f t="shared" si="9"/>
        <v>0</v>
      </c>
      <c r="V115" s="3" t="s">
        <v>118</v>
      </c>
      <c r="W115">
        <v>1</v>
      </c>
      <c r="X115">
        <v>0</v>
      </c>
    </row>
    <row r="116" spans="1:24" x14ac:dyDescent="0.25">
      <c r="A116" s="3" t="s">
        <v>119</v>
      </c>
      <c r="B116" s="3" t="str">
        <f>VLOOKUP(A116,'storage capacity'!$A$2:$C$195,3,FALSE)</f>
        <v>Other Asia pacific</v>
      </c>
      <c r="C116">
        <v>0</v>
      </c>
      <c r="D116">
        <f t="shared" si="8"/>
        <v>3</v>
      </c>
      <c r="E116">
        <f t="shared" si="9"/>
        <v>0</v>
      </c>
      <c r="V116" s="3" t="s">
        <v>119</v>
      </c>
      <c r="W116">
        <v>3</v>
      </c>
      <c r="X116">
        <v>0</v>
      </c>
    </row>
    <row r="117" spans="1:24" x14ac:dyDescent="0.25">
      <c r="A117" s="3" t="s">
        <v>120</v>
      </c>
      <c r="B117" s="3" t="str">
        <f>VLOOKUP(A117,'storage capacity'!$A$2:$C$195,3,FALSE)</f>
        <v>Other eurasia</v>
      </c>
      <c r="C117">
        <v>0</v>
      </c>
      <c r="D117">
        <f t="shared" si="8"/>
        <v>1</v>
      </c>
      <c r="E117">
        <f t="shared" si="9"/>
        <v>0</v>
      </c>
      <c r="V117" s="3" t="s">
        <v>120</v>
      </c>
      <c r="W117">
        <v>1</v>
      </c>
      <c r="X117">
        <v>0</v>
      </c>
    </row>
    <row r="118" spans="1:24" x14ac:dyDescent="0.25">
      <c r="A118" s="3" t="s">
        <v>121</v>
      </c>
      <c r="B118" s="3" t="str">
        <f>VLOOKUP(A118,'storage capacity'!$A$2:$C$195,3,FALSE)</f>
        <v>Middle east</v>
      </c>
      <c r="C118">
        <v>0</v>
      </c>
      <c r="D118">
        <f t="shared" si="8"/>
        <v>4</v>
      </c>
      <c r="E118">
        <f t="shared" si="9"/>
        <v>0</v>
      </c>
      <c r="V118" s="3" t="s">
        <v>121</v>
      </c>
      <c r="W118">
        <v>4</v>
      </c>
      <c r="X118">
        <v>0</v>
      </c>
    </row>
    <row r="119" spans="1:24" x14ac:dyDescent="0.25">
      <c r="A119" s="3" t="s">
        <v>122</v>
      </c>
      <c r="B119" s="3" t="str">
        <f>VLOOKUP(A119,'storage capacity'!$A$2:$C$195,3,FALSE)</f>
        <v>Sub-saharan africa</v>
      </c>
      <c r="C119">
        <v>0</v>
      </c>
      <c r="D119">
        <f t="shared" si="8"/>
        <v>0</v>
      </c>
      <c r="E119">
        <f t="shared" si="9"/>
        <v>0</v>
      </c>
      <c r="V119" s="3" t="s">
        <v>122</v>
      </c>
      <c r="W119">
        <v>0</v>
      </c>
      <c r="X119">
        <v>0</v>
      </c>
    </row>
    <row r="120" spans="1:24" x14ac:dyDescent="0.25">
      <c r="A120" s="3" t="s">
        <v>123</v>
      </c>
      <c r="B120" s="3" t="str">
        <f>VLOOKUP(A120,'storage capacity'!$A$2:$C$195,3,FALSE)</f>
        <v>Other Asia pacific</v>
      </c>
      <c r="C120">
        <v>0</v>
      </c>
      <c r="D120">
        <f t="shared" si="8"/>
        <v>0</v>
      </c>
      <c r="E120">
        <f t="shared" si="9"/>
        <v>0</v>
      </c>
      <c r="V120" s="3" t="s">
        <v>123</v>
      </c>
      <c r="W120">
        <v>0</v>
      </c>
      <c r="X120">
        <v>0</v>
      </c>
    </row>
    <row r="121" spans="1:24" x14ac:dyDescent="0.25">
      <c r="A121" s="3" t="s">
        <v>124</v>
      </c>
      <c r="B121" s="3" t="str">
        <f>VLOOKUP(A121,'storage capacity'!$A$2:$C$195,3,FALSE)</f>
        <v>Sub-saharan africa</v>
      </c>
      <c r="C121">
        <v>0</v>
      </c>
      <c r="D121">
        <f t="shared" si="8"/>
        <v>3</v>
      </c>
      <c r="E121">
        <f t="shared" si="9"/>
        <v>0</v>
      </c>
      <c r="V121" s="3" t="s">
        <v>124</v>
      </c>
      <c r="W121">
        <v>3</v>
      </c>
      <c r="X121">
        <v>0</v>
      </c>
    </row>
    <row r="122" spans="1:24" x14ac:dyDescent="0.25">
      <c r="A122" s="3" t="s">
        <v>125</v>
      </c>
      <c r="B122" s="3" t="str">
        <f>VLOOKUP(A122,'storage capacity'!$A$2:$C$195,3,FALSE)</f>
        <v>Oceania</v>
      </c>
      <c r="C122">
        <v>0</v>
      </c>
      <c r="D122">
        <f t="shared" si="8"/>
        <v>1</v>
      </c>
      <c r="E122">
        <f t="shared" si="9"/>
        <v>0</v>
      </c>
      <c r="V122" s="3" t="s">
        <v>125</v>
      </c>
      <c r="W122">
        <v>1</v>
      </c>
      <c r="X122">
        <v>0</v>
      </c>
    </row>
    <row r="123" spans="1:24" x14ac:dyDescent="0.25">
      <c r="A123" s="3" t="s">
        <v>126</v>
      </c>
      <c r="B123" s="3" t="str">
        <f>VLOOKUP(A123,'storage capacity'!$A$2:$C$195,3,FALSE)</f>
        <v>Other Asia pacific</v>
      </c>
      <c r="C123">
        <v>0</v>
      </c>
      <c r="D123">
        <f t="shared" si="8"/>
        <v>2</v>
      </c>
      <c r="E123">
        <f t="shared" si="9"/>
        <v>0</v>
      </c>
      <c r="V123" s="3" t="s">
        <v>126</v>
      </c>
      <c r="W123">
        <v>2</v>
      </c>
      <c r="X123">
        <v>0</v>
      </c>
    </row>
    <row r="124" spans="1:24" x14ac:dyDescent="0.25">
      <c r="A124" s="3" t="s">
        <v>127</v>
      </c>
      <c r="B124" s="3" t="str">
        <f>VLOOKUP(A124,'storage capacity'!$A$2:$C$195,3,FALSE)</f>
        <v>Country specific</v>
      </c>
      <c r="C124">
        <v>71.48</v>
      </c>
      <c r="D124">
        <f t="shared" si="8"/>
        <v>5</v>
      </c>
      <c r="E124">
        <f t="shared" si="9"/>
        <v>55</v>
      </c>
      <c r="V124" s="3" t="s">
        <v>127</v>
      </c>
      <c r="W124">
        <v>5</v>
      </c>
      <c r="X124">
        <v>55</v>
      </c>
    </row>
    <row r="125" spans="1:24" x14ac:dyDescent="0.25">
      <c r="A125" s="3" t="s">
        <v>128</v>
      </c>
      <c r="B125" s="3" t="str">
        <f>VLOOKUP(A125,'storage capacity'!$A$2:$C$195,3,FALSE)</f>
        <v>Country specific</v>
      </c>
      <c r="C125">
        <v>0</v>
      </c>
      <c r="D125">
        <f t="shared" si="8"/>
        <v>2</v>
      </c>
      <c r="E125">
        <f t="shared" si="9"/>
        <v>0</v>
      </c>
      <c r="V125" s="3" t="s">
        <v>128</v>
      </c>
      <c r="W125">
        <v>2</v>
      </c>
      <c r="X125">
        <v>0</v>
      </c>
    </row>
    <row r="126" spans="1:24" x14ac:dyDescent="0.25">
      <c r="A126" s="3" t="s">
        <v>129</v>
      </c>
      <c r="B126" s="3" t="str">
        <f>VLOOKUP(A126,'storage capacity'!$A$2:$C$195,3,FALSE)</f>
        <v>Other latin america</v>
      </c>
      <c r="C126">
        <v>0</v>
      </c>
      <c r="D126">
        <f t="shared" si="8"/>
        <v>3</v>
      </c>
      <c r="E126">
        <f t="shared" si="9"/>
        <v>0</v>
      </c>
      <c r="V126" s="3" t="s">
        <v>129</v>
      </c>
      <c r="W126">
        <v>3</v>
      </c>
      <c r="X126">
        <v>0</v>
      </c>
    </row>
    <row r="127" spans="1:24" x14ac:dyDescent="0.25">
      <c r="A127" s="3" t="s">
        <v>130</v>
      </c>
      <c r="B127" s="3" t="str">
        <f>VLOOKUP(A127,'storage capacity'!$A$2:$C$195,3,FALSE)</f>
        <v>Sub-saharan africa</v>
      </c>
      <c r="C127">
        <v>0</v>
      </c>
      <c r="D127">
        <f t="shared" si="8"/>
        <v>0</v>
      </c>
      <c r="E127">
        <f t="shared" si="9"/>
        <v>0</v>
      </c>
      <c r="V127" s="3" t="s">
        <v>130</v>
      </c>
      <c r="W127">
        <v>0</v>
      </c>
      <c r="X127">
        <v>0</v>
      </c>
    </row>
    <row r="128" spans="1:24" x14ac:dyDescent="0.25">
      <c r="A128" s="3" t="s">
        <v>131</v>
      </c>
      <c r="B128" s="3" t="str">
        <f>VLOOKUP(A128,'storage capacity'!$A$2:$C$195,3,FALSE)</f>
        <v>Sub-saharan africa</v>
      </c>
      <c r="C128">
        <v>0</v>
      </c>
      <c r="D128">
        <f t="shared" si="8"/>
        <v>0</v>
      </c>
      <c r="E128">
        <f t="shared" si="9"/>
        <v>0</v>
      </c>
      <c r="V128" s="3" t="s">
        <v>131</v>
      </c>
      <c r="W128">
        <v>0</v>
      </c>
      <c r="X128">
        <v>0</v>
      </c>
    </row>
    <row r="129" spans="1:24" x14ac:dyDescent="0.25">
      <c r="A129" s="3" t="s">
        <v>132</v>
      </c>
      <c r="B129" s="3" t="str">
        <f>VLOOKUP(A129,'storage capacity'!$A$2:$C$195,3,FALSE)</f>
        <v>Other Asia pacific</v>
      </c>
      <c r="C129">
        <v>0</v>
      </c>
      <c r="D129">
        <f t="shared" si="8"/>
        <v>0</v>
      </c>
      <c r="E129">
        <f t="shared" si="9"/>
        <v>0</v>
      </c>
      <c r="V129" s="3" t="s">
        <v>132</v>
      </c>
      <c r="W129">
        <v>0</v>
      </c>
      <c r="X129">
        <v>0</v>
      </c>
    </row>
    <row r="130" spans="1:24" x14ac:dyDescent="0.25">
      <c r="A130" s="3" t="s">
        <v>133</v>
      </c>
      <c r="B130" s="3" t="str">
        <f>VLOOKUP(A130,'storage capacity'!$A$2:$C$195,3,FALSE)</f>
        <v>Other eurasia</v>
      </c>
      <c r="C130">
        <v>0</v>
      </c>
      <c r="D130">
        <f t="shared" si="8"/>
        <v>2</v>
      </c>
      <c r="E130">
        <f t="shared" si="9"/>
        <v>0</v>
      </c>
      <c r="V130" s="3" t="s">
        <v>133</v>
      </c>
      <c r="W130">
        <v>2</v>
      </c>
      <c r="X130">
        <v>0</v>
      </c>
    </row>
    <row r="131" spans="1:24" x14ac:dyDescent="0.25">
      <c r="A131" s="3" t="s">
        <v>134</v>
      </c>
      <c r="B131" s="3" t="str">
        <f>VLOOKUP(A131,'storage capacity'!$A$2:$C$195,3,FALSE)</f>
        <v>Country specific</v>
      </c>
      <c r="C131">
        <v>107.78</v>
      </c>
      <c r="D131">
        <f t="shared" ref="D131:D194" si="10">VLOOKUP(A131,$V$2:$W$196,2,FALSE)</f>
        <v>3</v>
      </c>
      <c r="E131">
        <f t="shared" ref="E131:E194" si="11">VLOOKUP(A131,$V$2:$X$196,3,FALSE)</f>
        <v>67</v>
      </c>
      <c r="V131" s="3" t="s">
        <v>134</v>
      </c>
      <c r="W131">
        <v>3</v>
      </c>
      <c r="X131">
        <v>67</v>
      </c>
    </row>
    <row r="132" spans="1:24" x14ac:dyDescent="0.25">
      <c r="A132" s="3" t="s">
        <v>135</v>
      </c>
      <c r="B132" s="3" t="str">
        <f>VLOOKUP(A132,'storage capacity'!$A$2:$C$195,3,FALSE)</f>
        <v>Middle east</v>
      </c>
      <c r="C132">
        <v>0</v>
      </c>
      <c r="D132">
        <f t="shared" si="10"/>
        <v>3</v>
      </c>
      <c r="E132">
        <f t="shared" si="11"/>
        <v>0</v>
      </c>
      <c r="V132" s="3" t="s">
        <v>135</v>
      </c>
      <c r="W132">
        <v>3</v>
      </c>
      <c r="X132">
        <v>0</v>
      </c>
    </row>
    <row r="133" spans="1:24" x14ac:dyDescent="0.25">
      <c r="A133" s="3" t="s">
        <v>136</v>
      </c>
      <c r="B133" s="3" t="str">
        <f>VLOOKUP(A133,'storage capacity'!$A$2:$C$195,3,FALSE)</f>
        <v>Country specific</v>
      </c>
      <c r="C133">
        <v>0</v>
      </c>
      <c r="D133">
        <f t="shared" si="10"/>
        <v>5</v>
      </c>
      <c r="E133">
        <f t="shared" si="11"/>
        <v>0</v>
      </c>
      <c r="V133" s="3" t="s">
        <v>136</v>
      </c>
      <c r="W133">
        <v>5</v>
      </c>
      <c r="X133">
        <v>0</v>
      </c>
    </row>
    <row r="134" spans="1:24" x14ac:dyDescent="0.25">
      <c r="A134" s="3" t="s">
        <v>137</v>
      </c>
      <c r="B134" s="3" t="str">
        <f>VLOOKUP(A134,'storage capacity'!$A$2:$C$195,3,FALSE)</f>
        <v>Oceania</v>
      </c>
      <c r="C134">
        <v>0</v>
      </c>
      <c r="D134">
        <f t="shared" si="10"/>
        <v>1</v>
      </c>
      <c r="E134">
        <f t="shared" si="11"/>
        <v>0</v>
      </c>
      <c r="V134" s="3" t="s">
        <v>137</v>
      </c>
      <c r="W134">
        <v>1</v>
      </c>
      <c r="X134">
        <v>0</v>
      </c>
    </row>
    <row r="135" spans="1:24" x14ac:dyDescent="0.25">
      <c r="A135" s="3" t="s">
        <v>138</v>
      </c>
      <c r="B135" s="3" t="str">
        <f>VLOOKUP(A135,'storage capacity'!$A$2:$C$195,3,FALSE)</f>
        <v>Other latin america</v>
      </c>
      <c r="C135">
        <v>0</v>
      </c>
      <c r="D135">
        <f t="shared" si="10"/>
        <v>3</v>
      </c>
      <c r="E135">
        <f t="shared" si="11"/>
        <v>0</v>
      </c>
      <c r="V135" s="3" t="s">
        <v>138</v>
      </c>
      <c r="W135">
        <v>3</v>
      </c>
      <c r="X135">
        <v>0</v>
      </c>
    </row>
    <row r="136" spans="1:24" x14ac:dyDescent="0.25">
      <c r="A136" s="3" t="s">
        <v>139</v>
      </c>
      <c r="B136" s="3" t="str">
        <f>VLOOKUP(A136,'storage capacity'!$A$2:$C$195,3,FALSE)</f>
        <v>Other Asia pacific</v>
      </c>
      <c r="C136">
        <v>0</v>
      </c>
      <c r="D136">
        <f t="shared" si="10"/>
        <v>2</v>
      </c>
      <c r="E136">
        <f t="shared" si="11"/>
        <v>0</v>
      </c>
      <c r="V136" s="3" t="s">
        <v>139</v>
      </c>
      <c r="W136">
        <v>2</v>
      </c>
      <c r="X136">
        <v>0</v>
      </c>
    </row>
    <row r="137" spans="1:24" x14ac:dyDescent="0.25">
      <c r="A137" s="3" t="s">
        <v>140</v>
      </c>
      <c r="B137" s="3" t="str">
        <f>VLOOKUP(A137,'storage capacity'!$A$2:$C$195,3,FALSE)</f>
        <v>Other latin america</v>
      </c>
      <c r="C137">
        <v>0</v>
      </c>
      <c r="D137">
        <f t="shared" si="10"/>
        <v>3</v>
      </c>
      <c r="E137">
        <f t="shared" si="11"/>
        <v>0</v>
      </c>
      <c r="V137" s="3" t="s">
        <v>140</v>
      </c>
      <c r="W137">
        <v>3</v>
      </c>
      <c r="X137">
        <v>0</v>
      </c>
    </row>
    <row r="138" spans="1:24" x14ac:dyDescent="0.25">
      <c r="A138" s="3" t="s">
        <v>141</v>
      </c>
      <c r="B138" s="3" t="str">
        <f>VLOOKUP(A138,'storage capacity'!$A$2:$C$195,3,FALSE)</f>
        <v>Other latin america</v>
      </c>
      <c r="C138">
        <v>0</v>
      </c>
      <c r="D138">
        <f t="shared" si="10"/>
        <v>3</v>
      </c>
      <c r="E138">
        <f t="shared" si="11"/>
        <v>0</v>
      </c>
      <c r="V138" s="3" t="s">
        <v>141</v>
      </c>
      <c r="W138">
        <v>3</v>
      </c>
      <c r="X138">
        <v>0</v>
      </c>
    </row>
    <row r="139" spans="1:24" x14ac:dyDescent="0.25">
      <c r="A139" s="3" t="s">
        <v>142</v>
      </c>
      <c r="B139" s="3" t="str">
        <f>VLOOKUP(A139,'storage capacity'!$A$2:$C$195,3,FALSE)</f>
        <v>Other Asia pacific</v>
      </c>
      <c r="C139">
        <v>0</v>
      </c>
      <c r="D139">
        <f t="shared" si="10"/>
        <v>4</v>
      </c>
      <c r="E139">
        <f t="shared" si="11"/>
        <v>0</v>
      </c>
      <c r="V139" s="3" t="s">
        <v>142</v>
      </c>
      <c r="W139">
        <v>4</v>
      </c>
      <c r="X139">
        <v>0</v>
      </c>
    </row>
    <row r="140" spans="1:24" x14ac:dyDescent="0.25">
      <c r="A140" s="3" t="s">
        <v>143</v>
      </c>
      <c r="B140" s="3" t="str">
        <f>VLOOKUP(A140,'storage capacity'!$A$2:$C$195,3,FALSE)</f>
        <v>Country specific</v>
      </c>
      <c r="C140">
        <v>0</v>
      </c>
      <c r="D140">
        <f t="shared" si="10"/>
        <v>5</v>
      </c>
      <c r="E140">
        <f t="shared" si="11"/>
        <v>47</v>
      </c>
      <c r="V140" s="3" t="s">
        <v>143</v>
      </c>
      <c r="W140">
        <v>5</v>
      </c>
      <c r="X140">
        <v>47</v>
      </c>
    </row>
    <row r="141" spans="1:24" x14ac:dyDescent="0.25">
      <c r="A141" s="3" t="s">
        <v>144</v>
      </c>
      <c r="B141" s="3" t="str">
        <f>VLOOKUP(A141,'storage capacity'!$A$2:$C$195,3,FALSE)</f>
        <v>Country specific</v>
      </c>
      <c r="C141">
        <v>0</v>
      </c>
      <c r="D141">
        <f t="shared" si="10"/>
        <v>2</v>
      </c>
      <c r="E141">
        <f t="shared" si="11"/>
        <v>40</v>
      </c>
      <c r="V141" s="3" t="s">
        <v>144</v>
      </c>
      <c r="W141">
        <v>2</v>
      </c>
      <c r="X141">
        <v>40</v>
      </c>
    </row>
    <row r="142" spans="1:24" x14ac:dyDescent="0.25">
      <c r="A142" s="3" t="s">
        <v>145</v>
      </c>
      <c r="B142" s="3" t="str">
        <f>VLOOKUP(A142,'storage capacity'!$A$2:$C$195,3,FALSE)</f>
        <v>Middle east</v>
      </c>
      <c r="C142">
        <v>0</v>
      </c>
      <c r="D142">
        <f t="shared" si="10"/>
        <v>3</v>
      </c>
      <c r="E142">
        <f t="shared" si="11"/>
        <v>0</v>
      </c>
      <c r="V142" s="3" t="s">
        <v>145</v>
      </c>
      <c r="W142">
        <v>3</v>
      </c>
      <c r="X142">
        <v>0</v>
      </c>
    </row>
    <row r="143" spans="1:24" x14ac:dyDescent="0.25">
      <c r="A143" s="3" t="s">
        <v>146</v>
      </c>
      <c r="B143" s="3" t="str">
        <f>VLOOKUP(A143,'storage capacity'!$A$2:$C$195,3,FALSE)</f>
        <v>Other eurasia</v>
      </c>
      <c r="C143">
        <v>0</v>
      </c>
      <c r="D143">
        <f t="shared" si="10"/>
        <v>5</v>
      </c>
      <c r="E143">
        <f t="shared" si="11"/>
        <v>43</v>
      </c>
      <c r="V143" s="3" t="s">
        <v>146</v>
      </c>
      <c r="W143">
        <v>5</v>
      </c>
      <c r="X143">
        <v>43</v>
      </c>
    </row>
    <row r="144" spans="1:24" x14ac:dyDescent="0.25">
      <c r="A144" s="3" t="s">
        <v>147</v>
      </c>
      <c r="B144" s="3" t="str">
        <f>VLOOKUP(A144,'storage capacity'!$A$2:$C$195,3,FALSE)</f>
        <v>Country specific</v>
      </c>
      <c r="C144">
        <v>0</v>
      </c>
      <c r="D144">
        <f t="shared" si="10"/>
        <v>5</v>
      </c>
      <c r="E144">
        <f t="shared" si="11"/>
        <v>0</v>
      </c>
      <c r="V144" s="3" t="s">
        <v>147</v>
      </c>
      <c r="W144">
        <v>5</v>
      </c>
      <c r="X144">
        <v>0</v>
      </c>
    </row>
    <row r="145" spans="1:24" x14ac:dyDescent="0.25">
      <c r="A145" s="3" t="s">
        <v>148</v>
      </c>
      <c r="B145" s="3" t="str">
        <f>VLOOKUP(A145,'storage capacity'!$A$2:$C$195,3,FALSE)</f>
        <v>Sub-saharan africa</v>
      </c>
      <c r="C145">
        <v>0</v>
      </c>
      <c r="D145">
        <f t="shared" si="10"/>
        <v>3</v>
      </c>
      <c r="E145">
        <f t="shared" si="11"/>
        <v>0</v>
      </c>
      <c r="V145" s="3" t="s">
        <v>148</v>
      </c>
      <c r="W145">
        <v>3</v>
      </c>
      <c r="X145">
        <v>0</v>
      </c>
    </row>
    <row r="146" spans="1:24" x14ac:dyDescent="0.25">
      <c r="A146" s="3" t="s">
        <v>149</v>
      </c>
      <c r="B146" s="3" t="str">
        <f>VLOOKUP(A146,'storage capacity'!$A$2:$C$195,3,FALSE)</f>
        <v>Other latin america</v>
      </c>
      <c r="C146">
        <v>0</v>
      </c>
      <c r="D146">
        <f t="shared" si="10"/>
        <v>1</v>
      </c>
      <c r="E146">
        <f t="shared" si="11"/>
        <v>0</v>
      </c>
      <c r="V146" s="3" t="s">
        <v>149</v>
      </c>
      <c r="W146">
        <v>1</v>
      </c>
      <c r="X146">
        <v>0</v>
      </c>
    </row>
    <row r="147" spans="1:24" x14ac:dyDescent="0.25">
      <c r="A147" s="3" t="s">
        <v>150</v>
      </c>
      <c r="B147" s="3" t="str">
        <f>VLOOKUP(A147,'storage capacity'!$A$2:$C$195,3,FALSE)</f>
        <v>Other latin america</v>
      </c>
      <c r="C147">
        <v>0</v>
      </c>
      <c r="D147">
        <f t="shared" si="10"/>
        <v>1</v>
      </c>
      <c r="E147">
        <f t="shared" si="11"/>
        <v>0</v>
      </c>
      <c r="V147" s="3" t="s">
        <v>150</v>
      </c>
      <c r="W147">
        <v>1</v>
      </c>
      <c r="X147">
        <v>0</v>
      </c>
    </row>
    <row r="148" spans="1:24" x14ac:dyDescent="0.25">
      <c r="A148" s="3" t="s">
        <v>151</v>
      </c>
      <c r="B148" s="3" t="str">
        <f>VLOOKUP(A148,'storage capacity'!$A$2:$C$195,3,FALSE)</f>
        <v>Oceania</v>
      </c>
      <c r="C148">
        <v>0</v>
      </c>
      <c r="D148">
        <f t="shared" si="10"/>
        <v>1</v>
      </c>
      <c r="E148">
        <f t="shared" si="11"/>
        <v>0</v>
      </c>
      <c r="V148" s="3" t="s">
        <v>151</v>
      </c>
      <c r="W148">
        <v>1</v>
      </c>
      <c r="X148">
        <v>0</v>
      </c>
    </row>
    <row r="149" spans="1:24" x14ac:dyDescent="0.25">
      <c r="A149" s="3" t="s">
        <v>152</v>
      </c>
      <c r="B149" s="3" t="str">
        <f>VLOOKUP(A149,'storage capacity'!$A$2:$C$195,3,FALSE)</f>
        <v>Other eurasia</v>
      </c>
      <c r="C149">
        <v>0</v>
      </c>
      <c r="D149">
        <f t="shared" si="10"/>
        <v>1</v>
      </c>
      <c r="E149">
        <f t="shared" si="11"/>
        <v>0</v>
      </c>
      <c r="V149" s="3" t="s">
        <v>152</v>
      </c>
      <c r="W149">
        <v>1</v>
      </c>
      <c r="X149">
        <v>0</v>
      </c>
    </row>
    <row r="150" spans="1:24" ht="26.25" x14ac:dyDescent="0.25">
      <c r="A150" s="3" t="s">
        <v>153</v>
      </c>
      <c r="B150" s="3" t="str">
        <f>VLOOKUP(A150,'storage capacity'!$A$2:$C$195,3,FALSE)</f>
        <v>Sub-saharan africa</v>
      </c>
      <c r="C150">
        <v>0</v>
      </c>
      <c r="D150">
        <f t="shared" si="10"/>
        <v>1</v>
      </c>
      <c r="E150">
        <f t="shared" si="11"/>
        <v>0</v>
      </c>
      <c r="V150" s="3" t="s">
        <v>153</v>
      </c>
      <c r="W150">
        <v>1</v>
      </c>
      <c r="X150">
        <v>0</v>
      </c>
    </row>
    <row r="151" spans="1:24" x14ac:dyDescent="0.25">
      <c r="A151" s="3" t="s">
        <v>154</v>
      </c>
      <c r="B151" s="3" t="str">
        <f>VLOOKUP(A151,'storage capacity'!$A$2:$C$195,3,FALSE)</f>
        <v>Country specific</v>
      </c>
      <c r="C151">
        <v>0</v>
      </c>
      <c r="D151">
        <f t="shared" si="10"/>
        <v>5</v>
      </c>
      <c r="E151">
        <f t="shared" si="11"/>
        <v>0</v>
      </c>
      <c r="V151" s="3" t="s">
        <v>154</v>
      </c>
      <c r="W151">
        <v>5</v>
      </c>
      <c r="X151">
        <v>0</v>
      </c>
    </row>
    <row r="152" spans="1:24" x14ac:dyDescent="0.25">
      <c r="A152" s="3" t="s">
        <v>155</v>
      </c>
      <c r="B152" s="3" t="str">
        <f>VLOOKUP(A152,'storage capacity'!$A$2:$C$195,3,FALSE)</f>
        <v>Sub-saharan africa</v>
      </c>
      <c r="C152">
        <v>0</v>
      </c>
      <c r="D152">
        <f t="shared" si="10"/>
        <v>3</v>
      </c>
      <c r="E152">
        <f t="shared" si="11"/>
        <v>0</v>
      </c>
      <c r="V152" s="3" t="s">
        <v>155</v>
      </c>
      <c r="W152">
        <v>3</v>
      </c>
      <c r="X152">
        <v>0</v>
      </c>
    </row>
    <row r="153" spans="1:24" x14ac:dyDescent="0.25">
      <c r="A153" s="3" t="s">
        <v>156</v>
      </c>
      <c r="B153" s="3" t="str">
        <f>VLOOKUP(A153,'storage capacity'!$A$2:$C$195,3,FALSE)</f>
        <v>Other eurasia</v>
      </c>
      <c r="C153">
        <v>0</v>
      </c>
      <c r="D153">
        <f t="shared" si="10"/>
        <v>3</v>
      </c>
      <c r="E153">
        <f t="shared" si="11"/>
        <v>0</v>
      </c>
      <c r="V153" s="3" t="s">
        <v>156</v>
      </c>
      <c r="W153">
        <v>3</v>
      </c>
      <c r="X153">
        <v>0</v>
      </c>
    </row>
    <row r="154" spans="1:24" x14ac:dyDescent="0.25">
      <c r="A154" s="3" t="s">
        <v>157</v>
      </c>
      <c r="B154" s="3" t="str">
        <f>VLOOKUP(A154,'storage capacity'!$A$2:$C$195,3,FALSE)</f>
        <v>Sub-saharan africa</v>
      </c>
      <c r="C154">
        <v>0</v>
      </c>
      <c r="D154">
        <f t="shared" si="10"/>
        <v>1</v>
      </c>
      <c r="E154">
        <f t="shared" si="11"/>
        <v>0</v>
      </c>
      <c r="V154" s="3" t="s">
        <v>157</v>
      </c>
      <c r="W154">
        <v>1</v>
      </c>
      <c r="X154">
        <v>0</v>
      </c>
    </row>
    <row r="155" spans="1:24" x14ac:dyDescent="0.25">
      <c r="A155" s="3" t="s">
        <v>158</v>
      </c>
      <c r="B155" s="3" t="str">
        <f>VLOOKUP(A155,'storage capacity'!$A$2:$C$195,3,FALSE)</f>
        <v>Sub-saharan africa</v>
      </c>
      <c r="C155">
        <v>0</v>
      </c>
      <c r="D155">
        <f t="shared" si="10"/>
        <v>3</v>
      </c>
      <c r="E155">
        <f t="shared" si="11"/>
        <v>0</v>
      </c>
      <c r="V155" s="3" t="s">
        <v>158</v>
      </c>
      <c r="W155">
        <v>3</v>
      </c>
      <c r="X155">
        <v>0</v>
      </c>
    </row>
    <row r="156" spans="1:24" x14ac:dyDescent="0.25">
      <c r="A156" s="3" t="s">
        <v>159</v>
      </c>
      <c r="B156" s="3" t="str">
        <f>VLOOKUP(A156,'storage capacity'!$A$2:$C$195,3,FALSE)</f>
        <v>Other Asia pacific</v>
      </c>
      <c r="C156">
        <v>18.47</v>
      </c>
      <c r="D156">
        <f t="shared" si="10"/>
        <v>2</v>
      </c>
      <c r="E156">
        <f t="shared" si="11"/>
        <v>0</v>
      </c>
      <c r="V156" s="3" t="s">
        <v>159</v>
      </c>
      <c r="W156">
        <v>2</v>
      </c>
      <c r="X156">
        <v>0</v>
      </c>
    </row>
    <row r="157" spans="1:24" x14ac:dyDescent="0.25">
      <c r="A157" s="3" t="s">
        <v>160</v>
      </c>
      <c r="B157" s="3" t="str">
        <f>VLOOKUP(A157,'storage capacity'!$A$2:$C$195,3,FALSE)</f>
        <v>Other eurasia</v>
      </c>
      <c r="C157">
        <v>0</v>
      </c>
      <c r="D157">
        <f t="shared" si="10"/>
        <v>5</v>
      </c>
      <c r="E157">
        <f t="shared" si="11"/>
        <v>40</v>
      </c>
      <c r="V157" s="3" t="s">
        <v>160</v>
      </c>
      <c r="W157">
        <v>5</v>
      </c>
      <c r="X157">
        <v>40</v>
      </c>
    </row>
    <row r="158" spans="1:24" x14ac:dyDescent="0.25">
      <c r="A158" s="3" t="s">
        <v>161</v>
      </c>
      <c r="B158" s="3" t="str">
        <f>VLOOKUP(A158,'storage capacity'!$A$2:$C$195,3,FALSE)</f>
        <v>Other eurasia</v>
      </c>
      <c r="C158">
        <v>18.59</v>
      </c>
      <c r="D158">
        <f t="shared" si="10"/>
        <v>5</v>
      </c>
      <c r="E158">
        <f t="shared" si="11"/>
        <v>0</v>
      </c>
      <c r="V158" s="3" t="s">
        <v>161</v>
      </c>
      <c r="W158">
        <v>5</v>
      </c>
      <c r="X158">
        <v>0</v>
      </c>
    </row>
    <row r="159" spans="1:24" x14ac:dyDescent="0.25">
      <c r="A159" s="3" t="s">
        <v>162</v>
      </c>
      <c r="B159" s="3" t="str">
        <f>VLOOKUP(A159,'storage capacity'!$A$2:$C$195,3,FALSE)</f>
        <v>Oceania</v>
      </c>
      <c r="C159">
        <v>0</v>
      </c>
      <c r="D159">
        <f t="shared" si="10"/>
        <v>1</v>
      </c>
      <c r="E159">
        <f t="shared" si="11"/>
        <v>0</v>
      </c>
      <c r="V159" s="3" t="s">
        <v>162</v>
      </c>
      <c r="W159">
        <v>1</v>
      </c>
      <c r="X159">
        <v>0</v>
      </c>
    </row>
    <row r="160" spans="1:24" x14ac:dyDescent="0.25">
      <c r="A160" s="3" t="s">
        <v>163</v>
      </c>
      <c r="B160" s="3" t="str">
        <f>VLOOKUP(A160,'storage capacity'!$A$2:$C$195,3,FALSE)</f>
        <v>Sub-saharan africa</v>
      </c>
      <c r="C160">
        <v>0</v>
      </c>
      <c r="D160">
        <f t="shared" si="10"/>
        <v>2</v>
      </c>
      <c r="E160">
        <f t="shared" si="11"/>
        <v>0</v>
      </c>
      <c r="V160" s="3" t="s">
        <v>163</v>
      </c>
      <c r="W160">
        <v>2</v>
      </c>
      <c r="X160">
        <v>0</v>
      </c>
    </row>
    <row r="161" spans="1:24" x14ac:dyDescent="0.25">
      <c r="A161" s="3" t="s">
        <v>164</v>
      </c>
      <c r="B161" s="3" t="str">
        <f>VLOOKUP(A161,'storage capacity'!$A$2:$C$195,3,FALSE)</f>
        <v>Country specific</v>
      </c>
      <c r="C161">
        <v>10.08</v>
      </c>
      <c r="D161">
        <f t="shared" si="10"/>
        <v>5</v>
      </c>
      <c r="E161">
        <f t="shared" si="11"/>
        <v>0</v>
      </c>
      <c r="V161" s="3" t="s">
        <v>164</v>
      </c>
      <c r="W161">
        <v>5</v>
      </c>
      <c r="X161">
        <v>0</v>
      </c>
    </row>
    <row r="162" spans="1:24" x14ac:dyDescent="0.25">
      <c r="A162" s="3" t="s">
        <v>165</v>
      </c>
      <c r="B162" s="3" t="str">
        <f>VLOOKUP(A162,'storage capacity'!$A$2:$C$195,3,FALSE)</f>
        <v>Country specific</v>
      </c>
      <c r="C162">
        <v>0</v>
      </c>
      <c r="D162">
        <f t="shared" si="10"/>
        <v>5</v>
      </c>
      <c r="E162">
        <f t="shared" si="11"/>
        <v>0</v>
      </c>
      <c r="V162" s="3" t="s">
        <v>165</v>
      </c>
      <c r="W162">
        <v>5</v>
      </c>
      <c r="X162">
        <v>0</v>
      </c>
    </row>
    <row r="163" spans="1:24" x14ac:dyDescent="0.25">
      <c r="A163" s="3" t="s">
        <v>166</v>
      </c>
      <c r="B163" s="3" t="str">
        <f>VLOOKUP(A163,'storage capacity'!$A$2:$C$195,3,FALSE)</f>
        <v>Sub-saharan africa</v>
      </c>
      <c r="C163">
        <v>0</v>
      </c>
      <c r="D163">
        <f t="shared" si="10"/>
        <v>1</v>
      </c>
      <c r="E163">
        <f t="shared" si="11"/>
        <v>0</v>
      </c>
      <c r="V163" s="3" t="s">
        <v>166</v>
      </c>
      <c r="W163">
        <v>1</v>
      </c>
      <c r="X163">
        <v>0</v>
      </c>
    </row>
    <row r="164" spans="1:24" x14ac:dyDescent="0.25">
      <c r="A164" s="3" t="s">
        <v>167</v>
      </c>
      <c r="B164" s="3" t="str">
        <f>VLOOKUP(A164,'storage capacity'!$A$2:$C$195,3,FALSE)</f>
        <v>Country specific</v>
      </c>
      <c r="C164">
        <v>16.12</v>
      </c>
      <c r="D164">
        <f t="shared" si="10"/>
        <v>5</v>
      </c>
      <c r="E164">
        <f t="shared" si="11"/>
        <v>44</v>
      </c>
      <c r="V164" s="3" t="s">
        <v>167</v>
      </c>
      <c r="W164">
        <v>5</v>
      </c>
      <c r="X164">
        <v>44</v>
      </c>
    </row>
    <row r="165" spans="1:24" x14ac:dyDescent="0.25">
      <c r="A165" s="3" t="s">
        <v>168</v>
      </c>
      <c r="B165" s="3" t="str">
        <f>VLOOKUP(A165,'storage capacity'!$A$2:$C$195,3,FALSE)</f>
        <v>Other Asia pacific</v>
      </c>
      <c r="C165">
        <v>0</v>
      </c>
      <c r="D165">
        <f t="shared" si="10"/>
        <v>1</v>
      </c>
      <c r="E165">
        <f t="shared" si="11"/>
        <v>0</v>
      </c>
      <c r="V165" s="3" t="s">
        <v>168</v>
      </c>
      <c r="W165">
        <v>1</v>
      </c>
      <c r="X165">
        <v>0</v>
      </c>
    </row>
    <row r="166" spans="1:24" ht="26.25" x14ac:dyDescent="0.25">
      <c r="A166" s="3" t="s">
        <v>169</v>
      </c>
      <c r="B166" s="3" t="str">
        <f>VLOOKUP(A166,'storage capacity'!$A$2:$C$195,3,FALSE)</f>
        <v>Other latin america</v>
      </c>
      <c r="C166">
        <v>0</v>
      </c>
      <c r="D166">
        <f t="shared" si="10"/>
        <v>1</v>
      </c>
      <c r="E166">
        <f t="shared" si="11"/>
        <v>0</v>
      </c>
      <c r="V166" s="3" t="s">
        <v>169</v>
      </c>
      <c r="W166">
        <v>1</v>
      </c>
      <c r="X166">
        <v>0</v>
      </c>
    </row>
    <row r="167" spans="1:24" x14ac:dyDescent="0.25">
      <c r="A167" s="3" t="s">
        <v>170</v>
      </c>
      <c r="B167" s="3" t="str">
        <f>VLOOKUP(A167,'storage capacity'!$A$2:$C$195,3,FALSE)</f>
        <v>Middle east</v>
      </c>
      <c r="C167">
        <v>0</v>
      </c>
      <c r="D167">
        <f t="shared" si="10"/>
        <v>0</v>
      </c>
      <c r="E167">
        <f t="shared" si="11"/>
        <v>0</v>
      </c>
      <c r="V167" s="3" t="s">
        <v>170</v>
      </c>
      <c r="W167">
        <v>0</v>
      </c>
      <c r="X167">
        <v>0</v>
      </c>
    </row>
    <row r="168" spans="1:24" x14ac:dyDescent="0.25">
      <c r="A168" s="3" t="s">
        <v>171</v>
      </c>
      <c r="B168" s="3" t="str">
        <f>VLOOKUP(A168,'storage capacity'!$A$2:$C$195,3,FALSE)</f>
        <v>Middle east</v>
      </c>
      <c r="C168">
        <v>0</v>
      </c>
      <c r="D168">
        <f t="shared" si="10"/>
        <v>0</v>
      </c>
      <c r="E168">
        <f t="shared" si="11"/>
        <v>0</v>
      </c>
      <c r="V168" s="3" t="s">
        <v>171</v>
      </c>
      <c r="W168">
        <v>0</v>
      </c>
      <c r="X168">
        <v>0</v>
      </c>
    </row>
    <row r="169" spans="1:24" x14ac:dyDescent="0.25">
      <c r="A169" s="3" t="s">
        <v>172</v>
      </c>
      <c r="B169" s="3" t="str">
        <f>VLOOKUP(A169,'storage capacity'!$A$2:$C$195,3,FALSE)</f>
        <v>Other latin america</v>
      </c>
      <c r="C169">
        <v>0</v>
      </c>
      <c r="D169">
        <f t="shared" si="10"/>
        <v>0</v>
      </c>
      <c r="E169">
        <f t="shared" si="11"/>
        <v>0</v>
      </c>
      <c r="V169" s="3" t="s">
        <v>172</v>
      </c>
      <c r="W169">
        <v>0</v>
      </c>
      <c r="X169">
        <v>0</v>
      </c>
    </row>
    <row r="170" spans="1:24" x14ac:dyDescent="0.25">
      <c r="A170" s="3" t="s">
        <v>173</v>
      </c>
      <c r="B170" s="3" t="str">
        <f>VLOOKUP(A170,'storage capacity'!$A$2:$C$195,3,FALSE)</f>
        <v>Country specific</v>
      </c>
      <c r="C170">
        <v>127.25</v>
      </c>
      <c r="D170">
        <f t="shared" si="10"/>
        <v>5</v>
      </c>
      <c r="E170">
        <f t="shared" si="11"/>
        <v>41</v>
      </c>
      <c r="V170" s="3" t="s">
        <v>173</v>
      </c>
      <c r="W170">
        <v>5</v>
      </c>
      <c r="X170">
        <v>41</v>
      </c>
    </row>
    <row r="171" spans="1:24" x14ac:dyDescent="0.25">
      <c r="A171" s="3" t="s">
        <v>174</v>
      </c>
      <c r="B171" s="3" t="str">
        <f>VLOOKUP(A171,'storage capacity'!$A$2:$C$195,3,FALSE)</f>
        <v>Country specific</v>
      </c>
      <c r="C171">
        <v>132.12</v>
      </c>
      <c r="D171">
        <f t="shared" si="10"/>
        <v>1</v>
      </c>
      <c r="E171">
        <f t="shared" si="11"/>
        <v>0</v>
      </c>
      <c r="V171" s="3" t="s">
        <v>174</v>
      </c>
      <c r="W171">
        <v>1</v>
      </c>
      <c r="X171">
        <v>0</v>
      </c>
    </row>
    <row r="172" spans="1:24" x14ac:dyDescent="0.25">
      <c r="A172" s="3" t="s">
        <v>175</v>
      </c>
      <c r="B172" s="3" t="str">
        <f>VLOOKUP(A172,'storage capacity'!$A$2:$C$195,3,FALSE)</f>
        <v>Middle east</v>
      </c>
      <c r="C172">
        <v>0</v>
      </c>
      <c r="D172">
        <f t="shared" si="10"/>
        <v>0</v>
      </c>
      <c r="E172">
        <f t="shared" si="11"/>
        <v>0</v>
      </c>
      <c r="V172" s="3" t="s">
        <v>175</v>
      </c>
      <c r="W172">
        <v>0</v>
      </c>
      <c r="X172">
        <v>0</v>
      </c>
    </row>
    <row r="173" spans="1:24" x14ac:dyDescent="0.25">
      <c r="A173" s="3" t="s">
        <v>176</v>
      </c>
      <c r="B173" s="3" t="str">
        <f>VLOOKUP(A173,'storage capacity'!$A$2:$C$195,3,FALSE)</f>
        <v>Other eurasia</v>
      </c>
      <c r="C173">
        <v>0</v>
      </c>
      <c r="D173">
        <f t="shared" si="10"/>
        <v>3</v>
      </c>
      <c r="E173">
        <f t="shared" si="11"/>
        <v>0</v>
      </c>
      <c r="V173" s="3" t="s">
        <v>176</v>
      </c>
      <c r="W173">
        <v>3</v>
      </c>
      <c r="X173">
        <v>0</v>
      </c>
    </row>
    <row r="174" spans="1:24" x14ac:dyDescent="0.25">
      <c r="A174" s="3" t="s">
        <v>177</v>
      </c>
      <c r="B174" s="3" t="str">
        <f>VLOOKUP(A174,'storage capacity'!$A$2:$C$195,3,FALSE)</f>
        <v>Sub-saharan africa</v>
      </c>
      <c r="C174">
        <v>0</v>
      </c>
      <c r="D174">
        <f t="shared" si="10"/>
        <v>3</v>
      </c>
      <c r="E174">
        <f t="shared" si="11"/>
        <v>0</v>
      </c>
      <c r="V174" s="3" t="s">
        <v>177</v>
      </c>
      <c r="W174">
        <v>3</v>
      </c>
      <c r="X174">
        <v>0</v>
      </c>
    </row>
    <row r="175" spans="1:24" x14ac:dyDescent="0.25">
      <c r="A175" s="3" t="s">
        <v>178</v>
      </c>
      <c r="B175" s="3" t="str">
        <f>VLOOKUP(A175,'storage capacity'!$A$2:$C$195,3,FALSE)</f>
        <v>Other Asia pacific</v>
      </c>
      <c r="C175">
        <v>0</v>
      </c>
      <c r="D175">
        <f t="shared" si="10"/>
        <v>4</v>
      </c>
      <c r="E175">
        <f t="shared" si="11"/>
        <v>0</v>
      </c>
      <c r="V175" s="3" t="s">
        <v>178</v>
      </c>
      <c r="W175">
        <v>4</v>
      </c>
      <c r="X175">
        <v>0</v>
      </c>
    </row>
    <row r="176" spans="1:24" x14ac:dyDescent="0.25">
      <c r="A176" s="3" t="s">
        <v>179</v>
      </c>
      <c r="B176" s="3" t="str">
        <f>VLOOKUP(A176,'storage capacity'!$A$2:$C$195,3,FALSE)</f>
        <v>Other Asia pacific</v>
      </c>
      <c r="C176">
        <v>0</v>
      </c>
      <c r="D176">
        <f t="shared" si="10"/>
        <v>2</v>
      </c>
      <c r="E176">
        <f t="shared" si="11"/>
        <v>0</v>
      </c>
      <c r="V176" s="3" t="s">
        <v>179</v>
      </c>
      <c r="W176">
        <v>2</v>
      </c>
      <c r="X176">
        <v>0</v>
      </c>
    </row>
    <row r="177" spans="1:24" x14ac:dyDescent="0.25">
      <c r="A177" s="3" t="s">
        <v>180</v>
      </c>
      <c r="B177" s="3" t="str">
        <f>VLOOKUP(A177,'storage capacity'!$A$2:$C$195,3,FALSE)</f>
        <v>Sub-saharan africa</v>
      </c>
      <c r="C177">
        <v>0</v>
      </c>
      <c r="D177">
        <f t="shared" si="10"/>
        <v>2</v>
      </c>
      <c r="E177">
        <f t="shared" si="11"/>
        <v>0</v>
      </c>
      <c r="V177" s="3" t="s">
        <v>180</v>
      </c>
      <c r="W177">
        <v>2</v>
      </c>
      <c r="X177">
        <v>0</v>
      </c>
    </row>
    <row r="178" spans="1:24" x14ac:dyDescent="0.25">
      <c r="A178" s="3" t="s">
        <v>181</v>
      </c>
      <c r="B178" s="3" t="str">
        <f>VLOOKUP(A178,'storage capacity'!$A$2:$C$195,3,FALSE)</f>
        <v>Oceania</v>
      </c>
      <c r="C178">
        <v>0</v>
      </c>
      <c r="D178">
        <f t="shared" si="10"/>
        <v>1</v>
      </c>
      <c r="E178">
        <f t="shared" si="11"/>
        <v>0</v>
      </c>
      <c r="V178" s="3" t="s">
        <v>181</v>
      </c>
      <c r="W178">
        <v>1</v>
      </c>
      <c r="X178">
        <v>0</v>
      </c>
    </row>
    <row r="179" spans="1:24" x14ac:dyDescent="0.25">
      <c r="A179" s="3" t="s">
        <v>182</v>
      </c>
      <c r="B179" s="3" t="str">
        <f>VLOOKUP(A179,'storage capacity'!$A$2:$C$195,3,FALSE)</f>
        <v>Other latin america</v>
      </c>
      <c r="C179">
        <v>0</v>
      </c>
      <c r="D179">
        <f t="shared" si="10"/>
        <v>2</v>
      </c>
      <c r="E179">
        <f t="shared" si="11"/>
        <v>0</v>
      </c>
      <c r="V179" s="3" t="s">
        <v>182</v>
      </c>
      <c r="W179">
        <v>2</v>
      </c>
      <c r="X179">
        <v>0</v>
      </c>
    </row>
    <row r="180" spans="1:24" x14ac:dyDescent="0.25">
      <c r="A180" s="3" t="s">
        <v>183</v>
      </c>
      <c r="B180" s="3" t="str">
        <f>VLOOKUP(A180,'storage capacity'!$A$2:$C$195,3,FALSE)</f>
        <v>Middle east</v>
      </c>
      <c r="C180">
        <v>0</v>
      </c>
      <c r="D180">
        <f t="shared" si="10"/>
        <v>4</v>
      </c>
      <c r="E180">
        <f t="shared" si="11"/>
        <v>0</v>
      </c>
      <c r="V180" s="3" t="s">
        <v>183</v>
      </c>
      <c r="W180">
        <v>4</v>
      </c>
      <c r="X180">
        <v>0</v>
      </c>
    </row>
    <row r="181" spans="1:24" x14ac:dyDescent="0.25">
      <c r="A181" s="3" t="s">
        <v>184</v>
      </c>
      <c r="B181" s="3" t="str">
        <f>VLOOKUP(A181,'storage capacity'!$A$2:$C$195,3,FALSE)</f>
        <v>Other eurasia</v>
      </c>
      <c r="C181">
        <v>0</v>
      </c>
      <c r="D181">
        <f t="shared" si="10"/>
        <v>5</v>
      </c>
      <c r="E181">
        <f t="shared" si="11"/>
        <v>0</v>
      </c>
      <c r="V181" s="3" t="s">
        <v>184</v>
      </c>
      <c r="W181">
        <v>5</v>
      </c>
      <c r="X181">
        <v>0</v>
      </c>
    </row>
    <row r="182" spans="1:24" x14ac:dyDescent="0.25">
      <c r="A182" s="3" t="s">
        <v>185</v>
      </c>
      <c r="B182" s="3" t="str">
        <f>VLOOKUP(A182,'storage capacity'!$A$2:$C$195,3,FALSE)</f>
        <v>Other eurasia</v>
      </c>
      <c r="C182">
        <v>0</v>
      </c>
      <c r="D182">
        <f t="shared" si="10"/>
        <v>3</v>
      </c>
      <c r="E182">
        <f t="shared" si="11"/>
        <v>0</v>
      </c>
      <c r="V182" s="3" t="s">
        <v>185</v>
      </c>
      <c r="W182">
        <v>3</v>
      </c>
      <c r="X182">
        <v>0</v>
      </c>
    </row>
    <row r="183" spans="1:24" x14ac:dyDescent="0.25">
      <c r="A183" s="3" t="s">
        <v>186</v>
      </c>
      <c r="B183" s="3" t="str">
        <f>VLOOKUP(A183,'storage capacity'!$A$2:$C$195,3,FALSE)</f>
        <v>Oceania</v>
      </c>
      <c r="C183">
        <v>0</v>
      </c>
      <c r="D183">
        <f t="shared" si="10"/>
        <v>1</v>
      </c>
      <c r="E183">
        <f t="shared" si="11"/>
        <v>0</v>
      </c>
      <c r="V183" s="3" t="s">
        <v>186</v>
      </c>
      <c r="W183">
        <v>1</v>
      </c>
      <c r="X183">
        <v>0</v>
      </c>
    </row>
    <row r="184" spans="1:24" x14ac:dyDescent="0.25">
      <c r="A184" s="3" t="s">
        <v>187</v>
      </c>
      <c r="B184" s="3" t="str">
        <f>VLOOKUP(A184,'storage capacity'!$A$2:$C$195,3,FALSE)</f>
        <v>Sub-saharan africa</v>
      </c>
      <c r="C184">
        <v>0</v>
      </c>
      <c r="D184">
        <f t="shared" si="10"/>
        <v>4</v>
      </c>
      <c r="E184">
        <f t="shared" si="11"/>
        <v>0</v>
      </c>
      <c r="V184" s="3" t="s">
        <v>187</v>
      </c>
      <c r="W184">
        <v>4</v>
      </c>
      <c r="X184">
        <v>0</v>
      </c>
    </row>
    <row r="185" spans="1:24" x14ac:dyDescent="0.25">
      <c r="A185" s="3" t="s">
        <v>188</v>
      </c>
      <c r="B185" s="3" t="str">
        <f>VLOOKUP(A185,'storage capacity'!$A$2:$C$195,3,FALSE)</f>
        <v>Other eurasia</v>
      </c>
      <c r="C185">
        <v>0.76</v>
      </c>
      <c r="D185">
        <f t="shared" si="10"/>
        <v>0</v>
      </c>
      <c r="E185">
        <f t="shared" si="11"/>
        <v>0</v>
      </c>
      <c r="V185" s="3" t="s">
        <v>188</v>
      </c>
      <c r="W185">
        <v>0</v>
      </c>
      <c r="X185">
        <v>0</v>
      </c>
    </row>
    <row r="186" spans="1:24" ht="26.25" x14ac:dyDescent="0.25">
      <c r="A186" s="3" t="s">
        <v>189</v>
      </c>
      <c r="B186" s="3" t="str">
        <f>VLOOKUP(A186,'storage capacity'!$A$2:$C$195,3,FALSE)</f>
        <v>Middle east</v>
      </c>
      <c r="C186">
        <v>0</v>
      </c>
      <c r="D186">
        <f t="shared" si="10"/>
        <v>5</v>
      </c>
      <c r="E186">
        <f t="shared" si="11"/>
        <v>0</v>
      </c>
      <c r="V186" s="3" t="s">
        <v>189</v>
      </c>
      <c r="W186">
        <v>5</v>
      </c>
      <c r="X186">
        <v>0</v>
      </c>
    </row>
    <row r="187" spans="1:24" x14ac:dyDescent="0.25">
      <c r="A187" s="3" t="s">
        <v>190</v>
      </c>
      <c r="B187" s="3" t="str">
        <f>VLOOKUP(A187,'storage capacity'!$A$2:$C$195,3,FALSE)</f>
        <v>Country specific</v>
      </c>
      <c r="C187">
        <v>22.61</v>
      </c>
      <c r="D187">
        <f t="shared" si="10"/>
        <v>5</v>
      </c>
      <c r="E187">
        <f t="shared" si="11"/>
        <v>66</v>
      </c>
      <c r="V187" s="3" t="s">
        <v>190</v>
      </c>
      <c r="W187">
        <v>5</v>
      </c>
      <c r="X187">
        <v>66</v>
      </c>
    </row>
    <row r="188" spans="1:24" x14ac:dyDescent="0.25">
      <c r="A188" s="3" t="s">
        <v>191</v>
      </c>
      <c r="B188" s="3" t="str">
        <f>VLOOKUP(A188,'storage capacity'!$A$2:$C$195,3,FALSE)</f>
        <v>Country specific</v>
      </c>
      <c r="C188">
        <v>0</v>
      </c>
      <c r="D188">
        <f t="shared" si="10"/>
        <v>5</v>
      </c>
      <c r="E188">
        <f t="shared" si="11"/>
        <v>72</v>
      </c>
      <c r="V188" s="3" t="s">
        <v>191</v>
      </c>
      <c r="W188">
        <v>5</v>
      </c>
      <c r="X188">
        <v>72</v>
      </c>
    </row>
    <row r="189" spans="1:24" x14ac:dyDescent="0.25">
      <c r="A189" s="3" t="s">
        <v>192</v>
      </c>
      <c r="B189" s="3" t="str">
        <f>VLOOKUP(A189,'storage capacity'!$A$2:$C$195,3,FALSE)</f>
        <v>Other latin america</v>
      </c>
      <c r="C189">
        <v>167.17</v>
      </c>
      <c r="D189">
        <f t="shared" si="10"/>
        <v>3</v>
      </c>
      <c r="E189">
        <f t="shared" si="11"/>
        <v>0</v>
      </c>
      <c r="V189" s="3" t="s">
        <v>192</v>
      </c>
      <c r="W189">
        <v>3</v>
      </c>
      <c r="X189">
        <v>0</v>
      </c>
    </row>
    <row r="190" spans="1:24" x14ac:dyDescent="0.25">
      <c r="A190" s="3" t="s">
        <v>193</v>
      </c>
      <c r="B190" s="3" t="str">
        <f>VLOOKUP(A190,'storage capacity'!$A$2:$C$195,3,FALSE)</f>
        <v>Other eurasia</v>
      </c>
      <c r="C190">
        <v>0</v>
      </c>
      <c r="D190">
        <f t="shared" si="10"/>
        <v>5</v>
      </c>
      <c r="E190">
        <f t="shared" si="11"/>
        <v>0</v>
      </c>
      <c r="V190" s="3" t="s">
        <v>193</v>
      </c>
      <c r="W190">
        <v>5</v>
      </c>
      <c r="X190">
        <v>0</v>
      </c>
    </row>
    <row r="191" spans="1:24" x14ac:dyDescent="0.25">
      <c r="A191" s="3" t="s">
        <v>194</v>
      </c>
      <c r="B191" s="3" t="str">
        <f>VLOOKUP(A191,'storage capacity'!$A$2:$C$195,3,FALSE)</f>
        <v>Oceania</v>
      </c>
      <c r="C191">
        <v>0</v>
      </c>
      <c r="D191">
        <f t="shared" si="10"/>
        <v>1</v>
      </c>
      <c r="E191">
        <f t="shared" si="11"/>
        <v>0</v>
      </c>
      <c r="V191" s="3" t="s">
        <v>194</v>
      </c>
      <c r="W191">
        <v>1</v>
      </c>
      <c r="X191">
        <v>0</v>
      </c>
    </row>
    <row r="192" spans="1:24" x14ac:dyDescent="0.25">
      <c r="A192" s="3" t="s">
        <v>195</v>
      </c>
      <c r="B192" s="3" t="str">
        <f>VLOOKUP(A192,'storage capacity'!$A$2:$C$195,3,FALSE)</f>
        <v>Other latin america</v>
      </c>
      <c r="C192">
        <v>0</v>
      </c>
      <c r="D192">
        <f t="shared" si="10"/>
        <v>1</v>
      </c>
      <c r="E192">
        <f t="shared" si="11"/>
        <v>0</v>
      </c>
      <c r="V192" s="3" t="s">
        <v>195</v>
      </c>
      <c r="W192">
        <v>1</v>
      </c>
      <c r="X192">
        <v>0</v>
      </c>
    </row>
    <row r="193" spans="1:24" x14ac:dyDescent="0.25">
      <c r="A193" s="3" t="s">
        <v>196</v>
      </c>
      <c r="B193" s="3" t="str">
        <f>VLOOKUP(A193,'storage capacity'!$A$2:$C$195,3,FALSE)</f>
        <v>Other Asia pacific</v>
      </c>
      <c r="C193">
        <v>0</v>
      </c>
      <c r="D193">
        <f t="shared" si="10"/>
        <v>5</v>
      </c>
      <c r="E193">
        <f t="shared" si="11"/>
        <v>0</v>
      </c>
      <c r="V193" s="3" t="s">
        <v>196</v>
      </c>
      <c r="W193">
        <v>5</v>
      </c>
      <c r="X193">
        <v>0</v>
      </c>
    </row>
    <row r="194" spans="1:24" x14ac:dyDescent="0.25">
      <c r="A194" s="3" t="s">
        <v>197</v>
      </c>
      <c r="B194" s="3" t="str">
        <f>VLOOKUP(A194,'storage capacity'!$A$2:$C$195,3,FALSE)</f>
        <v>Middle east</v>
      </c>
      <c r="C194">
        <v>0</v>
      </c>
      <c r="D194">
        <f t="shared" si="10"/>
        <v>1</v>
      </c>
      <c r="E194">
        <f t="shared" si="11"/>
        <v>0</v>
      </c>
      <c r="V194" s="3" t="s">
        <v>197</v>
      </c>
      <c r="W194">
        <v>1</v>
      </c>
      <c r="X194">
        <v>0</v>
      </c>
    </row>
    <row r="195" spans="1:24" x14ac:dyDescent="0.25">
      <c r="A195" s="3" t="s">
        <v>198</v>
      </c>
      <c r="B195" s="3" t="str">
        <f>VLOOKUP(A195,'storage capacity'!$A$2:$C$195,3,FALSE)</f>
        <v>Sub-saharan africa</v>
      </c>
      <c r="C195">
        <v>0</v>
      </c>
      <c r="D195">
        <f t="shared" ref="D195:D196" si="12">VLOOKUP(A195,$V$2:$W$196,2,FALSE)</f>
        <v>3</v>
      </c>
      <c r="E195">
        <f t="shared" ref="E195:E196" si="13">VLOOKUP(A195,$V$2:$X$196,3,FALSE)</f>
        <v>0</v>
      </c>
      <c r="V195" s="3" t="s">
        <v>198</v>
      </c>
      <c r="W195">
        <v>3</v>
      </c>
      <c r="X195">
        <v>0</v>
      </c>
    </row>
    <row r="196" spans="1:24" x14ac:dyDescent="0.25">
      <c r="A196" s="3" t="s">
        <v>199</v>
      </c>
      <c r="B196" s="3" t="str">
        <f>VLOOKUP(A196,'storage capacity'!$A$2:$C$195,3,FALSE)</f>
        <v>Sub-saharan africa</v>
      </c>
      <c r="C196">
        <v>0</v>
      </c>
      <c r="D196">
        <f t="shared" si="12"/>
        <v>3</v>
      </c>
      <c r="E196">
        <f t="shared" si="13"/>
        <v>0</v>
      </c>
      <c r="V196" s="3" t="s">
        <v>199</v>
      </c>
      <c r="W196">
        <v>3</v>
      </c>
      <c r="X196">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storage capacity</vt:lpstr>
      <vt:lpstr>GDP</vt:lpstr>
      <vt:lpstr>lat lon</vt:lpstr>
      <vt:lpstr>etc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(대학원생) AHMAD SYAUQI (School of Energy and Chemical Engineering)</dc:creator>
  <cp:lastModifiedBy>(대학원생) AHMAD SYAUQI (School of Energy and Chemical Eng</cp:lastModifiedBy>
  <dcterms:created xsi:type="dcterms:W3CDTF">2025-06-02T02:05:19Z</dcterms:created>
  <dcterms:modified xsi:type="dcterms:W3CDTF">2025-06-04T01:00:01Z</dcterms:modified>
</cp:coreProperties>
</file>